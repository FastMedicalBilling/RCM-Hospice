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7B87C7DA-EDFC-4811-A2F6-049A4A6F7711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5" i="5"/>
  <c r="G7" i="5"/>
  <c r="G9" i="5"/>
  <c r="G11" i="5"/>
  <c r="G13" i="5"/>
  <c r="G15" i="5"/>
  <c r="G17" i="5"/>
  <c r="F1" i="5"/>
  <c r="B3" i="5"/>
  <c r="H3" i="5"/>
  <c r="H5" i="5"/>
  <c r="H7" i="5"/>
  <c r="H9" i="5"/>
  <c r="H11" i="5"/>
  <c r="H13" i="5"/>
  <c r="H15" i="5"/>
  <c r="H17" i="5"/>
  <c r="G2" i="5"/>
  <c r="C3" i="5"/>
  <c r="D3" i="5" s="1"/>
  <c r="G4" i="5"/>
  <c r="G6" i="5"/>
  <c r="G8" i="5"/>
  <c r="I8" i="5" s="1"/>
  <c r="G10" i="5"/>
  <c r="G12" i="5"/>
  <c r="I12" i="5" s="1"/>
  <c r="G14" i="5"/>
  <c r="G16" i="5"/>
  <c r="I16" i="5" s="1"/>
  <c r="A1" i="5"/>
  <c r="H2" i="5"/>
  <c r="H4" i="5"/>
  <c r="H6" i="5"/>
  <c r="H8" i="5"/>
  <c r="H10" i="5"/>
  <c r="H12" i="5"/>
  <c r="H14" i="5"/>
  <c r="I2" i="5" l="1"/>
  <c r="I15" i="5"/>
  <c r="I7" i="5"/>
  <c r="I14" i="5"/>
  <c r="I6" i="5"/>
  <c r="I13" i="5"/>
  <c r="I5" i="5"/>
  <c r="I4" i="5"/>
  <c r="I11" i="5"/>
  <c r="I3" i="5"/>
  <c r="I10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<sst xmlns="http://schemas.openxmlformats.org/spreadsheetml/2006/main" count="2330" uniqueCount="588">
  <si>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</si>
  <si>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</si>
  <si>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</si>
  <si>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</si>
  <si>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</si>
  <si>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</si>
  <si>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</si>
  <si>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</si>
  <si>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</si>
  <si>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</si>
  <si>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</si>
  <si>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</si>
  <si>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</si>
  <si>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</si>
  <si>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</si>
  <si>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</si>
  <si>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</si>
  <si>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</si>
  <si>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</si>
  <si>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</si>
  <si>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</si>
  <si>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</si>
  <si>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</si>
  <si>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</si>
  <si>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</si>
  <si>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</si>
  <si>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</si>
  <si>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</si>
  <si>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</si>
  <si>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</si>
  <si>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</si>
  <si>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</si>
  <si>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</si>
  <si>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</si>
  <si>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</si>
  <si>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</si>
  <si>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</si>
  <si>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</si>
  <si>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</si>
  <si>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</si>
  <si>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</si>
  <si>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</si>
  <si>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</si>
  <si>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</si>
  <si>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</si>
  <si>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</si>
  <si>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</si>
  <si>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</si>
  <si>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</si>
  <si>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</si>
  <si>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</si>
  <si>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</si>
  <si>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</si>
  <si>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</si>
  <si>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</si>
  <si>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</si>
  <si>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</si>
  <si>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</si>
  <si>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</si>
  <si>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</si>
  <si>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</si>
  <si>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</si>
  <si>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</si>
  <si>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</si>
  <si>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</si>
  <si>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</si>
  <si>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</si>
  <si>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</si>
  <si>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</si>
  <si>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</si>
  <si>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</si>
  <si>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</si>
  <si>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</si>
  <si>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</si>
  <si>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</si>
  <si>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</si>
  <si>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</si>
  <si>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</si>
  <si>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</si>
  <si>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</si>
  <si>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</si>
  <si>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</si>
  <si>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</si>
  <si>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</si>
  <si>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</si>
  <si>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</si>
  <si>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</si>
  <si>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</si>
  <si>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</si>
  <si>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</si>
  <si>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</si>
  <si>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</si>
  <si>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</si>
  <si>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</si>
  <si>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</si>
  <si>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</si>
  <si>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</si>
  <si>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</si>
  <si>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</si>
  <si>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</si>
  <si>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</si>
  <si>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</si>
  <si>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</si>
  <si>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</si>
  <si>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</si>
  <si>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</si>
  <si>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</si>
  <si>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</si>
  <si>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</si>
  <si>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</si>
  <si>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</si>
  <si>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</si>
  <si>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</si>
  <si>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</si>
  <si>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</si>
  <si>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</si>
  <si>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</si>
  <si>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</si>
  <si>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</si>
  <si>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</si>
  <si>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</si>
  <si>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</si>
  <si>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</si>
  <si>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</si>
  <si>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</si>
  <si>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</si>
  <si>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</si>
  <si>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</si>
  <si>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</si>
  <si>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</si>
  <si>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</si>
  <si>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</si>
  <si>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</si>
  <si>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</si>
  <si>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</si>
  <si>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</si>
  <si>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</si>
  <si>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</si>
  <si>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</si>
  <si>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</si>
  <si>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</si>
  <si>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</si>
  <si>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</si>
  <si>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</si>
  <si>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</si>
  <si>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</si>
  <si>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</si>
  <si>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</si>
  <si>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Petschauer, Erwin</t>
  </si>
  <si>
    <t>2/1/2026</t>
  </si>
  <si>
    <t>2P83RR1DC70</t>
  </si>
  <si>
    <t>Rodriguez, Paul</t>
  </si>
  <si>
    <t>9UV2Q92VT10</t>
  </si>
  <si>
    <t>Snider, Nola</t>
  </si>
  <si>
    <t>2/14/2026</t>
  </si>
  <si>
    <t>4U12R79EM19</t>
  </si>
  <si>
    <t>Stoddard, Paula</t>
  </si>
  <si>
    <t>2/4/2026</t>
  </si>
  <si>
    <t>7GG4M70GD76</t>
  </si>
  <si>
    <t>Tetiva, Janine</t>
  </si>
  <si>
    <t>9NK2G87MN07</t>
  </si>
  <si>
    <t>Trinidad, Remigia</t>
  </si>
  <si>
    <t>1WA3C16EF92</t>
  </si>
  <si>
    <t>Martin, Louise</t>
  </si>
  <si>
    <t>5Y21YC2AP32</t>
  </si>
  <si>
    <t>Krysta, Laverne</t>
  </si>
  <si>
    <t>9ED1VP1RC01</t>
  </si>
  <si>
    <t>King, Scott</t>
  </si>
  <si>
    <t>2/19/2026</t>
  </si>
  <si>
    <t>2RF5CX8FF67</t>
  </si>
  <si>
    <t>Hammond, Stephen</t>
  </si>
  <si>
    <t>7XN0M55RG34</t>
  </si>
  <si>
    <t>Bell, Harvey</t>
  </si>
  <si>
    <t>2XW3MH8QJ92</t>
  </si>
  <si>
    <t>De Barrera, Consuelo</t>
  </si>
  <si>
    <t>2XQ1TV4UG06</t>
  </si>
  <si>
    <t>Vallar, Belen</t>
  </si>
  <si>
    <t>7GQ3EC3TE74</t>
  </si>
  <si>
    <t>Ventura Benitez, Rogelia</t>
  </si>
  <si>
    <t>8AK0ND4YU32</t>
  </si>
  <si>
    <t>Nelson, Kristin</t>
  </si>
  <si>
    <t>5E96FE1KK46</t>
  </si>
  <si>
    <t>Vines, Lynn</t>
  </si>
  <si>
    <t>4G59AG7NJ21</t>
  </si>
  <si>
    <t>Woodbury, Randall</t>
  </si>
  <si>
    <t>1/22/2026</t>
  </si>
  <si>
    <t>5PV2JU6TX13</t>
  </si>
  <si>
    <t>1/1/2026</t>
  </si>
  <si>
    <t>Mohammed, Sultana</t>
  </si>
  <si>
    <t>8UM6NH5WF62</t>
  </si>
  <si>
    <t>1/25/2026</t>
  </si>
  <si>
    <t>1/28/2026</t>
  </si>
  <si>
    <t>1/16/2026</t>
  </si>
  <si>
    <t>1/29/2026</t>
  </si>
  <si>
    <t>1/15/2026</t>
  </si>
  <si>
    <t>1/30/2026</t>
  </si>
  <si>
    <t>1/14/2026</t>
  </si>
  <si>
    <t>Escobar, Sylvia</t>
  </si>
  <si>
    <t>1/26/2026</t>
  </si>
  <si>
    <t>9D82D30MX85</t>
  </si>
  <si>
    <t>Robinson, Mercedes</t>
  </si>
  <si>
    <t>5M56VX4UK72</t>
  </si>
  <si>
    <t>Hill, Charlene</t>
  </si>
  <si>
    <t>12/1/2025</t>
  </si>
  <si>
    <t>7M28XN0PW47</t>
  </si>
  <si>
    <t>Stewart, Sylvia</t>
  </si>
  <si>
    <t>9JG4GF2PC65</t>
  </si>
  <si>
    <t>Quli, Syed</t>
  </si>
  <si>
    <t>6K70KU7RE38</t>
  </si>
  <si>
    <t>Denson, Donald</t>
  </si>
  <si>
    <t>8C75UY7QN96</t>
  </si>
  <si>
    <t>Parish, Phillip</t>
  </si>
  <si>
    <t>5W40EE0EH10</t>
  </si>
  <si>
    <t>Burns, Roger</t>
  </si>
  <si>
    <t>5TC3RJ8NT04</t>
  </si>
  <si>
    <t>Rosario, Norma</t>
  </si>
  <si>
    <t>9M61AR9QR08</t>
  </si>
  <si>
    <t>Darden Barlow, Gwendolyn</t>
  </si>
  <si>
    <t>9DH3H21VM03</t>
  </si>
  <si>
    <t>Burress, Spicy</t>
  </si>
  <si>
    <t>9H45X23QC54</t>
  </si>
  <si>
    <t>Haskins, Guadalupe</t>
  </si>
  <si>
    <t>3HE8TT8VW48</t>
  </si>
  <si>
    <t>Do, Chi</t>
  </si>
  <si>
    <t>4YE0J12JJ48</t>
  </si>
  <si>
    <t>Nichols, Villa</t>
  </si>
  <si>
    <t>2RQ3RQ3YC11</t>
  </si>
  <si>
    <t>Huynh, Buu</t>
  </si>
  <si>
    <t>2JE1XH1ND94</t>
  </si>
  <si>
    <t>Jackson, Joy</t>
  </si>
  <si>
    <t>3GN1U04XC39</t>
  </si>
  <si>
    <t>Lagsa, Lourdes</t>
  </si>
  <si>
    <t>3MD9Y44YG16</t>
  </si>
  <si>
    <t>Holloway, Andre</t>
  </si>
  <si>
    <t>6FP9X41AM19</t>
  </si>
  <si>
    <t>Lawson, Truman</t>
  </si>
  <si>
    <t>11/1/2025</t>
  </si>
  <si>
    <t>Adjustment</t>
  </si>
  <si>
    <t>7CU6RD6AA44</t>
  </si>
  <si>
    <t>Nguyen, Anh</t>
  </si>
  <si>
    <t>6NT8QD9KG67</t>
  </si>
  <si>
    <t>10/1/2025</t>
  </si>
  <si>
    <t>Gaitan, Vilma</t>
  </si>
  <si>
    <t>2KW4CE9JH62</t>
  </si>
  <si>
    <t>Vizarro De Carr, Socorro</t>
  </si>
  <si>
    <t>5UC8CR0MH65</t>
  </si>
  <si>
    <t>Mendez Gutierre, Angel</t>
  </si>
  <si>
    <t>4C58RN1XM33</t>
  </si>
  <si>
    <t>Valle, Martha</t>
  </si>
  <si>
    <t>3T71CW4VV31</t>
  </si>
  <si>
    <t>10/5/2025</t>
  </si>
  <si>
    <t>Calvillo, Amalia</t>
  </si>
  <si>
    <t>5ET6QM0RX71</t>
  </si>
  <si>
    <t>De Leon, Ana</t>
  </si>
  <si>
    <t>4UQ5D66KD73</t>
  </si>
  <si>
    <t>Baron, William</t>
  </si>
  <si>
    <t>2GV7K31HR47</t>
  </si>
  <si>
    <t>Ascencio, Irma</t>
  </si>
  <si>
    <t>6WV8T56XR67</t>
  </si>
  <si>
    <t>8/15/2025</t>
  </si>
  <si>
    <t>Ramirez, Fidel</t>
  </si>
  <si>
    <t>10/3/2025</t>
  </si>
  <si>
    <t>6NT7TQ8TM32</t>
  </si>
  <si>
    <t>Jackson, Dolas</t>
  </si>
  <si>
    <t>6/1/2025</t>
  </si>
  <si>
    <t>1K49J52RW59</t>
  </si>
  <si>
    <t>Ordones, Leo</t>
  </si>
  <si>
    <t>3C83H48WC90</t>
  </si>
  <si>
    <t>Morris, Ima Jean</t>
  </si>
  <si>
    <t>4F53MY3HC85</t>
  </si>
  <si>
    <t>10/7/2025</t>
  </si>
  <si>
    <t>Chaidez Quinter, Rigoberto</t>
  </si>
  <si>
    <t>9EH0TD3FH21</t>
  </si>
  <si>
    <t>Swan, Juliana</t>
  </si>
  <si>
    <t>6JM6C29AH83</t>
  </si>
  <si>
    <t>Ali Shandile, Patricia</t>
  </si>
  <si>
    <t>2AC6WH1GX78</t>
  </si>
  <si>
    <t>Braden, Charles</t>
  </si>
  <si>
    <t>3HC0HX6DT24</t>
  </si>
  <si>
    <t>9/29/2025</t>
  </si>
  <si>
    <t>9/28/2025</t>
  </si>
  <si>
    <t>9/25/2025</t>
  </si>
  <si>
    <t>9/1/2025</t>
  </si>
  <si>
    <t>Barrera, Elmer</t>
  </si>
  <si>
    <t>4KN1X52HR01</t>
  </si>
  <si>
    <t>Rodriguez, Jessie</t>
  </si>
  <si>
    <t>7VE8GP3TY21</t>
  </si>
  <si>
    <t>Serrano, Consuelo</t>
  </si>
  <si>
    <t>4YH7X09TD56</t>
  </si>
  <si>
    <t>Tolentino, Lazaro</t>
  </si>
  <si>
    <t>4GE6RU5QC53</t>
  </si>
  <si>
    <t>Woltz, Steven</t>
  </si>
  <si>
    <t>5KP5PU2JQ62</t>
  </si>
  <si>
    <t>Orr Fazekas, Jo</t>
  </si>
  <si>
    <t>2J29WN1FJ18</t>
  </si>
  <si>
    <t>Kim, Ann</t>
  </si>
  <si>
    <t>3V24EQ0AH87</t>
  </si>
  <si>
    <t>King, Chandra</t>
  </si>
  <si>
    <t>8/1/2025</t>
  </si>
  <si>
    <t>2WH0VU5ME18</t>
  </si>
  <si>
    <t>Munton, Maria</t>
  </si>
  <si>
    <t>6UE2EJ6XD84</t>
  </si>
  <si>
    <t>Gebechian, Madeleine</t>
  </si>
  <si>
    <t>6NA1RT7RR32</t>
  </si>
  <si>
    <t>Vazquez, Donaciano</t>
  </si>
  <si>
    <t>7R81Y50VQ38</t>
  </si>
  <si>
    <t>Irvine, Mark</t>
  </si>
  <si>
    <t>5HG6K32AT40</t>
  </si>
  <si>
    <t>Nelley, Eugene</t>
  </si>
  <si>
    <t>7/1/2025</t>
  </si>
  <si>
    <t>7RF2FF8TF97</t>
  </si>
  <si>
    <t>Zamorano Meza, Arnoldo</t>
  </si>
  <si>
    <t>2KK0F49TR39</t>
  </si>
  <si>
    <t>Amaya Diaz, Jorge</t>
  </si>
  <si>
    <t>9DD4X06WR64</t>
  </si>
  <si>
    <t>8/7/2025</t>
  </si>
  <si>
    <t>Pasis-islas, Diane</t>
  </si>
  <si>
    <t>6GP0UU2RE23</t>
  </si>
  <si>
    <t>Vera Baltazar, Jose</t>
  </si>
  <si>
    <t>7PR0N06XV18</t>
  </si>
  <si>
    <t>Murphy, Lewis</t>
  </si>
  <si>
    <t>8WC7EV5MK57</t>
  </si>
  <si>
    <t>Wells, Martha</t>
  </si>
  <si>
    <t>9G72TN8YR89</t>
  </si>
  <si>
    <t>Stone, Janet</t>
  </si>
  <si>
    <t>9QA2VE0YQ81</t>
  </si>
  <si>
    <t>8/21/2025</t>
  </si>
  <si>
    <t>Wilson, Phillip</t>
  </si>
  <si>
    <t>5XV1MD5QF10</t>
  </si>
  <si>
    <t>8/19/2025</t>
  </si>
  <si>
    <t>8/30/2025</t>
  </si>
  <si>
    <t>8/6/2025</t>
  </si>
  <si>
    <t>Marroquin, Hortencia</t>
  </si>
  <si>
    <t>6Y23W32UU16</t>
  </si>
  <si>
    <t>Hecker, Wilma</t>
  </si>
  <si>
    <t>3MU9YP9JY23</t>
  </si>
  <si>
    <t>8/26/2025</t>
  </si>
  <si>
    <t>8/11/2025</t>
  </si>
  <si>
    <t>Adams, Norma</t>
  </si>
  <si>
    <t>8QY1JT1JC09</t>
  </si>
  <si>
    <t>7/17/2025</t>
  </si>
  <si>
    <t>Cristerna, Yolanda</t>
  </si>
  <si>
    <t>4/3/2025</t>
  </si>
  <si>
    <t>9GU6A62DX52</t>
  </si>
  <si>
    <t>7/12/2025</t>
  </si>
  <si>
    <t>Herd, Jb</t>
  </si>
  <si>
    <t>3F88QV1GW44</t>
  </si>
  <si>
    <t>Gomez Covarrubi, Santos</t>
  </si>
  <si>
    <t>9WU9P48MT28</t>
  </si>
  <si>
    <t>Neely, Shawn</t>
  </si>
  <si>
    <t>1TY3QD1KG12</t>
  </si>
  <si>
    <t>7/11/2025</t>
  </si>
  <si>
    <t>Segal, Sheryl</t>
  </si>
  <si>
    <t>7/3/2025</t>
  </si>
  <si>
    <t>8YC3K50XM09</t>
  </si>
  <si>
    <t>Vielman, Tadea</t>
  </si>
  <si>
    <t>3F06EU7JX57</t>
  </si>
  <si>
    <t>7/9/2025</t>
  </si>
  <si>
    <t>Karkour, Silva</t>
  </si>
  <si>
    <t>5VP7EF1UQ72</t>
  </si>
  <si>
    <t>7/24/2025</t>
  </si>
  <si>
    <t>Harmon, Ronald</t>
  </si>
  <si>
    <t>2DD4GF4RX99</t>
  </si>
  <si>
    <t>Houston, Donna</t>
  </si>
  <si>
    <t>9X33AC2TD74</t>
  </si>
  <si>
    <t>Jones Jr, Edward</t>
  </si>
  <si>
    <t>3J18EE8GM39</t>
  </si>
  <si>
    <t>7/10/2025</t>
  </si>
  <si>
    <t>Funk, Rebecca</t>
  </si>
  <si>
    <t>7/2/2025</t>
  </si>
  <si>
    <t>1DW1R60PD08</t>
  </si>
  <si>
    <t>7/4/2025</t>
  </si>
  <si>
    <t>Zepeda Monterre, Maria</t>
  </si>
  <si>
    <t>7TY2MN1QY27</t>
  </si>
  <si>
    <t>7/22/2025</t>
  </si>
  <si>
    <t>Cameron, Terry</t>
  </si>
  <si>
    <t>4J22GQ1TV07</t>
  </si>
  <si>
    <t>7/7/2025</t>
  </si>
  <si>
    <t>Bailey, Hattie</t>
  </si>
  <si>
    <t>6RN7WD5CF53</t>
  </si>
  <si>
    <t>Richards, John</t>
  </si>
  <si>
    <t>3XX0GE3GK25</t>
  </si>
  <si>
    <t>Jusay, Aristeo</t>
  </si>
  <si>
    <t>7NN5V10TM70</t>
  </si>
  <si>
    <t>6/3/2025</t>
  </si>
  <si>
    <t>Flores, Pablo</t>
  </si>
  <si>
    <t>5XR8D79GF26</t>
  </si>
  <si>
    <t>Mora, Hector</t>
  </si>
  <si>
    <t>6NF1FT9WQ25</t>
  </si>
  <si>
    <t>6/23/2025</t>
  </si>
  <si>
    <t>Johnson, Gertrude</t>
  </si>
  <si>
    <t>9VN6JC3VU83</t>
  </si>
  <si>
    <t>6/13/2025</t>
  </si>
  <si>
    <t>Blanton, Brenda</t>
  </si>
  <si>
    <t>1MW0XE7UV22</t>
  </si>
  <si>
    <t>Israel, Margarette</t>
  </si>
  <si>
    <t>1F71MQ0PV21</t>
  </si>
  <si>
    <t>6/4/2025</t>
  </si>
  <si>
    <t>6/5/2025</t>
  </si>
  <si>
    <t>Durr, Roger</t>
  </si>
  <si>
    <t>5RH0G02QA35</t>
  </si>
  <si>
    <t>Paniagua, Elsa</t>
  </si>
  <si>
    <t>4E34EJ5NH88</t>
  </si>
  <si>
    <t>6/25/2025</t>
  </si>
  <si>
    <t>5/12/2025</t>
  </si>
  <si>
    <t>Smith, Joanne</t>
  </si>
  <si>
    <t>5/1/2025</t>
  </si>
  <si>
    <t>5W85T94EC50</t>
  </si>
  <si>
    <t>5/7/2025</t>
  </si>
  <si>
    <t>5/6/2025</t>
  </si>
  <si>
    <t>5/27/2025</t>
  </si>
  <si>
    <t>Coull, Mary</t>
  </si>
  <si>
    <t>5/19/2025</t>
  </si>
  <si>
    <t>8PN7DW0WY57</t>
  </si>
  <si>
    <t>Silvestri, Carmine</t>
  </si>
  <si>
    <t>7DT0YU8RH19</t>
  </si>
  <si>
    <t>Espinoza Cerna, Santiago</t>
  </si>
  <si>
    <t>1CA5YY8TM58</t>
  </si>
  <si>
    <t>5/26/2025</t>
  </si>
  <si>
    <t>5/23/2025</t>
  </si>
  <si>
    <t>Duron, Sam</t>
  </si>
  <si>
    <t>2P82J13FJ24</t>
  </si>
  <si>
    <t>5/24/2025</t>
  </si>
  <si>
    <t>Martinez, Maria</t>
  </si>
  <si>
    <t>4/1/2025</t>
  </si>
  <si>
    <t>2H35PG6MV60</t>
  </si>
  <si>
    <t>4/19/2025</t>
  </si>
  <si>
    <t>Godinez, Maria</t>
  </si>
  <si>
    <t>3/2/2025</t>
  </si>
  <si>
    <t>9Q43NM6VF07</t>
  </si>
  <si>
    <t>3/8/2025</t>
  </si>
  <si>
    <t>4/25/2025</t>
  </si>
  <si>
    <t>Jacobs, Debra</t>
  </si>
  <si>
    <t>2Q25QD8HW78</t>
  </si>
  <si>
    <t>4/23/2025</t>
  </si>
  <si>
    <t>Murphy, James</t>
  </si>
  <si>
    <t>4GT2EW3FC04</t>
  </si>
  <si>
    <t>4/4/2025</t>
  </si>
  <si>
    <t>4/18/2025</t>
  </si>
  <si>
    <t>Matthews, Ernest</t>
  </si>
  <si>
    <t>5W94V80RG92</t>
  </si>
  <si>
    <t>3/31/2025</t>
  </si>
  <si>
    <t>Atlassi, Shahin</t>
  </si>
  <si>
    <t>5Q70XD8JE48</t>
  </si>
  <si>
    <t>3/27/2025</t>
  </si>
  <si>
    <t>3/28/2025</t>
  </si>
  <si>
    <t>3/10/2025</t>
  </si>
  <si>
    <t>3/4/2025</t>
  </si>
  <si>
    <t>3/1/2025</t>
  </si>
  <si>
    <t>3/25/2025</t>
  </si>
  <si>
    <t>3/9/2025</t>
  </si>
  <si>
    <t>Wilcox, Janene</t>
  </si>
  <si>
    <t>5V65RJ3KC95</t>
  </si>
  <si>
    <t>3/26/2025</t>
  </si>
  <si>
    <t>3/22/2025</t>
  </si>
  <si>
    <t>Markarian, Berj</t>
  </si>
  <si>
    <t>3Y41DT0CN93</t>
  </si>
  <si>
    <t>3/21/2025</t>
  </si>
  <si>
    <t>Batts, Imogene</t>
  </si>
  <si>
    <t>9HA2TF1JA89</t>
  </si>
  <si>
    <t>Bello, Laura</t>
  </si>
  <si>
    <t>2HW7U06ND40</t>
  </si>
  <si>
    <t>Branch, Deborah</t>
  </si>
  <si>
    <t>8KQ6YD4CH57</t>
  </si>
  <si>
    <t>Baltajian, Kohar</t>
  </si>
  <si>
    <t>5XF3NM6XU78</t>
  </si>
  <si>
    <t>Olvera, Maria</t>
  </si>
  <si>
    <t>6DT8F37PG28</t>
  </si>
  <si>
    <t>Flores, Raul</t>
  </si>
  <si>
    <t>1WX3MC8KN17</t>
  </si>
  <si>
    <t>Ainjian, Hoda</t>
  </si>
  <si>
    <t>2XM0W48RU13</t>
  </si>
  <si>
    <t>Langel, Joyce</t>
  </si>
  <si>
    <t>5CP9WD6TY19</t>
  </si>
  <si>
    <t>2/3/2025</t>
  </si>
  <si>
    <t>2/27/2025</t>
  </si>
  <si>
    <t>2/9/2025</t>
  </si>
  <si>
    <t>2/18/2025</t>
  </si>
  <si>
    <t>2/4/2025</t>
  </si>
  <si>
    <t>2/26/2025</t>
  </si>
  <si>
    <t>2/1/2025</t>
  </si>
  <si>
    <t>1/9/2025</t>
  </si>
  <si>
    <t>Shamey, Annette</t>
  </si>
  <si>
    <t>9QR9M79EE25</t>
  </si>
  <si>
    <t>2/28/2025</t>
  </si>
  <si>
    <t>Yoshida, Gerald</t>
  </si>
  <si>
    <t>2/15/2025</t>
  </si>
  <si>
    <t>4A76W76UD88</t>
  </si>
  <si>
    <t>Hoffman, Bonnie</t>
  </si>
  <si>
    <t>2/19/2025</t>
  </si>
  <si>
    <t>7RY8JG5TX26</t>
  </si>
  <si>
    <t>2/21/2025</t>
  </si>
  <si>
    <t>2/5/2025</t>
  </si>
  <si>
    <t>2/2/2025</t>
  </si>
  <si>
    <t>2/13/2025</t>
  </si>
  <si>
    <t>Ruiz, Daisy</t>
  </si>
  <si>
    <t>8MP7KU9WT34</t>
  </si>
  <si>
    <t>Catalan, Felipe</t>
  </si>
  <si>
    <t>5JH4Q72QC76</t>
  </si>
  <si>
    <t>1/1/2025</t>
  </si>
  <si>
    <t>Shafer, Richard</t>
  </si>
  <si>
    <t>1/11/2025</t>
  </si>
  <si>
    <t>9UV5H70RT69</t>
  </si>
  <si>
    <t>Arruda, Hazel</t>
  </si>
  <si>
    <t>12/1/2024</t>
  </si>
  <si>
    <t>4EF3UH1YF07</t>
  </si>
  <si>
    <t>Sandoval, Jose</t>
  </si>
  <si>
    <t>8QA4PN2NT92</t>
  </si>
  <si>
    <t>1/14/2025</t>
  </si>
  <si>
    <t>Lopez, Ediberto</t>
  </si>
  <si>
    <t>6MA8FY6TD21</t>
  </si>
  <si>
    <t>1/15/2025</t>
  </si>
  <si>
    <t>1/24/2025</t>
  </si>
  <si>
    <t>Klein, Joseph</t>
  </si>
  <si>
    <t>9HV3HN9FD87</t>
  </si>
  <si>
    <t>1/25/2025</t>
  </si>
  <si>
    <t>Schroeder, Stephen</t>
  </si>
  <si>
    <t>4AW1MU3DM15</t>
  </si>
  <si>
    <t>Bell, Edward</t>
  </si>
  <si>
    <t>9HA1Y21MR02</t>
  </si>
  <si>
    <t>Herns, Allen</t>
  </si>
  <si>
    <t>9F30EN2VE25</t>
  </si>
  <si>
    <t>12/16/2024</t>
  </si>
  <si>
    <t>Gomez, Gloria</t>
  </si>
  <si>
    <t>11/1/2024</t>
  </si>
  <si>
    <t>1NH7Q32NR48</t>
  </si>
  <si>
    <t>12/9/2024</t>
  </si>
  <si>
    <t>12/2/2024</t>
  </si>
  <si>
    <t>12/18/2024</t>
  </si>
  <si>
    <t>12/10/2024</t>
  </si>
  <si>
    <t>Whitehead, Chantal</t>
  </si>
  <si>
    <t>8UA1G90QK27</t>
  </si>
  <si>
    <t>Trejo Garcia, Fernando</t>
  </si>
  <si>
    <t>12/27/2024</t>
  </si>
  <si>
    <t>4CF5WK7CE56</t>
  </si>
  <si>
    <t>12/31/2024</t>
  </si>
  <si>
    <t>11/26/2024</t>
  </si>
  <si>
    <t>Johnson, Fannie</t>
  </si>
  <si>
    <t>9M86W64UC30</t>
  </si>
  <si>
    <t>Duron, Beatrice</t>
  </si>
  <si>
    <t>7J57WF4AN34</t>
  </si>
  <si>
    <t>Dominguez, Juan</t>
  </si>
  <si>
    <t>1RR7YP4NA52</t>
  </si>
  <si>
    <t>Hernandez, Lucila</t>
  </si>
  <si>
    <t>5/7/2024</t>
  </si>
  <si>
    <t>1W59QT2RK52</t>
  </si>
  <si>
    <t>11/5/2024</t>
  </si>
  <si>
    <t>11/24/2024</t>
  </si>
  <si>
    <t>11/25/2024</t>
  </si>
  <si>
    <t>11/14/2024</t>
  </si>
  <si>
    <t>11/30/2024</t>
  </si>
  <si>
    <t>11/22/2024</t>
  </si>
  <si>
    <t>11/18/2024</t>
  </si>
  <si>
    <t>11/21/2024</t>
  </si>
  <si>
    <t>11/13/2024</t>
  </si>
  <si>
    <t>Derbyshire, Gloria</t>
  </si>
  <si>
    <t>1G61YN1PJ22</t>
  </si>
  <si>
    <t>10/1/2024</t>
  </si>
  <si>
    <t>Radau, Christa</t>
  </si>
  <si>
    <t>10/19/2024</t>
  </si>
  <si>
    <t>7CC4RJ7FK78</t>
  </si>
  <si>
    <t>Finch, Patricia</t>
  </si>
  <si>
    <t>10/23/2024</t>
  </si>
  <si>
    <t>8Q67AP8NW52</t>
  </si>
  <si>
    <t>10/15/2024</t>
  </si>
  <si>
    <t>10/18/2024</t>
  </si>
  <si>
    <t>9/1/2024</t>
  </si>
  <si>
    <t>8/1/2024</t>
  </si>
  <si>
    <t>9/29/2024</t>
  </si>
  <si>
    <t>9/16/2024</t>
  </si>
  <si>
    <t>9/15/2024</t>
  </si>
  <si>
    <t>8/22/2024</t>
  </si>
  <si>
    <t>Flores De Moral, Ana</t>
  </si>
  <si>
    <t>2/17/2026</t>
  </si>
  <si>
    <t>5XY2G84VK86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</si>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</sst>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4C5358F2-91A3-43E0-9113-F8B97FB1E0BC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G378" sqref="G378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140</v>
      </c>
      <c r="B24" s="66"/>
      <c r="C24" s="67">
        <f>SUM(C3:C23)</f>
        <v>0</v>
      </c>
    </row>
    <row r="25" spans="1:3" ht="15.6" customHeight="1">
      <c r="A25" s="69" t="s">
        <v>141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140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140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67263.59</v>
      </c>
      <c r="F86" t="s">
        <v>142</v>
      </c>
    </row>
    <row r="87" spans="1:6" ht="15.75" customHeight="1">
      <c r="A87" s="63">
        <v>45709</v>
      </c>
      <c r="B87" s="8">
        <v>45713</v>
      </c>
      <c r="C87" s="64">
        <v>8161.15</v>
      </c>
      <c r="F87" t="s">
        <v>142</v>
      </c>
    </row>
    <row r="88" spans="1:6" ht="15.75" customHeight="1">
      <c r="A88" s="63">
        <v>45712</v>
      </c>
      <c r="B88" s="8">
        <v>45714</v>
      </c>
      <c r="C88" s="64">
        <v>105930.81</v>
      </c>
      <c r="F88" t="s">
        <v>142</v>
      </c>
    </row>
    <row r="89" spans="1:6" ht="15.75" customHeight="1">
      <c r="A89" s="63">
        <v>45713</v>
      </c>
      <c r="B89" s="8">
        <v>45715</v>
      </c>
      <c r="C89" s="64">
        <v>2369.37</v>
      </c>
      <c r="F89" t="s">
        <v>142</v>
      </c>
    </row>
    <row r="90" spans="1:6" ht="15.75" customHeight="1">
      <c r="A90" s="63">
        <v>45714</v>
      </c>
      <c r="B90" s="8">
        <v>45716</v>
      </c>
      <c r="C90" s="64">
        <v>20636.64</v>
      </c>
      <c r="F90" t="s">
        <v>142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>
        <v>16061.52</v>
      </c>
      <c r="F92" t="s">
        <v>142</v>
      </c>
    </row>
    <row r="93" spans="1:6" ht="15.75" customHeight="1">
      <c r="A93" s="65" t="s">
        <v>140</v>
      </c>
      <c r="B93" s="66"/>
      <c r="C93" s="67">
        <f>SUM(C73:C92)</f>
        <v>220423.08</v>
      </c>
    </row>
    <row r="94" spans="1:6" ht="15.75" customHeight="1">
      <c r="A94" s="63">
        <v>45719</v>
      </c>
      <c r="B94" s="8">
        <v>45721</v>
      </c>
      <c r="C94" s="64">
        <v>6428.07</v>
      </c>
      <c r="F94" t="s">
        <v>142</v>
      </c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>
        <v>114854.89</v>
      </c>
      <c r="F107" t="s">
        <v>142</v>
      </c>
    </row>
    <row r="108" spans="1:6" ht="15.75" customHeight="1">
      <c r="A108" s="63">
        <v>45737</v>
      </c>
      <c r="B108" s="8">
        <v>45741</v>
      </c>
      <c r="C108" s="64">
        <v>52539.31</v>
      </c>
      <c r="F108" t="s">
        <v>142</v>
      </c>
    </row>
    <row r="109" spans="1:6" ht="15.75" customHeight="1">
      <c r="A109" s="63">
        <v>45740</v>
      </c>
      <c r="B109" s="8">
        <v>45742</v>
      </c>
      <c r="C109" s="64">
        <v>200.73</v>
      </c>
      <c r="F109" t="s">
        <v>142</v>
      </c>
    </row>
    <row r="110" spans="1:6" ht="15.75" customHeight="1">
      <c r="A110" s="63">
        <v>45741</v>
      </c>
      <c r="B110" s="8">
        <v>45743</v>
      </c>
      <c r="C110" s="64">
        <v>622.07000000000005</v>
      </c>
      <c r="F110" t="s">
        <v>142</v>
      </c>
    </row>
    <row r="111" spans="1:6" ht="15.75" customHeight="1">
      <c r="A111" s="63">
        <v>45742</v>
      </c>
      <c r="B111" s="8">
        <v>45744</v>
      </c>
      <c r="C111" s="64">
        <v>31925.17</v>
      </c>
      <c r="F111" t="s">
        <v>142</v>
      </c>
    </row>
    <row r="112" spans="1:6" ht="15.75" customHeight="1">
      <c r="A112" s="63">
        <v>45743</v>
      </c>
      <c r="B112" s="8">
        <v>45747</v>
      </c>
      <c r="C112" s="64">
        <v>4212.21</v>
      </c>
      <c r="F112" t="s">
        <v>142</v>
      </c>
    </row>
    <row r="113" spans="1:6" ht="15.75" customHeight="1">
      <c r="A113" s="63">
        <v>45744</v>
      </c>
      <c r="B113" s="8">
        <v>45748</v>
      </c>
      <c r="C113" s="64">
        <v>8161.14</v>
      </c>
      <c r="F113" t="s">
        <v>142</v>
      </c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140</v>
      </c>
      <c r="B115" s="66"/>
      <c r="C115" s="67">
        <f>SUM(C94:C114)</f>
        <v>218943.59</v>
      </c>
    </row>
    <row r="116" spans="1:6" ht="15.75" customHeight="1">
      <c r="A116" s="63">
        <v>45748</v>
      </c>
      <c r="B116" s="8">
        <v>45750</v>
      </c>
      <c r="C116" s="64">
        <v>16483.07</v>
      </c>
      <c r="F116" t="s">
        <v>142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>
        <v>5265.26</v>
      </c>
      <c r="F120" t="s">
        <v>142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>
        <v>7354.53</v>
      </c>
      <c r="F125" t="s">
        <v>142</v>
      </c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33874.300000000003</v>
      </c>
      <c r="F130" t="s">
        <v>142</v>
      </c>
    </row>
    <row r="131" spans="1:6" ht="15.75" customHeight="1">
      <c r="A131" s="63">
        <v>45769</v>
      </c>
      <c r="B131" s="8">
        <v>45771</v>
      </c>
      <c r="C131" s="64">
        <v>255296.06</v>
      </c>
      <c r="F131" t="s">
        <v>142</v>
      </c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8950.92</v>
      </c>
      <c r="F133" t="s">
        <v>142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>
        <v>5791.78</v>
      </c>
      <c r="F136" t="s">
        <v>142</v>
      </c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140</v>
      </c>
      <c r="B138" s="66"/>
      <c r="C138" s="67">
        <f>SUM(C116:C137)</f>
        <v>333015.92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249357.4</v>
      </c>
      <c r="F156" t="s">
        <v>142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>
        <v>2803.36</v>
      </c>
      <c r="F158" t="s">
        <v>142</v>
      </c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140</v>
      </c>
      <c r="B160" s="66"/>
      <c r="C160" s="67">
        <f>SUM(C139:C159)</f>
        <v>252160.75999999998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>
        <v>846.21</v>
      </c>
      <c r="F170" t="s">
        <v>142</v>
      </c>
    </row>
    <row r="171" spans="1:6" ht="15.75" customHeight="1">
      <c r="A171" s="63">
        <v>45824</v>
      </c>
      <c r="B171" s="8">
        <v>45826</v>
      </c>
      <c r="C171" s="64">
        <v>3065.7</v>
      </c>
      <c r="F171" t="s">
        <v>142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1117.6400000000001</v>
      </c>
      <c r="F175" t="s">
        <v>142</v>
      </c>
    </row>
    <row r="176" spans="1:6" ht="15.75" customHeight="1">
      <c r="A176" s="63">
        <v>45831</v>
      </c>
      <c r="B176" s="8">
        <v>45833</v>
      </c>
      <c r="C176" s="64">
        <v>161918.78</v>
      </c>
      <c r="F176" t="s">
        <v>142</v>
      </c>
    </row>
    <row r="177" spans="1:6" ht="15.75" customHeight="1">
      <c r="A177" s="63">
        <v>45832</v>
      </c>
      <c r="B177" s="8">
        <v>45834</v>
      </c>
      <c r="C177" s="64">
        <v>112400.33</v>
      </c>
      <c r="F177" t="s">
        <v>142</v>
      </c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140</v>
      </c>
      <c r="B182" s="66"/>
      <c r="C182" s="67">
        <f>SUM(C161:C181)</f>
        <v>279348.65999999997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>
        <v>244116.76</v>
      </c>
      <c r="F197" t="s">
        <v>142</v>
      </c>
    </row>
    <row r="198" spans="1:6" ht="15.75" customHeight="1">
      <c r="A198" s="63">
        <v>45861</v>
      </c>
      <c r="B198" s="8">
        <v>45863</v>
      </c>
      <c r="C198" s="64">
        <v>5945.01</v>
      </c>
      <c r="F198" t="s">
        <v>142</v>
      </c>
    </row>
    <row r="199" spans="1:6" ht="15.75" customHeight="1">
      <c r="A199" s="63">
        <v>45862</v>
      </c>
      <c r="B199" s="8">
        <v>45866</v>
      </c>
      <c r="C199" s="64">
        <v>17321.900000000001</v>
      </c>
      <c r="F199" t="s">
        <v>142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13592.07</v>
      </c>
      <c r="F201" t="s">
        <v>142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140</v>
      </c>
      <c r="B205" s="66"/>
      <c r="C205" s="67">
        <f>SUM(C183:C204)</f>
        <v>280975.74000000005</v>
      </c>
    </row>
    <row r="206" spans="1:6" ht="15.75" customHeight="1">
      <c r="A206" s="63">
        <v>45870</v>
      </c>
      <c r="B206" s="8">
        <v>45874</v>
      </c>
      <c r="C206" s="64">
        <v>6220.72</v>
      </c>
      <c r="F206" t="s">
        <v>142</v>
      </c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>
        <v>76971.63</v>
      </c>
      <c r="F218" t="s">
        <v>142</v>
      </c>
    </row>
    <row r="219" spans="1:6" ht="15.75" customHeight="1">
      <c r="A219" s="63">
        <v>45889</v>
      </c>
      <c r="B219" s="8">
        <v>45891</v>
      </c>
      <c r="C219" s="64">
        <v>227307.82</v>
      </c>
      <c r="F219" t="s">
        <v>142</v>
      </c>
    </row>
    <row r="220" spans="1:6" ht="15.75" customHeight="1">
      <c r="A220" s="63">
        <v>45890</v>
      </c>
      <c r="B220" s="8">
        <v>45894</v>
      </c>
      <c r="C220" s="64">
        <v>5351.87</v>
      </c>
      <c r="F220" t="s">
        <v>142</v>
      </c>
    </row>
    <row r="221" spans="1:6" ht="15.75" customHeight="1">
      <c r="A221" s="63">
        <v>45891</v>
      </c>
      <c r="B221" s="8">
        <v>45895</v>
      </c>
      <c r="C221" s="64">
        <v>4398.8599999999997</v>
      </c>
      <c r="F221" t="s">
        <v>142</v>
      </c>
    </row>
    <row r="222" spans="1:6" ht="15.75" customHeight="1">
      <c r="A222" s="63">
        <v>45894</v>
      </c>
      <c r="B222" s="8">
        <v>45896</v>
      </c>
      <c r="C222" s="64">
        <v>17608.09</v>
      </c>
      <c r="F222" t="s">
        <v>142</v>
      </c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>
        <v>3948.94</v>
      </c>
      <c r="F225" t="s">
        <v>142</v>
      </c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140</v>
      </c>
      <c r="B227" s="66"/>
      <c r="C227" s="67">
        <f>SUM(C206:C226)</f>
        <v>341807.93000000005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>
        <v>101980.88</v>
      </c>
      <c r="F242" t="s">
        <v>142</v>
      </c>
    </row>
    <row r="243" spans="1:6" ht="15.75" customHeight="1">
      <c r="A243" s="63">
        <v>45923</v>
      </c>
      <c r="B243" s="8">
        <v>45925</v>
      </c>
      <c r="C243" s="64">
        <v>190864.08</v>
      </c>
      <c r="F243" t="s">
        <v>142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>
        <v>11751.22</v>
      </c>
      <c r="F248" t="s">
        <v>142</v>
      </c>
    </row>
    <row r="249" spans="1:6" ht="15.75" customHeight="1">
      <c r="A249" s="65" t="s">
        <v>140</v>
      </c>
      <c r="B249" s="66"/>
      <c r="C249" s="67">
        <f>SUM(C228:C248)</f>
        <v>304596.17999999993</v>
      </c>
    </row>
    <row r="250" spans="1:6" ht="15.75" customHeight="1">
      <c r="A250" s="63">
        <v>45931</v>
      </c>
      <c r="B250" s="8">
        <v>45933</v>
      </c>
      <c r="C250" s="64">
        <v>789.79</v>
      </c>
      <c r="F250" t="s">
        <v>142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>
        <v>9199.6200000000008</v>
      </c>
      <c r="F253" t="s">
        <v>142</v>
      </c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>
        <v>207300.97</v>
      </c>
      <c r="F265" t="s">
        <v>142</v>
      </c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>
        <v>13647.36</v>
      </c>
      <c r="F270" t="s">
        <v>142</v>
      </c>
    </row>
    <row r="271" spans="1:6" ht="15.75" customHeight="1">
      <c r="A271" s="63">
        <v>45960</v>
      </c>
      <c r="B271" s="8">
        <v>45964</v>
      </c>
      <c r="C271" s="64">
        <v>789.79</v>
      </c>
      <c r="F271" t="s">
        <v>142</v>
      </c>
    </row>
    <row r="272" spans="1:6" ht="15.75" customHeight="1">
      <c r="A272" s="63">
        <v>45961</v>
      </c>
      <c r="B272" s="8">
        <v>45965</v>
      </c>
      <c r="C272" s="64"/>
    </row>
    <row r="273" spans="1:3" ht="15.75" customHeight="1">
      <c r="A273" s="65" t="s">
        <v>140</v>
      </c>
      <c r="B273" s="66"/>
      <c r="C273" s="67">
        <f>SUM(C250:C272)</f>
        <v>231727.53</v>
      </c>
    </row>
    <row r="274" spans="1:3" ht="15.75" customHeight="1">
      <c r="A274" s="63">
        <v>45964</v>
      </c>
      <c r="B274" s="8">
        <v>45966</v>
      </c>
      <c r="C274" s="64"/>
    </row>
    <row r="275" spans="1:3" ht="15.75" customHeight="1">
      <c r="A275" s="63">
        <v>45965</v>
      </c>
      <c r="B275" s="8">
        <v>45967</v>
      </c>
      <c r="C275" s="64"/>
    </row>
    <row r="276" spans="1:3" ht="15.75" customHeight="1">
      <c r="A276" s="63">
        <v>45966</v>
      </c>
      <c r="B276" s="8">
        <v>45968</v>
      </c>
      <c r="C276" s="64"/>
    </row>
    <row r="277" spans="1:3" ht="15.75" customHeight="1">
      <c r="A277" s="63">
        <v>45967</v>
      </c>
      <c r="B277" s="8">
        <v>45971</v>
      </c>
      <c r="C277" s="64"/>
    </row>
    <row r="278" spans="1:3" ht="15.75" customHeight="1">
      <c r="A278" s="63">
        <v>45968</v>
      </c>
      <c r="B278" s="8">
        <v>45972</v>
      </c>
      <c r="C278" s="64"/>
    </row>
    <row r="279" spans="1:3" ht="15.75" customHeight="1">
      <c r="A279" s="63">
        <v>45971</v>
      </c>
      <c r="B279" s="8">
        <v>45973</v>
      </c>
      <c r="C279" s="64"/>
    </row>
    <row r="280" spans="1:3" ht="15.75" customHeight="1">
      <c r="A280" s="63">
        <v>45972</v>
      </c>
      <c r="B280" s="8">
        <v>45974</v>
      </c>
      <c r="C280" s="64"/>
    </row>
    <row r="281" spans="1:3" ht="15.75" customHeight="1">
      <c r="A281" s="63">
        <v>45973</v>
      </c>
      <c r="B281" s="8">
        <v>45975</v>
      </c>
      <c r="C281" s="64"/>
    </row>
    <row r="282" spans="1:3" ht="15.75" customHeight="1">
      <c r="A282" s="63">
        <v>45974</v>
      </c>
      <c r="B282" s="8">
        <v>45978</v>
      </c>
      <c r="C282" s="64"/>
    </row>
    <row r="283" spans="1:3" ht="15.75" customHeight="1">
      <c r="A283" s="63">
        <v>45975</v>
      </c>
      <c r="B283" s="8">
        <v>45979</v>
      </c>
      <c r="C283" s="64"/>
    </row>
    <row r="284" spans="1:3" ht="15.75" customHeight="1">
      <c r="A284" s="63">
        <v>45978</v>
      </c>
      <c r="B284" s="8">
        <v>45980</v>
      </c>
      <c r="C284" s="64"/>
    </row>
    <row r="285" spans="1:3" ht="15.75" customHeight="1">
      <c r="A285" s="63">
        <v>45979</v>
      </c>
      <c r="B285" s="8">
        <v>45981</v>
      </c>
      <c r="C285" s="64"/>
    </row>
    <row r="286" spans="1:3" ht="15.75" customHeight="1">
      <c r="A286" s="63">
        <v>45980</v>
      </c>
      <c r="B286" s="8">
        <v>45982</v>
      </c>
      <c r="C286" s="64"/>
    </row>
    <row r="287" spans="1:3" ht="15.75" customHeight="1">
      <c r="A287" s="63">
        <v>45981</v>
      </c>
      <c r="B287" s="8">
        <v>45985</v>
      </c>
      <c r="C287" s="64"/>
    </row>
    <row r="288" spans="1:3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>
        <v>136966.20000000001</v>
      </c>
      <c r="F289" t="s">
        <v>142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140</v>
      </c>
      <c r="B292" s="66"/>
      <c r="C292" s="67">
        <f>SUM(C274:C291)</f>
        <v>136966.20000000001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1568.25</v>
      </c>
      <c r="F300" t="s">
        <v>142</v>
      </c>
    </row>
    <row r="301" spans="1:6" ht="15.75" customHeight="1">
      <c r="A301" s="63">
        <v>46002</v>
      </c>
      <c r="B301" s="8">
        <v>46006</v>
      </c>
      <c r="C301" s="64">
        <v>8555.36</v>
      </c>
      <c r="F301" t="s">
        <v>142</v>
      </c>
    </row>
    <row r="302" spans="1:6" ht="15.75" customHeight="1">
      <c r="A302" s="63">
        <v>46003</v>
      </c>
      <c r="B302" s="8">
        <v>46007</v>
      </c>
      <c r="C302" s="64">
        <v>7817.96</v>
      </c>
      <c r="F302" t="s">
        <v>142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>
        <v>13079.39</v>
      </c>
      <c r="F307" t="s">
        <v>142</v>
      </c>
    </row>
    <row r="308" spans="1:8" ht="15.75" customHeight="1">
      <c r="A308" s="63">
        <v>46013</v>
      </c>
      <c r="B308" s="8">
        <v>46017</v>
      </c>
      <c r="C308" s="64">
        <v>124476.98</v>
      </c>
      <c r="F308" t="s">
        <v>142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9088.56</v>
      </c>
      <c r="F311" t="s">
        <v>142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140</v>
      </c>
      <c r="B314" s="44"/>
      <c r="C314" s="45">
        <f>SUM(C293:C312)</f>
        <v>164586.5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>
        <v>7714.61</v>
      </c>
      <c r="F320" s="17" t="s">
        <v>142</v>
      </c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>
        <v>1316.83</v>
      </c>
      <c r="F322" s="17" t="s">
        <v>142</v>
      </c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140</v>
      </c>
      <c r="B335" s="47"/>
      <c r="C335" s="48">
        <f>SUM(C315:C334)</f>
        <v>9031.4399999999987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105357.57</v>
      </c>
      <c r="F339" s="17" t="s">
        <v>142</v>
      </c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12514.09</v>
      </c>
      <c r="F344" s="17" t="s">
        <v>142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46851.5</v>
      </c>
      <c r="F351" s="17" t="s">
        <v>142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1563.4</v>
      </c>
      <c r="F353" s="17" t="s">
        <v>142</v>
      </c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140</v>
      </c>
      <c r="B355" s="47"/>
      <c r="C355" s="48">
        <f>SUM(C336:C354)</f>
        <v>166286.56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6162.09</v>
      </c>
      <c r="F356" s="17" t="s">
        <v>142</v>
      </c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2269.73</v>
      </c>
      <c r="F362" s="17" t="s">
        <v>142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89980.55</v>
      </c>
      <c r="F370" s="17" t="s">
        <v>143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>
        <v>3198.12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140</v>
      </c>
      <c r="B378" s="47"/>
      <c r="C378" s="48">
        <f>SUM(C356:C377)</f>
        <v>101610.48999999999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140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D18" sqref="D18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7462.29</v>
      </c>
      <c r="D2" s="7">
        <v>46101</v>
      </c>
      <c r="F2" t="s">
        <v>150</v>
      </c>
    </row>
    <row r="3" spans="1:6">
      <c r="A3" t="s">
        <v>151</v>
      </c>
      <c r="B3" s="14" t="s">
        <v>149</v>
      </c>
      <c r="C3" s="6">
        <v>6396.24</v>
      </c>
      <c r="D3" s="7">
        <v>46101</v>
      </c>
      <c r="F3" t="s">
        <v>152</v>
      </c>
    </row>
    <row r="4" spans="1:6">
      <c r="A4" t="s">
        <v>153</v>
      </c>
      <c r="B4" s="14" t="s">
        <v>154</v>
      </c>
      <c r="C4" s="6">
        <v>3997.66</v>
      </c>
      <c r="D4" s="7">
        <v>46101</v>
      </c>
      <c r="F4" t="s">
        <v>155</v>
      </c>
    </row>
    <row r="5" spans="1:6">
      <c r="A5" t="s">
        <v>156</v>
      </c>
      <c r="B5" s="14" t="s">
        <v>157</v>
      </c>
      <c r="C5" s="6">
        <v>6662.76</v>
      </c>
      <c r="D5" s="7">
        <v>46101</v>
      </c>
      <c r="F5" t="s">
        <v>158</v>
      </c>
    </row>
    <row r="6" spans="1:6">
      <c r="A6" t="s">
        <v>159</v>
      </c>
      <c r="B6" s="14" t="s">
        <v>149</v>
      </c>
      <c r="C6" s="6">
        <v>7356.11</v>
      </c>
      <c r="D6" s="7">
        <v>46101</v>
      </c>
      <c r="F6" t="s">
        <v>160</v>
      </c>
    </row>
    <row r="7" spans="1:6">
      <c r="A7" t="s">
        <v>161</v>
      </c>
      <c r="B7" s="14" t="s">
        <v>149</v>
      </c>
      <c r="C7" s="6">
        <v>5750.61</v>
      </c>
      <c r="D7" s="7">
        <v>46101</v>
      </c>
      <c r="F7" t="s">
        <v>162</v>
      </c>
    </row>
    <row r="8" spans="1:6">
      <c r="A8" t="s">
        <v>163</v>
      </c>
      <c r="B8" s="14" t="s">
        <v>154</v>
      </c>
      <c r="C8" s="6">
        <v>3997.66</v>
      </c>
      <c r="D8" s="7">
        <v>46101</v>
      </c>
      <c r="F8" t="s">
        <v>164</v>
      </c>
    </row>
    <row r="9" spans="1:6">
      <c r="A9" t="s">
        <v>165</v>
      </c>
      <c r="B9" s="14" t="s">
        <v>149</v>
      </c>
      <c r="C9" s="6">
        <v>7462.29</v>
      </c>
      <c r="D9" s="7">
        <v>46101</v>
      </c>
      <c r="F9" t="s">
        <v>166</v>
      </c>
    </row>
    <row r="10" spans="1:6">
      <c r="A10" t="s">
        <v>167</v>
      </c>
      <c r="B10" s="14" t="s">
        <v>168</v>
      </c>
      <c r="C10" s="6">
        <v>312.52</v>
      </c>
      <c r="D10" s="7">
        <v>46101</v>
      </c>
      <c r="F10" t="s">
        <v>169</v>
      </c>
    </row>
    <row r="11" spans="1:6">
      <c r="A11" t="s">
        <v>170</v>
      </c>
      <c r="B11" s="14" t="s">
        <v>154</v>
      </c>
      <c r="C11" s="6">
        <v>3997.66</v>
      </c>
      <c r="D11" s="7">
        <v>46101</v>
      </c>
      <c r="F11" t="s">
        <v>171</v>
      </c>
    </row>
    <row r="12" spans="1:6">
      <c r="A12" t="s">
        <v>172</v>
      </c>
      <c r="B12" s="14" t="s">
        <v>149</v>
      </c>
      <c r="C12" s="6">
        <v>7462.29</v>
      </c>
      <c r="D12" s="7">
        <v>46101</v>
      </c>
      <c r="F12" t="s">
        <v>173</v>
      </c>
    </row>
    <row r="13" spans="1:6">
      <c r="A13" t="s">
        <v>174</v>
      </c>
      <c r="B13" s="14" t="s">
        <v>149</v>
      </c>
      <c r="C13" s="6">
        <v>3126.82</v>
      </c>
      <c r="D13" s="7">
        <v>46101</v>
      </c>
      <c r="F13" t="s">
        <v>175</v>
      </c>
    </row>
    <row r="14" spans="1:6">
      <c r="A14" t="s">
        <v>176</v>
      </c>
      <c r="B14" s="14" t="s">
        <v>149</v>
      </c>
      <c r="C14" s="6">
        <v>7295.9</v>
      </c>
      <c r="D14" s="7">
        <v>46101</v>
      </c>
      <c r="F14" t="s">
        <v>177</v>
      </c>
    </row>
    <row r="15" spans="1:6">
      <c r="A15" t="s">
        <v>178</v>
      </c>
      <c r="B15" s="14" t="s">
        <v>149</v>
      </c>
      <c r="C15" s="6">
        <v>5671.69</v>
      </c>
      <c r="D15" s="7">
        <v>46101</v>
      </c>
      <c r="F15" t="s">
        <v>179</v>
      </c>
    </row>
    <row r="16" spans="1:6">
      <c r="A16" t="s">
        <v>180</v>
      </c>
      <c r="B16" s="14" t="s">
        <v>149</v>
      </c>
      <c r="C16" s="6">
        <v>5565.76</v>
      </c>
      <c r="D16" s="7">
        <v>46101</v>
      </c>
      <c r="F16" t="s">
        <v>181</v>
      </c>
    </row>
    <row r="17" spans="1:6">
      <c r="A17" t="s">
        <v>182</v>
      </c>
      <c r="B17" s="14" t="s">
        <v>149</v>
      </c>
      <c r="C17" s="6">
        <v>7462.29</v>
      </c>
      <c r="D17" s="7">
        <v>46101</v>
      </c>
      <c r="F17" t="s">
        <v>183</v>
      </c>
    </row>
    <row r="18" spans="1:6">
      <c r="A18" t="s">
        <v>184</v>
      </c>
      <c r="B18" s="14" t="s">
        <v>185</v>
      </c>
      <c r="C18" s="6">
        <v>2269.73</v>
      </c>
      <c r="D18" s="7">
        <v>46091</v>
      </c>
      <c r="F18" t="s">
        <v>186</v>
      </c>
    </row>
    <row r="19" spans="1:6">
      <c r="A19" t="s">
        <v>180</v>
      </c>
      <c r="B19" s="14" t="s">
        <v>187</v>
      </c>
      <c r="C19" s="6">
        <v>6162.09</v>
      </c>
      <c r="D19" s="7">
        <v>46083</v>
      </c>
      <c r="F19" t="s">
        <v>181</v>
      </c>
    </row>
    <row r="20" spans="1:6">
      <c r="A20" t="s">
        <v>188</v>
      </c>
      <c r="B20" s="14" t="s">
        <v>185</v>
      </c>
      <c r="C20" s="6">
        <v>1563.4</v>
      </c>
      <c r="D20" s="7">
        <v>46079</v>
      </c>
      <c r="F20" t="s">
        <v>189</v>
      </c>
    </row>
    <row r="21" spans="1:6">
      <c r="A21" t="s">
        <v>176</v>
      </c>
      <c r="B21" s="14" t="s">
        <v>190</v>
      </c>
      <c r="C21" s="6">
        <v>1823.98</v>
      </c>
      <c r="D21" s="7">
        <v>46077</v>
      </c>
      <c r="F21" t="s">
        <v>177</v>
      </c>
    </row>
    <row r="22" spans="1:6">
      <c r="A22" t="s">
        <v>174</v>
      </c>
      <c r="B22" s="14" t="s">
        <v>190</v>
      </c>
      <c r="C22" s="6">
        <v>1823.98</v>
      </c>
      <c r="D22" s="7">
        <v>46077</v>
      </c>
      <c r="F22" t="s">
        <v>175</v>
      </c>
    </row>
    <row r="23" spans="1:6">
      <c r="A23" t="s">
        <v>172</v>
      </c>
      <c r="B23" s="14" t="s">
        <v>191</v>
      </c>
      <c r="C23" s="6">
        <v>1066.04</v>
      </c>
      <c r="D23" s="7">
        <v>46077</v>
      </c>
      <c r="F23" t="s">
        <v>173</v>
      </c>
    </row>
    <row r="24" spans="1:6">
      <c r="A24" t="s">
        <v>182</v>
      </c>
      <c r="B24" s="14" t="s">
        <v>192</v>
      </c>
      <c r="C24" s="6">
        <v>4264.17</v>
      </c>
      <c r="D24" s="7">
        <v>46077</v>
      </c>
      <c r="F24" t="s">
        <v>183</v>
      </c>
    </row>
    <row r="25" spans="1:6">
      <c r="A25" t="s">
        <v>165</v>
      </c>
      <c r="B25" s="14" t="s">
        <v>193</v>
      </c>
      <c r="C25" s="6">
        <v>799.53</v>
      </c>
      <c r="D25" s="7">
        <v>46077</v>
      </c>
      <c r="F25" t="s">
        <v>166</v>
      </c>
    </row>
    <row r="26" spans="1:6">
      <c r="A26" t="s">
        <v>159</v>
      </c>
      <c r="B26" s="14" t="s">
        <v>194</v>
      </c>
      <c r="C26" s="6">
        <v>4466.2</v>
      </c>
      <c r="D26" s="7">
        <v>46077</v>
      </c>
      <c r="F26" t="s">
        <v>160</v>
      </c>
    </row>
    <row r="27" spans="1:6">
      <c r="A27" t="s">
        <v>151</v>
      </c>
      <c r="B27" s="14" t="s">
        <v>195</v>
      </c>
      <c r="C27" s="6">
        <v>533.02</v>
      </c>
      <c r="D27" s="7">
        <v>46077</v>
      </c>
      <c r="F27" t="s">
        <v>152</v>
      </c>
    </row>
    <row r="28" spans="1:6">
      <c r="A28" t="s">
        <v>148</v>
      </c>
      <c r="B28" s="14" t="s">
        <v>196</v>
      </c>
      <c r="C28" s="6">
        <v>4797.1899999999996</v>
      </c>
      <c r="D28" s="7">
        <v>46077</v>
      </c>
      <c r="F28" t="s">
        <v>150</v>
      </c>
    </row>
    <row r="29" spans="1:6">
      <c r="A29" t="s">
        <v>197</v>
      </c>
      <c r="B29" s="14" t="s">
        <v>198</v>
      </c>
      <c r="C29" s="6">
        <v>521.13</v>
      </c>
      <c r="D29" s="7">
        <v>46077</v>
      </c>
      <c r="F29" t="s">
        <v>199</v>
      </c>
    </row>
    <row r="30" spans="1:6">
      <c r="A30" t="s">
        <v>200</v>
      </c>
      <c r="B30" s="14" t="s">
        <v>187</v>
      </c>
      <c r="C30" s="6">
        <v>13877.57</v>
      </c>
      <c r="D30" s="7">
        <v>46077</v>
      </c>
      <c r="F30" t="s">
        <v>201</v>
      </c>
    </row>
    <row r="31" spans="1:6">
      <c r="A31" t="s">
        <v>178</v>
      </c>
      <c r="B31" s="14" t="s">
        <v>187</v>
      </c>
      <c r="C31" s="6">
        <v>6511.94</v>
      </c>
      <c r="D31" s="7">
        <v>46077</v>
      </c>
      <c r="F31" t="s">
        <v>179</v>
      </c>
    </row>
    <row r="32" spans="1:6">
      <c r="A32" t="s">
        <v>161</v>
      </c>
      <c r="B32" s="14" t="s">
        <v>187</v>
      </c>
      <c r="C32" s="6">
        <v>6366.75</v>
      </c>
      <c r="D32" s="7">
        <v>46077</v>
      </c>
      <c r="F32" t="s">
        <v>162</v>
      </c>
    </row>
    <row r="33" spans="1:6">
      <c r="A33" t="s">
        <v>202</v>
      </c>
      <c r="B33" s="14" t="s">
        <v>203</v>
      </c>
      <c r="C33" s="6">
        <v>6301.88</v>
      </c>
      <c r="D33" s="7">
        <v>46065</v>
      </c>
      <c r="F33" t="s">
        <v>204</v>
      </c>
    </row>
    <row r="34" spans="1:6">
      <c r="A34" t="s">
        <v>205</v>
      </c>
      <c r="B34" s="14" t="s">
        <v>203</v>
      </c>
      <c r="C34" s="6">
        <v>6212.21</v>
      </c>
      <c r="D34" s="7">
        <v>46065</v>
      </c>
      <c r="F34" t="s">
        <v>206</v>
      </c>
    </row>
    <row r="35" spans="1:6">
      <c r="A35" t="s">
        <v>161</v>
      </c>
      <c r="B35" s="14" t="s">
        <v>203</v>
      </c>
      <c r="C35" s="6">
        <v>6366.75</v>
      </c>
      <c r="D35" s="7">
        <v>46058</v>
      </c>
      <c r="F35" t="s">
        <v>162</v>
      </c>
    </row>
    <row r="36" spans="1:6">
      <c r="A36" t="s">
        <v>207</v>
      </c>
      <c r="B36" s="14" t="s">
        <v>203</v>
      </c>
      <c r="C36" s="6">
        <v>2100.63</v>
      </c>
      <c r="D36" s="7">
        <v>46058</v>
      </c>
      <c r="F36" t="s">
        <v>208</v>
      </c>
    </row>
    <row r="37" spans="1:6">
      <c r="A37" t="s">
        <v>209</v>
      </c>
      <c r="B37" s="14" t="s">
        <v>203</v>
      </c>
      <c r="C37" s="6">
        <v>5963.32</v>
      </c>
      <c r="D37" s="7">
        <v>46058</v>
      </c>
      <c r="F37" t="s">
        <v>210</v>
      </c>
    </row>
    <row r="38" spans="1:6">
      <c r="A38" t="s">
        <v>211</v>
      </c>
      <c r="B38" s="14" t="s">
        <v>203</v>
      </c>
      <c r="C38" s="6">
        <v>5963.32</v>
      </c>
      <c r="D38" s="7">
        <v>46058</v>
      </c>
      <c r="F38" t="s">
        <v>212</v>
      </c>
    </row>
    <row r="39" spans="1:6">
      <c r="A39" t="s">
        <v>213</v>
      </c>
      <c r="B39" s="14" t="s">
        <v>203</v>
      </c>
      <c r="C39" s="6">
        <v>6161.37</v>
      </c>
      <c r="D39" s="7">
        <v>46058</v>
      </c>
      <c r="F39" t="s">
        <v>214</v>
      </c>
    </row>
    <row r="40" spans="1:6">
      <c r="A40" t="s">
        <v>215</v>
      </c>
      <c r="B40" s="14" t="s">
        <v>203</v>
      </c>
      <c r="C40" s="6">
        <v>6301.88</v>
      </c>
      <c r="D40" s="7">
        <v>46058</v>
      </c>
      <c r="F40" t="s">
        <v>216</v>
      </c>
    </row>
    <row r="41" spans="1:6">
      <c r="A41" t="s">
        <v>217</v>
      </c>
      <c r="B41" s="14" t="s">
        <v>203</v>
      </c>
      <c r="C41" s="6">
        <v>6301.88</v>
      </c>
      <c r="D41" s="7">
        <v>46058</v>
      </c>
      <c r="F41" t="s">
        <v>218</v>
      </c>
    </row>
    <row r="42" spans="1:6">
      <c r="A42" t="s">
        <v>219</v>
      </c>
      <c r="B42" s="14" t="s">
        <v>203</v>
      </c>
      <c r="C42" s="6">
        <v>6301.88</v>
      </c>
      <c r="D42" s="7">
        <v>46058</v>
      </c>
      <c r="F42" t="s">
        <v>220</v>
      </c>
    </row>
    <row r="43" spans="1:6">
      <c r="A43" t="s">
        <v>221</v>
      </c>
      <c r="B43" s="14" t="s">
        <v>203</v>
      </c>
      <c r="C43" s="6">
        <v>6161.37</v>
      </c>
      <c r="D43" s="7">
        <v>46058</v>
      </c>
      <c r="F43" t="s">
        <v>222</v>
      </c>
    </row>
    <row r="44" spans="1:6">
      <c r="A44" t="s">
        <v>223</v>
      </c>
      <c r="B44" s="14" t="s">
        <v>203</v>
      </c>
      <c r="C44" s="6">
        <v>6091.82</v>
      </c>
      <c r="D44" s="7">
        <v>46058</v>
      </c>
      <c r="F44" t="s">
        <v>224</v>
      </c>
    </row>
    <row r="45" spans="1:6">
      <c r="A45" t="s">
        <v>225</v>
      </c>
      <c r="B45" s="14" t="s">
        <v>203</v>
      </c>
      <c r="C45" s="6">
        <v>6091.82</v>
      </c>
      <c r="D45" s="7">
        <v>46058</v>
      </c>
      <c r="F45" t="s">
        <v>226</v>
      </c>
    </row>
    <row r="46" spans="1:6">
      <c r="A46" t="s">
        <v>178</v>
      </c>
      <c r="B46" s="14" t="s">
        <v>203</v>
      </c>
      <c r="C46" s="6">
        <v>6511.94</v>
      </c>
      <c r="D46" s="7">
        <v>46058</v>
      </c>
      <c r="F46" t="s">
        <v>179</v>
      </c>
    </row>
    <row r="47" spans="1:6">
      <c r="A47" t="s">
        <v>227</v>
      </c>
      <c r="B47" s="14" t="s">
        <v>203</v>
      </c>
      <c r="C47" s="6">
        <v>3286.07</v>
      </c>
      <c r="D47" s="7">
        <v>46058</v>
      </c>
      <c r="F47" t="s">
        <v>228</v>
      </c>
    </row>
    <row r="48" spans="1:6">
      <c r="A48" t="s">
        <v>229</v>
      </c>
      <c r="B48" s="14" t="s">
        <v>203</v>
      </c>
      <c r="C48" s="6">
        <v>6301.88</v>
      </c>
      <c r="D48" s="7">
        <v>46058</v>
      </c>
      <c r="F48" t="s">
        <v>230</v>
      </c>
    </row>
    <row r="49" spans="1:6">
      <c r="A49" t="s">
        <v>231</v>
      </c>
      <c r="B49" s="14" t="s">
        <v>203</v>
      </c>
      <c r="C49" s="6">
        <v>6358.33</v>
      </c>
      <c r="D49" s="7">
        <v>46058</v>
      </c>
      <c r="F49" t="s">
        <v>232</v>
      </c>
    </row>
    <row r="50" spans="1:6">
      <c r="A50" t="s">
        <v>233</v>
      </c>
      <c r="B50" s="14" t="s">
        <v>203</v>
      </c>
      <c r="C50" s="6">
        <v>6511.94</v>
      </c>
      <c r="D50" s="7">
        <v>46058</v>
      </c>
      <c r="F50" t="s">
        <v>234</v>
      </c>
    </row>
    <row r="51" spans="1:6">
      <c r="A51" t="s">
        <v>200</v>
      </c>
      <c r="B51" s="14" t="s">
        <v>203</v>
      </c>
      <c r="C51" s="6">
        <v>6419.28</v>
      </c>
      <c r="D51" s="7">
        <v>46058</v>
      </c>
      <c r="F51" t="s">
        <v>201</v>
      </c>
    </row>
    <row r="52" spans="1:6">
      <c r="A52" t="s">
        <v>180</v>
      </c>
      <c r="B52" s="14" t="s">
        <v>203</v>
      </c>
      <c r="C52" s="6">
        <v>6162.09</v>
      </c>
      <c r="D52" s="7">
        <v>46058</v>
      </c>
      <c r="F52" t="s">
        <v>181</v>
      </c>
    </row>
    <row r="53" spans="1:6">
      <c r="A53" t="s">
        <v>235</v>
      </c>
      <c r="B53" s="14" t="s">
        <v>236</v>
      </c>
      <c r="C53" s="6">
        <v>1316.83</v>
      </c>
      <c r="D53" s="7">
        <v>46035</v>
      </c>
      <c r="E53" t="s">
        <v>237</v>
      </c>
      <c r="F53" t="s">
        <v>238</v>
      </c>
    </row>
    <row r="54" spans="1:6">
      <c r="A54" t="s">
        <v>200</v>
      </c>
      <c r="B54" s="14" t="s">
        <v>236</v>
      </c>
      <c r="C54" s="6">
        <v>7714.61</v>
      </c>
      <c r="D54" s="7">
        <v>46031</v>
      </c>
      <c r="F54" t="s">
        <v>201</v>
      </c>
    </row>
    <row r="55" spans="1:6">
      <c r="A55" t="s">
        <v>239</v>
      </c>
      <c r="B55" s="14" t="s">
        <v>236</v>
      </c>
      <c r="C55" s="6">
        <v>821.51</v>
      </c>
      <c r="D55" s="7">
        <v>46020</v>
      </c>
      <c r="F55" t="s">
        <v>240</v>
      </c>
    </row>
    <row r="56" spans="1:6">
      <c r="A56" t="s">
        <v>200</v>
      </c>
      <c r="B56" s="14" t="s">
        <v>241</v>
      </c>
      <c r="C56" s="6">
        <v>8261.82</v>
      </c>
      <c r="D56" s="7">
        <v>46020</v>
      </c>
      <c r="F56" t="s">
        <v>201</v>
      </c>
    </row>
    <row r="57" spans="1:6">
      <c r="A57" t="s">
        <v>225</v>
      </c>
      <c r="B57" s="14" t="s">
        <v>236</v>
      </c>
      <c r="C57" s="6">
        <v>6301.88</v>
      </c>
      <c r="D57" s="7">
        <v>46013</v>
      </c>
      <c r="F57" t="s">
        <v>226</v>
      </c>
    </row>
    <row r="58" spans="1:6">
      <c r="A58" t="s">
        <v>231</v>
      </c>
      <c r="B58" s="14" t="s">
        <v>236</v>
      </c>
      <c r="C58" s="6">
        <v>7995.31</v>
      </c>
      <c r="D58" s="7">
        <v>46013</v>
      </c>
      <c r="F58" t="s">
        <v>232</v>
      </c>
    </row>
    <row r="59" spans="1:6">
      <c r="A59" t="s">
        <v>242</v>
      </c>
      <c r="B59" s="14" t="s">
        <v>236</v>
      </c>
      <c r="C59" s="6">
        <v>1050.31</v>
      </c>
      <c r="D59" s="7">
        <v>46013</v>
      </c>
      <c r="F59" t="s">
        <v>243</v>
      </c>
    </row>
    <row r="60" spans="1:6">
      <c r="A60" t="s">
        <v>244</v>
      </c>
      <c r="B60" s="14" t="s">
        <v>236</v>
      </c>
      <c r="C60" s="6">
        <v>1050.31</v>
      </c>
      <c r="D60" s="7">
        <v>46013</v>
      </c>
      <c r="F60" t="s">
        <v>245</v>
      </c>
    </row>
    <row r="61" spans="1:6">
      <c r="A61" t="s">
        <v>246</v>
      </c>
      <c r="B61" s="14" t="s">
        <v>236</v>
      </c>
      <c r="C61" s="6">
        <v>1050.31</v>
      </c>
      <c r="D61" s="7">
        <v>46013</v>
      </c>
      <c r="F61" t="s">
        <v>247</v>
      </c>
    </row>
    <row r="62" spans="1:6">
      <c r="A62" t="s">
        <v>207</v>
      </c>
      <c r="B62" s="14" t="s">
        <v>236</v>
      </c>
      <c r="C62" s="6">
        <v>6301.88</v>
      </c>
      <c r="D62" s="7">
        <v>46013</v>
      </c>
      <c r="F62" t="s">
        <v>208</v>
      </c>
    </row>
    <row r="63" spans="1:6">
      <c r="A63" t="s">
        <v>209</v>
      </c>
      <c r="B63" s="14" t="s">
        <v>236</v>
      </c>
      <c r="C63" s="6">
        <v>5963.32</v>
      </c>
      <c r="D63" s="7">
        <v>46013</v>
      </c>
      <c r="F63" t="s">
        <v>210</v>
      </c>
    </row>
    <row r="64" spans="1:6">
      <c r="A64" t="s">
        <v>180</v>
      </c>
      <c r="B64" s="14" t="s">
        <v>236</v>
      </c>
      <c r="C64" s="6">
        <v>5963.32</v>
      </c>
      <c r="D64" s="7">
        <v>46013</v>
      </c>
      <c r="F64" t="s">
        <v>181</v>
      </c>
    </row>
    <row r="65" spans="1:6">
      <c r="A65" t="s">
        <v>211</v>
      </c>
      <c r="B65" s="14" t="s">
        <v>236</v>
      </c>
      <c r="C65" s="6">
        <v>5963.32</v>
      </c>
      <c r="D65" s="7">
        <v>46013</v>
      </c>
      <c r="F65" t="s">
        <v>212</v>
      </c>
    </row>
    <row r="66" spans="1:6">
      <c r="A66" t="s">
        <v>229</v>
      </c>
      <c r="B66" s="14" t="s">
        <v>236</v>
      </c>
      <c r="C66" s="6">
        <v>6301.88</v>
      </c>
      <c r="D66" s="7">
        <v>46013</v>
      </c>
      <c r="F66" t="s">
        <v>230</v>
      </c>
    </row>
    <row r="67" spans="1:6">
      <c r="A67" t="s">
        <v>227</v>
      </c>
      <c r="B67" s="14" t="s">
        <v>236</v>
      </c>
      <c r="C67" s="6">
        <v>6161.37</v>
      </c>
      <c r="D67" s="7">
        <v>46013</v>
      </c>
      <c r="F67" t="s">
        <v>228</v>
      </c>
    </row>
    <row r="68" spans="1:6">
      <c r="A68" t="s">
        <v>202</v>
      </c>
      <c r="B68" s="14" t="s">
        <v>236</v>
      </c>
      <c r="C68" s="6">
        <v>7769.52</v>
      </c>
      <c r="D68" s="7">
        <v>46013</v>
      </c>
      <c r="F68" t="s">
        <v>204</v>
      </c>
    </row>
    <row r="69" spans="1:6">
      <c r="A69" t="s">
        <v>233</v>
      </c>
      <c r="B69" s="14" t="s">
        <v>236</v>
      </c>
      <c r="C69" s="6">
        <v>7600.17</v>
      </c>
      <c r="D69" s="7">
        <v>46013</v>
      </c>
      <c r="F69" t="s">
        <v>234</v>
      </c>
    </row>
    <row r="70" spans="1:6">
      <c r="A70" t="s">
        <v>248</v>
      </c>
      <c r="B70" s="14" t="s">
        <v>236</v>
      </c>
      <c r="C70" s="6">
        <v>2385.33</v>
      </c>
      <c r="D70" s="7">
        <v>46013</v>
      </c>
      <c r="F70" t="s">
        <v>249</v>
      </c>
    </row>
    <row r="71" spans="1:6">
      <c r="A71" t="s">
        <v>215</v>
      </c>
      <c r="B71" s="14" t="s">
        <v>236</v>
      </c>
      <c r="C71" s="6">
        <v>6301.88</v>
      </c>
      <c r="D71" s="7">
        <v>46013</v>
      </c>
      <c r="F71" t="s">
        <v>216</v>
      </c>
    </row>
    <row r="72" spans="1:6">
      <c r="A72" t="s">
        <v>178</v>
      </c>
      <c r="B72" s="14" t="s">
        <v>236</v>
      </c>
      <c r="C72" s="6">
        <v>6301.88</v>
      </c>
      <c r="D72" s="7">
        <v>46013</v>
      </c>
      <c r="F72" t="s">
        <v>179</v>
      </c>
    </row>
    <row r="73" spans="1:6">
      <c r="A73" t="s">
        <v>205</v>
      </c>
      <c r="B73" s="14" t="s">
        <v>236</v>
      </c>
      <c r="C73" s="6">
        <v>6212.21</v>
      </c>
      <c r="D73" s="7">
        <v>46013</v>
      </c>
      <c r="F73" t="s">
        <v>206</v>
      </c>
    </row>
    <row r="74" spans="1:6">
      <c r="A74" t="s">
        <v>161</v>
      </c>
      <c r="B74" s="14" t="s">
        <v>236</v>
      </c>
      <c r="C74" s="6">
        <v>6161.37</v>
      </c>
      <c r="D74" s="7">
        <v>46013</v>
      </c>
      <c r="F74" t="s">
        <v>162</v>
      </c>
    </row>
    <row r="75" spans="1:6">
      <c r="A75" t="s">
        <v>235</v>
      </c>
      <c r="B75" s="14" t="s">
        <v>250</v>
      </c>
      <c r="C75" s="6">
        <v>7195.78</v>
      </c>
      <c r="D75" s="7">
        <v>46013</v>
      </c>
      <c r="F75" t="s">
        <v>238</v>
      </c>
    </row>
    <row r="76" spans="1:6">
      <c r="A76" t="s">
        <v>217</v>
      </c>
      <c r="B76" s="14" t="s">
        <v>236</v>
      </c>
      <c r="C76" s="6">
        <v>6301.88</v>
      </c>
      <c r="D76" s="7">
        <v>46013</v>
      </c>
      <c r="F76" t="s">
        <v>218</v>
      </c>
    </row>
    <row r="77" spans="1:6">
      <c r="A77" t="s">
        <v>251</v>
      </c>
      <c r="B77" s="14" t="s">
        <v>236</v>
      </c>
      <c r="C77" s="6">
        <v>630.19000000000005</v>
      </c>
      <c r="D77" s="7">
        <v>46013</v>
      </c>
      <c r="F77" t="s">
        <v>252</v>
      </c>
    </row>
    <row r="78" spans="1:6">
      <c r="A78" t="s">
        <v>223</v>
      </c>
      <c r="B78" s="14" t="s">
        <v>236</v>
      </c>
      <c r="C78" s="6">
        <v>6301.88</v>
      </c>
      <c r="D78" s="7">
        <v>46013</v>
      </c>
      <c r="F78" t="s">
        <v>224</v>
      </c>
    </row>
    <row r="79" spans="1:6">
      <c r="A79" t="s">
        <v>253</v>
      </c>
      <c r="B79" s="14" t="s">
        <v>236</v>
      </c>
      <c r="C79" s="6">
        <v>1050.31</v>
      </c>
      <c r="D79" s="7">
        <v>46013</v>
      </c>
      <c r="F79" t="s">
        <v>254</v>
      </c>
    </row>
    <row r="80" spans="1:6">
      <c r="A80" t="s">
        <v>221</v>
      </c>
      <c r="B80" s="14" t="s">
        <v>236</v>
      </c>
      <c r="C80" s="6">
        <v>6161.37</v>
      </c>
      <c r="D80" s="7">
        <v>46013</v>
      </c>
      <c r="F80" t="s">
        <v>222</v>
      </c>
    </row>
    <row r="81" spans="1:6">
      <c r="A81" t="s">
        <v>219</v>
      </c>
      <c r="B81" s="14" t="s">
        <v>236</v>
      </c>
      <c r="C81" s="6">
        <v>6301.88</v>
      </c>
      <c r="D81" s="7">
        <v>46010</v>
      </c>
      <c r="F81" t="s">
        <v>220</v>
      </c>
    </row>
    <row r="82" spans="1:6">
      <c r="A82" t="s">
        <v>255</v>
      </c>
      <c r="B82" s="14" t="s">
        <v>236</v>
      </c>
      <c r="C82" s="6">
        <v>616.14</v>
      </c>
      <c r="D82" s="7">
        <v>46010</v>
      </c>
      <c r="F82" t="s">
        <v>256</v>
      </c>
    </row>
    <row r="83" spans="1:6">
      <c r="A83" t="s">
        <v>213</v>
      </c>
      <c r="B83" s="14" t="s">
        <v>236</v>
      </c>
      <c r="C83" s="6">
        <v>6161.37</v>
      </c>
      <c r="D83" s="7">
        <v>46010</v>
      </c>
      <c r="F83" t="s">
        <v>214</v>
      </c>
    </row>
    <row r="84" spans="1:6">
      <c r="A84" t="s">
        <v>257</v>
      </c>
      <c r="B84" s="14" t="s">
        <v>241</v>
      </c>
      <c r="C84" s="6">
        <v>7817.96</v>
      </c>
      <c r="D84" s="7">
        <v>46003</v>
      </c>
      <c r="E84" t="s">
        <v>237</v>
      </c>
      <c r="F84" t="s">
        <v>258</v>
      </c>
    </row>
    <row r="85" spans="1:6">
      <c r="A85" t="s">
        <v>219</v>
      </c>
      <c r="B85" s="14" t="s">
        <v>259</v>
      </c>
      <c r="C85" s="6">
        <v>4475.46</v>
      </c>
      <c r="D85" s="7">
        <v>46002</v>
      </c>
      <c r="E85" t="s">
        <v>237</v>
      </c>
      <c r="F85" t="s">
        <v>220</v>
      </c>
    </row>
    <row r="86" spans="1:6">
      <c r="A86" t="s">
        <v>260</v>
      </c>
      <c r="B86" s="14" t="s">
        <v>261</v>
      </c>
      <c r="C86" s="6">
        <v>4079.9</v>
      </c>
      <c r="D86" s="7">
        <v>46002</v>
      </c>
      <c r="E86" t="s">
        <v>237</v>
      </c>
      <c r="F86" t="s">
        <v>262</v>
      </c>
    </row>
    <row r="87" spans="1:6">
      <c r="A87" t="s">
        <v>233</v>
      </c>
      <c r="B87" s="14" t="s">
        <v>241</v>
      </c>
      <c r="C87" s="6">
        <v>8261.82</v>
      </c>
      <c r="D87" s="7">
        <v>46001</v>
      </c>
      <c r="F87" t="s">
        <v>234</v>
      </c>
    </row>
    <row r="88" spans="1:6">
      <c r="A88" t="s">
        <v>263</v>
      </c>
      <c r="B88" s="14" t="s">
        <v>264</v>
      </c>
      <c r="C88" s="6">
        <v>4934.6499999999996</v>
      </c>
      <c r="D88" s="7">
        <v>45993</v>
      </c>
      <c r="E88" t="s">
        <v>237</v>
      </c>
      <c r="F88" t="s">
        <v>265</v>
      </c>
    </row>
    <row r="89" spans="1:6">
      <c r="A89" t="s">
        <v>266</v>
      </c>
      <c r="B89" s="14" t="s">
        <v>241</v>
      </c>
      <c r="C89" s="6">
        <v>1680.5</v>
      </c>
      <c r="D89" s="7">
        <v>45993</v>
      </c>
      <c r="F89" t="s">
        <v>267</v>
      </c>
    </row>
    <row r="90" spans="1:6">
      <c r="A90" t="s">
        <v>205</v>
      </c>
      <c r="B90" s="14" t="s">
        <v>241</v>
      </c>
      <c r="C90" s="6">
        <v>6419.28</v>
      </c>
      <c r="D90" s="7">
        <v>45985</v>
      </c>
      <c r="F90" t="s">
        <v>206</v>
      </c>
    </row>
    <row r="91" spans="1:6">
      <c r="A91" t="s">
        <v>202</v>
      </c>
      <c r="B91" s="14" t="s">
        <v>241</v>
      </c>
      <c r="C91" s="6">
        <v>8261.82</v>
      </c>
      <c r="D91" s="7">
        <v>45985</v>
      </c>
      <c r="F91" t="s">
        <v>204</v>
      </c>
    </row>
    <row r="92" spans="1:6">
      <c r="A92" t="s">
        <v>217</v>
      </c>
      <c r="B92" s="14" t="s">
        <v>241</v>
      </c>
      <c r="C92" s="6">
        <v>7866.69</v>
      </c>
      <c r="D92" s="7">
        <v>45985</v>
      </c>
      <c r="F92" t="s">
        <v>218</v>
      </c>
    </row>
    <row r="93" spans="1:6">
      <c r="A93" t="s">
        <v>251</v>
      </c>
      <c r="B93" s="14" t="s">
        <v>241</v>
      </c>
      <c r="C93" s="6">
        <v>6511.94</v>
      </c>
      <c r="D93" s="7">
        <v>45985</v>
      </c>
      <c r="F93" t="s">
        <v>252</v>
      </c>
    </row>
    <row r="94" spans="1:6">
      <c r="A94" t="s">
        <v>268</v>
      </c>
      <c r="B94" s="14" t="s">
        <v>241</v>
      </c>
      <c r="C94" s="6">
        <v>1599.07</v>
      </c>
      <c r="D94" s="7">
        <v>45985</v>
      </c>
      <c r="F94" t="s">
        <v>269</v>
      </c>
    </row>
    <row r="95" spans="1:6">
      <c r="A95" t="s">
        <v>215</v>
      </c>
      <c r="B95" s="14" t="s">
        <v>241</v>
      </c>
      <c r="C95" s="6">
        <v>6511.94</v>
      </c>
      <c r="D95" s="7">
        <v>45985</v>
      </c>
      <c r="F95" t="s">
        <v>216</v>
      </c>
    </row>
    <row r="96" spans="1:6">
      <c r="A96" t="s">
        <v>161</v>
      </c>
      <c r="B96" s="14" t="s">
        <v>241</v>
      </c>
      <c r="C96" s="6">
        <v>6642.69</v>
      </c>
      <c r="D96" s="7">
        <v>45985</v>
      </c>
      <c r="F96" t="s">
        <v>162</v>
      </c>
    </row>
    <row r="97" spans="1:6">
      <c r="A97" t="s">
        <v>248</v>
      </c>
      <c r="B97" s="14" t="s">
        <v>241</v>
      </c>
      <c r="C97" s="6">
        <v>6162.09</v>
      </c>
      <c r="D97" s="7">
        <v>45985</v>
      </c>
      <c r="F97" t="s">
        <v>249</v>
      </c>
    </row>
    <row r="98" spans="1:6">
      <c r="A98" t="s">
        <v>180</v>
      </c>
      <c r="B98" s="14" t="s">
        <v>270</v>
      </c>
      <c r="C98" s="6">
        <v>4969.43</v>
      </c>
      <c r="D98" s="7">
        <v>45985</v>
      </c>
      <c r="F98" t="s">
        <v>181</v>
      </c>
    </row>
    <row r="99" spans="1:6">
      <c r="A99" t="s">
        <v>178</v>
      </c>
      <c r="B99" s="14" t="s">
        <v>241</v>
      </c>
      <c r="C99" s="6">
        <v>6511.94</v>
      </c>
      <c r="D99" s="7">
        <v>45985</v>
      </c>
      <c r="F99" t="s">
        <v>179</v>
      </c>
    </row>
    <row r="100" spans="1:6">
      <c r="A100" t="s">
        <v>271</v>
      </c>
      <c r="B100" s="14" t="s">
        <v>241</v>
      </c>
      <c r="C100" s="6">
        <v>4411.3100000000004</v>
      </c>
      <c r="D100" s="7">
        <v>45985</v>
      </c>
      <c r="F100" t="s">
        <v>272</v>
      </c>
    </row>
    <row r="101" spans="1:6">
      <c r="A101" t="s">
        <v>273</v>
      </c>
      <c r="B101" s="14" t="s">
        <v>241</v>
      </c>
      <c r="C101" s="6">
        <v>4107.58</v>
      </c>
      <c r="D101" s="7">
        <v>45985</v>
      </c>
      <c r="F101" t="s">
        <v>274</v>
      </c>
    </row>
    <row r="102" spans="1:6">
      <c r="A102" t="s">
        <v>255</v>
      </c>
      <c r="B102" s="14" t="s">
        <v>241</v>
      </c>
      <c r="C102" s="6">
        <v>6366.75</v>
      </c>
      <c r="D102" s="7">
        <v>45985</v>
      </c>
      <c r="F102" t="s">
        <v>256</v>
      </c>
    </row>
    <row r="103" spans="1:6">
      <c r="A103" t="s">
        <v>244</v>
      </c>
      <c r="B103" s="14" t="s">
        <v>241</v>
      </c>
      <c r="C103" s="6">
        <v>6511.94</v>
      </c>
      <c r="D103" s="7">
        <v>45985</v>
      </c>
      <c r="F103" t="s">
        <v>245</v>
      </c>
    </row>
    <row r="104" spans="1:6">
      <c r="A104" t="s">
        <v>213</v>
      </c>
      <c r="B104" s="14" t="s">
        <v>241</v>
      </c>
      <c r="C104" s="6">
        <v>6366.75</v>
      </c>
      <c r="D104" s="7">
        <v>45985</v>
      </c>
      <c r="F104" t="s">
        <v>214</v>
      </c>
    </row>
    <row r="105" spans="1:6">
      <c r="A105" t="s">
        <v>239</v>
      </c>
      <c r="B105" s="14" t="s">
        <v>241</v>
      </c>
      <c r="C105" s="6">
        <v>6366.75</v>
      </c>
      <c r="D105" s="7">
        <v>45985</v>
      </c>
      <c r="F105" t="s">
        <v>240</v>
      </c>
    </row>
    <row r="106" spans="1:6">
      <c r="A106" t="s">
        <v>229</v>
      </c>
      <c r="B106" s="14" t="s">
        <v>241</v>
      </c>
      <c r="C106" s="6">
        <v>6737.74</v>
      </c>
      <c r="D106" s="7">
        <v>45985</v>
      </c>
      <c r="F106" t="s">
        <v>230</v>
      </c>
    </row>
    <row r="107" spans="1:6">
      <c r="A107" t="s">
        <v>253</v>
      </c>
      <c r="B107" s="14" t="s">
        <v>241</v>
      </c>
      <c r="C107" s="6">
        <v>6511.94</v>
      </c>
      <c r="D107" s="7">
        <v>45985</v>
      </c>
      <c r="F107" t="s">
        <v>254</v>
      </c>
    </row>
    <row r="108" spans="1:6">
      <c r="A108" t="s">
        <v>207</v>
      </c>
      <c r="B108" s="14" t="s">
        <v>241</v>
      </c>
      <c r="C108" s="6">
        <v>6511.94</v>
      </c>
      <c r="D108" s="7">
        <v>45985</v>
      </c>
      <c r="F108" t="s">
        <v>208</v>
      </c>
    </row>
    <row r="109" spans="1:6">
      <c r="A109" t="s">
        <v>209</v>
      </c>
      <c r="B109" s="14" t="s">
        <v>241</v>
      </c>
      <c r="C109" s="6">
        <v>6162.09</v>
      </c>
      <c r="D109" s="7">
        <v>45985</v>
      </c>
      <c r="F109" t="s">
        <v>210</v>
      </c>
    </row>
    <row r="110" spans="1:6">
      <c r="A110" t="s">
        <v>275</v>
      </c>
      <c r="B110" s="14" t="s">
        <v>241</v>
      </c>
      <c r="C110" s="6">
        <v>2398.59</v>
      </c>
      <c r="D110" s="7">
        <v>45985</v>
      </c>
      <c r="F110" t="s">
        <v>276</v>
      </c>
    </row>
    <row r="111" spans="1:6">
      <c r="A111" t="s">
        <v>227</v>
      </c>
      <c r="B111" s="14" t="s">
        <v>241</v>
      </c>
      <c r="C111" s="6">
        <v>6366.75</v>
      </c>
      <c r="D111" s="7">
        <v>45985</v>
      </c>
      <c r="F111" t="s">
        <v>228</v>
      </c>
    </row>
    <row r="112" spans="1:6">
      <c r="A112" t="s">
        <v>211</v>
      </c>
      <c r="B112" s="14" t="s">
        <v>241</v>
      </c>
      <c r="C112" s="6">
        <v>6856.49</v>
      </c>
      <c r="D112" s="7">
        <v>45985</v>
      </c>
      <c r="F112" t="s">
        <v>212</v>
      </c>
    </row>
    <row r="113" spans="1:6">
      <c r="A113" t="s">
        <v>231</v>
      </c>
      <c r="B113" s="14" t="s">
        <v>261</v>
      </c>
      <c r="C113" s="6">
        <v>7728.8</v>
      </c>
      <c r="D113" s="7">
        <v>45985</v>
      </c>
      <c r="F113" t="s">
        <v>232</v>
      </c>
    </row>
    <row r="114" spans="1:6">
      <c r="A114" t="s">
        <v>225</v>
      </c>
      <c r="B114" s="14" t="s">
        <v>241</v>
      </c>
      <c r="C114" s="6">
        <v>6511.94</v>
      </c>
      <c r="D114" s="7">
        <v>45985</v>
      </c>
      <c r="F114" t="s">
        <v>226</v>
      </c>
    </row>
    <row r="115" spans="1:6">
      <c r="A115" t="s">
        <v>246</v>
      </c>
      <c r="B115" s="14" t="s">
        <v>241</v>
      </c>
      <c r="C115" s="6">
        <v>6511.94</v>
      </c>
      <c r="D115" s="7">
        <v>45985</v>
      </c>
      <c r="F115" t="s">
        <v>247</v>
      </c>
    </row>
    <row r="116" spans="1:6">
      <c r="A116" t="s">
        <v>277</v>
      </c>
      <c r="B116" s="14" t="s">
        <v>241</v>
      </c>
      <c r="C116" s="6">
        <v>5955.99</v>
      </c>
      <c r="D116" s="7">
        <v>45985</v>
      </c>
      <c r="F116" t="s">
        <v>278</v>
      </c>
    </row>
    <row r="117" spans="1:6">
      <c r="A117" t="s">
        <v>219</v>
      </c>
      <c r="B117" s="14" t="s">
        <v>241</v>
      </c>
      <c r="C117" s="6">
        <v>7245.76</v>
      </c>
      <c r="D117" s="7">
        <v>45985</v>
      </c>
      <c r="F117" t="s">
        <v>220</v>
      </c>
    </row>
    <row r="118" spans="1:6">
      <c r="A118" t="s">
        <v>200</v>
      </c>
      <c r="B118" s="14" t="s">
        <v>279</v>
      </c>
      <c r="C118" s="6">
        <v>510.95</v>
      </c>
      <c r="D118" s="7">
        <v>45985</v>
      </c>
      <c r="F118" t="s">
        <v>201</v>
      </c>
    </row>
    <row r="119" spans="1:6">
      <c r="A119" t="s">
        <v>223</v>
      </c>
      <c r="B119" s="14" t="s">
        <v>241</v>
      </c>
      <c r="C119" s="6">
        <v>6511.94</v>
      </c>
      <c r="D119" s="7">
        <v>45982</v>
      </c>
      <c r="F119" t="s">
        <v>224</v>
      </c>
    </row>
    <row r="120" spans="1:6">
      <c r="A120" t="s">
        <v>242</v>
      </c>
      <c r="B120" s="14" t="s">
        <v>241</v>
      </c>
      <c r="C120" s="6">
        <v>6511.94</v>
      </c>
      <c r="D120" s="7">
        <v>45982</v>
      </c>
      <c r="F120" t="s">
        <v>243</v>
      </c>
    </row>
    <row r="121" spans="1:6">
      <c r="A121" t="s">
        <v>221</v>
      </c>
      <c r="B121" s="14" t="s">
        <v>241</v>
      </c>
      <c r="C121" s="6">
        <v>6366.75</v>
      </c>
      <c r="D121" s="7">
        <v>45982</v>
      </c>
      <c r="F121" t="s">
        <v>222</v>
      </c>
    </row>
    <row r="122" spans="1:6">
      <c r="A122" t="s">
        <v>202</v>
      </c>
      <c r="B122" s="14" t="s">
        <v>280</v>
      </c>
      <c r="C122" s="6">
        <v>789.79</v>
      </c>
      <c r="D122" s="7">
        <v>45960</v>
      </c>
      <c r="E122" t="s">
        <v>237</v>
      </c>
      <c r="F122" t="s">
        <v>204</v>
      </c>
    </row>
    <row r="123" spans="1:6">
      <c r="A123" t="s">
        <v>257</v>
      </c>
      <c r="B123" s="14" t="s">
        <v>281</v>
      </c>
      <c r="C123" s="6">
        <v>1503.91</v>
      </c>
      <c r="D123" s="7">
        <v>45959</v>
      </c>
      <c r="F123" t="s">
        <v>258</v>
      </c>
    </row>
    <row r="124" spans="1:6">
      <c r="A124" t="s">
        <v>271</v>
      </c>
      <c r="B124" s="14" t="s">
        <v>282</v>
      </c>
      <c r="C124" s="6">
        <v>6220.72</v>
      </c>
      <c r="D124" s="7">
        <v>45959</v>
      </c>
      <c r="F124" t="s">
        <v>272</v>
      </c>
    </row>
    <row r="125" spans="1:6">
      <c r="A125" t="s">
        <v>209</v>
      </c>
      <c r="B125" s="14" t="s">
        <v>282</v>
      </c>
      <c r="C125" s="6">
        <v>5922.73</v>
      </c>
      <c r="D125" s="7">
        <v>45959</v>
      </c>
      <c r="F125" t="s">
        <v>210</v>
      </c>
    </row>
    <row r="126" spans="1:6">
      <c r="A126" t="s">
        <v>283</v>
      </c>
      <c r="B126" s="14" t="s">
        <v>282</v>
      </c>
      <c r="C126" s="6">
        <v>829.43</v>
      </c>
      <c r="D126" s="7">
        <v>45952</v>
      </c>
      <c r="F126" t="s">
        <v>284</v>
      </c>
    </row>
    <row r="127" spans="1:6">
      <c r="A127" t="s">
        <v>285</v>
      </c>
      <c r="B127" s="14" t="s">
        <v>282</v>
      </c>
      <c r="C127" s="6">
        <v>5018.29</v>
      </c>
      <c r="D127" s="7">
        <v>45952</v>
      </c>
      <c r="F127" t="s">
        <v>286</v>
      </c>
    </row>
    <row r="128" spans="1:6">
      <c r="A128" t="s">
        <v>233</v>
      </c>
      <c r="B128" s="14" t="s">
        <v>281</v>
      </c>
      <c r="C128" s="6">
        <v>1579.57</v>
      </c>
      <c r="D128" s="7">
        <v>45952</v>
      </c>
      <c r="F128" t="s">
        <v>234</v>
      </c>
    </row>
    <row r="129" spans="1:6">
      <c r="A129" t="s">
        <v>244</v>
      </c>
      <c r="B129" s="14" t="s">
        <v>282</v>
      </c>
      <c r="C129" s="6">
        <v>6220.72</v>
      </c>
      <c r="D129" s="7">
        <v>45952</v>
      </c>
      <c r="F129" t="s">
        <v>245</v>
      </c>
    </row>
    <row r="130" spans="1:6">
      <c r="A130" t="s">
        <v>178</v>
      </c>
      <c r="B130" s="14" t="s">
        <v>282</v>
      </c>
      <c r="C130" s="6">
        <v>7282.92</v>
      </c>
      <c r="D130" s="7">
        <v>45952</v>
      </c>
      <c r="F130" t="s">
        <v>179</v>
      </c>
    </row>
    <row r="131" spans="1:6">
      <c r="A131" t="s">
        <v>239</v>
      </c>
      <c r="B131" s="14" t="s">
        <v>282</v>
      </c>
      <c r="C131" s="6">
        <v>6021.94</v>
      </c>
      <c r="D131" s="7">
        <v>45952</v>
      </c>
      <c r="F131" t="s">
        <v>240</v>
      </c>
    </row>
    <row r="132" spans="1:6">
      <c r="A132" t="s">
        <v>287</v>
      </c>
      <c r="B132" s="14" t="s">
        <v>282</v>
      </c>
      <c r="C132" s="6">
        <v>414.72</v>
      </c>
      <c r="D132" s="7">
        <v>45952</v>
      </c>
      <c r="F132" t="s">
        <v>288</v>
      </c>
    </row>
    <row r="133" spans="1:6">
      <c r="A133" t="s">
        <v>248</v>
      </c>
      <c r="B133" s="14" t="s">
        <v>282</v>
      </c>
      <c r="C133" s="6">
        <v>5922.73</v>
      </c>
      <c r="D133" s="7">
        <v>45952</v>
      </c>
      <c r="F133" t="s">
        <v>249</v>
      </c>
    </row>
    <row r="134" spans="1:6">
      <c r="A134" t="s">
        <v>289</v>
      </c>
      <c r="B134" s="14" t="s">
        <v>282</v>
      </c>
      <c r="C134" s="6">
        <v>5018.29</v>
      </c>
      <c r="D134" s="7">
        <v>45952</v>
      </c>
      <c r="F134" t="s">
        <v>290</v>
      </c>
    </row>
    <row r="135" spans="1:6">
      <c r="A135" t="s">
        <v>291</v>
      </c>
      <c r="B135" s="14" t="s">
        <v>282</v>
      </c>
      <c r="C135" s="6">
        <v>764.56</v>
      </c>
      <c r="D135" s="7">
        <v>45952</v>
      </c>
      <c r="F135" t="s">
        <v>292</v>
      </c>
    </row>
    <row r="136" spans="1:6">
      <c r="A136" t="s">
        <v>293</v>
      </c>
      <c r="B136" s="14" t="s">
        <v>282</v>
      </c>
      <c r="C136" s="6">
        <v>4293.33</v>
      </c>
      <c r="D136" s="7">
        <v>45952</v>
      </c>
      <c r="F136" t="s">
        <v>294</v>
      </c>
    </row>
    <row r="137" spans="1:6">
      <c r="A137" t="s">
        <v>295</v>
      </c>
      <c r="B137" s="14" t="s">
        <v>282</v>
      </c>
      <c r="C137" s="6">
        <v>7897.88</v>
      </c>
      <c r="D137" s="7">
        <v>45952</v>
      </c>
      <c r="F137" t="s">
        <v>296</v>
      </c>
    </row>
    <row r="138" spans="1:6">
      <c r="A138" t="s">
        <v>180</v>
      </c>
      <c r="B138" s="14" t="s">
        <v>282</v>
      </c>
      <c r="C138" s="6">
        <v>6416.46</v>
      </c>
      <c r="D138" s="7">
        <v>45952</v>
      </c>
      <c r="F138" t="s">
        <v>181</v>
      </c>
    </row>
    <row r="139" spans="1:6">
      <c r="A139" t="s">
        <v>275</v>
      </c>
      <c r="B139" s="14" t="s">
        <v>282</v>
      </c>
      <c r="C139" s="6">
        <v>7897.88</v>
      </c>
      <c r="D139" s="7">
        <v>45952</v>
      </c>
      <c r="F139" t="s">
        <v>276</v>
      </c>
    </row>
    <row r="140" spans="1:6">
      <c r="A140" t="s">
        <v>268</v>
      </c>
      <c r="B140" s="14" t="s">
        <v>282</v>
      </c>
      <c r="C140" s="6">
        <v>7897.88</v>
      </c>
      <c r="D140" s="7">
        <v>45952</v>
      </c>
      <c r="F140" t="s">
        <v>269</v>
      </c>
    </row>
    <row r="141" spans="1:6">
      <c r="A141" t="s">
        <v>255</v>
      </c>
      <c r="B141" s="14" t="s">
        <v>282</v>
      </c>
      <c r="C141" s="6">
        <v>6021.94</v>
      </c>
      <c r="D141" s="7">
        <v>45952</v>
      </c>
      <c r="F141" t="s">
        <v>256</v>
      </c>
    </row>
    <row r="142" spans="1:6">
      <c r="A142" t="s">
        <v>246</v>
      </c>
      <c r="B142" s="14" t="s">
        <v>282</v>
      </c>
      <c r="C142" s="6">
        <v>6723.87</v>
      </c>
      <c r="D142" s="7">
        <v>45952</v>
      </c>
      <c r="F142" t="s">
        <v>247</v>
      </c>
    </row>
    <row r="143" spans="1:6">
      <c r="A143" t="s">
        <v>277</v>
      </c>
      <c r="B143" s="14" t="s">
        <v>282</v>
      </c>
      <c r="C143" s="6">
        <v>6021.94</v>
      </c>
      <c r="D143" s="7">
        <v>45952</v>
      </c>
      <c r="F143" t="s">
        <v>278</v>
      </c>
    </row>
    <row r="144" spans="1:6">
      <c r="A144" t="s">
        <v>229</v>
      </c>
      <c r="B144" s="14" t="s">
        <v>282</v>
      </c>
      <c r="C144" s="6">
        <v>7897.88</v>
      </c>
      <c r="D144" s="7">
        <v>45952</v>
      </c>
      <c r="F144" t="s">
        <v>230</v>
      </c>
    </row>
    <row r="145" spans="1:6">
      <c r="A145" t="s">
        <v>213</v>
      </c>
      <c r="B145" s="14" t="s">
        <v>282</v>
      </c>
      <c r="C145" s="6">
        <v>6238.43</v>
      </c>
      <c r="D145" s="7">
        <v>45952</v>
      </c>
      <c r="F145" t="s">
        <v>214</v>
      </c>
    </row>
    <row r="146" spans="1:6">
      <c r="A146" t="s">
        <v>227</v>
      </c>
      <c r="B146" s="14" t="s">
        <v>282</v>
      </c>
      <c r="C146" s="6">
        <v>6021.94</v>
      </c>
      <c r="D146" s="7">
        <v>45952</v>
      </c>
      <c r="F146" t="s">
        <v>228</v>
      </c>
    </row>
    <row r="147" spans="1:6">
      <c r="A147" t="s">
        <v>219</v>
      </c>
      <c r="B147" s="14" t="s">
        <v>282</v>
      </c>
      <c r="C147" s="6">
        <v>7897.88</v>
      </c>
      <c r="D147" s="7">
        <v>45952</v>
      </c>
      <c r="F147" t="s">
        <v>220</v>
      </c>
    </row>
    <row r="148" spans="1:6">
      <c r="A148" t="s">
        <v>221</v>
      </c>
      <c r="B148" s="14" t="s">
        <v>282</v>
      </c>
      <c r="C148" s="6">
        <v>6454.9</v>
      </c>
      <c r="D148" s="7">
        <v>45952</v>
      </c>
      <c r="F148" t="s">
        <v>222</v>
      </c>
    </row>
    <row r="149" spans="1:6">
      <c r="A149" t="s">
        <v>242</v>
      </c>
      <c r="B149" s="14" t="s">
        <v>282</v>
      </c>
      <c r="C149" s="6">
        <v>6220.72</v>
      </c>
      <c r="D149" s="7">
        <v>45952</v>
      </c>
      <c r="F149" t="s">
        <v>243</v>
      </c>
    </row>
    <row r="150" spans="1:6">
      <c r="A150" t="s">
        <v>217</v>
      </c>
      <c r="B150" s="14" t="s">
        <v>282</v>
      </c>
      <c r="C150" s="6">
        <v>7897.88</v>
      </c>
      <c r="D150" s="7">
        <v>45952</v>
      </c>
      <c r="F150" t="s">
        <v>218</v>
      </c>
    </row>
    <row r="151" spans="1:6">
      <c r="A151" t="s">
        <v>223</v>
      </c>
      <c r="B151" s="14" t="s">
        <v>282</v>
      </c>
      <c r="C151" s="6">
        <v>6220.72</v>
      </c>
      <c r="D151" s="7">
        <v>45952</v>
      </c>
      <c r="F151" t="s">
        <v>224</v>
      </c>
    </row>
    <row r="152" spans="1:6">
      <c r="A152" t="s">
        <v>253</v>
      </c>
      <c r="B152" s="14" t="s">
        <v>282</v>
      </c>
      <c r="C152" s="6">
        <v>6220.72</v>
      </c>
      <c r="D152" s="7">
        <v>45952</v>
      </c>
      <c r="F152" t="s">
        <v>254</v>
      </c>
    </row>
    <row r="153" spans="1:6">
      <c r="A153" t="s">
        <v>266</v>
      </c>
      <c r="B153" s="14" t="s">
        <v>282</v>
      </c>
      <c r="C153" s="6">
        <v>6220.72</v>
      </c>
      <c r="D153" s="7">
        <v>45952</v>
      </c>
      <c r="F153" t="s">
        <v>267</v>
      </c>
    </row>
    <row r="154" spans="1:6">
      <c r="A154" t="s">
        <v>161</v>
      </c>
      <c r="B154" s="14" t="s">
        <v>282</v>
      </c>
      <c r="C154" s="6">
        <v>7645.52</v>
      </c>
      <c r="D154" s="7">
        <v>45952</v>
      </c>
      <c r="F154" t="s">
        <v>162</v>
      </c>
    </row>
    <row r="155" spans="1:6">
      <c r="A155" t="s">
        <v>225</v>
      </c>
      <c r="B155" s="14" t="s">
        <v>282</v>
      </c>
      <c r="C155" s="6">
        <v>6220.72</v>
      </c>
      <c r="D155" s="7">
        <v>45952</v>
      </c>
      <c r="F155" t="s">
        <v>226</v>
      </c>
    </row>
    <row r="156" spans="1:6">
      <c r="A156" t="s">
        <v>211</v>
      </c>
      <c r="B156" s="14" t="s">
        <v>282</v>
      </c>
      <c r="C156" s="6">
        <v>7519.56</v>
      </c>
      <c r="D156" s="7">
        <v>45952</v>
      </c>
      <c r="F156" t="s">
        <v>212</v>
      </c>
    </row>
    <row r="157" spans="1:6">
      <c r="A157" t="s">
        <v>273</v>
      </c>
      <c r="B157" s="14" t="s">
        <v>282</v>
      </c>
      <c r="C157" s="6">
        <v>6454.9</v>
      </c>
      <c r="D157" s="7">
        <v>45952</v>
      </c>
      <c r="F157" t="s">
        <v>274</v>
      </c>
    </row>
    <row r="158" spans="1:6">
      <c r="A158" t="s">
        <v>207</v>
      </c>
      <c r="B158" s="14" t="s">
        <v>282</v>
      </c>
      <c r="C158" s="6">
        <v>7841.98</v>
      </c>
      <c r="D158" s="7">
        <v>45952</v>
      </c>
      <c r="F158" t="s">
        <v>208</v>
      </c>
    </row>
    <row r="159" spans="1:6">
      <c r="A159" t="s">
        <v>215</v>
      </c>
      <c r="B159" s="14" t="s">
        <v>282</v>
      </c>
      <c r="C159" s="6">
        <v>6220.72</v>
      </c>
      <c r="D159" s="7">
        <v>45952</v>
      </c>
      <c r="F159" t="s">
        <v>216</v>
      </c>
    </row>
    <row r="160" spans="1:6">
      <c r="A160" t="s">
        <v>205</v>
      </c>
      <c r="B160" s="14" t="s">
        <v>282</v>
      </c>
      <c r="C160" s="6">
        <v>6036.7</v>
      </c>
      <c r="D160" s="7">
        <v>45952</v>
      </c>
      <c r="F160" t="s">
        <v>206</v>
      </c>
    </row>
    <row r="161" spans="1:6">
      <c r="A161" t="s">
        <v>251</v>
      </c>
      <c r="B161" s="14" t="s">
        <v>282</v>
      </c>
      <c r="C161" s="6">
        <v>6220.72</v>
      </c>
      <c r="D161" s="7">
        <v>45952</v>
      </c>
      <c r="F161" t="s">
        <v>252</v>
      </c>
    </row>
    <row r="162" spans="1:6">
      <c r="A162" t="s">
        <v>297</v>
      </c>
      <c r="B162" s="14" t="s">
        <v>298</v>
      </c>
      <c r="C162" s="6">
        <v>6013.36</v>
      </c>
      <c r="D162" s="7">
        <v>45945</v>
      </c>
      <c r="E162" t="s">
        <v>237</v>
      </c>
      <c r="F162" t="s">
        <v>299</v>
      </c>
    </row>
    <row r="163" spans="1:6">
      <c r="A163" t="s">
        <v>300</v>
      </c>
      <c r="B163" s="14" t="s">
        <v>298</v>
      </c>
      <c r="C163" s="6">
        <v>5018.29</v>
      </c>
      <c r="D163" s="7">
        <v>45936</v>
      </c>
      <c r="F163" t="s">
        <v>301</v>
      </c>
    </row>
    <row r="164" spans="1:6">
      <c r="A164" t="s">
        <v>302</v>
      </c>
      <c r="B164" s="14" t="s">
        <v>298</v>
      </c>
      <c r="C164" s="6">
        <v>5183.9399999999996</v>
      </c>
      <c r="D164" s="7">
        <v>45936</v>
      </c>
      <c r="F164" t="s">
        <v>303</v>
      </c>
    </row>
    <row r="165" spans="1:6">
      <c r="A165" t="s">
        <v>304</v>
      </c>
      <c r="B165" s="14" t="s">
        <v>298</v>
      </c>
      <c r="C165" s="6">
        <v>5391.28</v>
      </c>
      <c r="D165" s="7">
        <v>45930</v>
      </c>
      <c r="F165" t="s">
        <v>305</v>
      </c>
    </row>
    <row r="166" spans="1:6">
      <c r="A166" t="s">
        <v>306</v>
      </c>
      <c r="B166" s="14" t="s">
        <v>298</v>
      </c>
      <c r="C166" s="6">
        <v>6428.07</v>
      </c>
      <c r="D166" s="7">
        <v>45930</v>
      </c>
      <c r="F166" t="s">
        <v>307</v>
      </c>
    </row>
    <row r="167" spans="1:6">
      <c r="A167" t="s">
        <v>308</v>
      </c>
      <c r="B167" s="14" t="s">
        <v>309</v>
      </c>
      <c r="C167" s="6">
        <v>1019.41</v>
      </c>
      <c r="D167" s="7">
        <v>45929</v>
      </c>
      <c r="E167" t="s">
        <v>237</v>
      </c>
      <c r="F167" t="s">
        <v>310</v>
      </c>
    </row>
    <row r="168" spans="1:6">
      <c r="A168" t="s">
        <v>311</v>
      </c>
      <c r="B168" s="14" t="s">
        <v>298</v>
      </c>
      <c r="C168" s="6">
        <v>5219.0200000000004</v>
      </c>
      <c r="D168" s="7">
        <v>45929</v>
      </c>
      <c r="F168" t="s">
        <v>312</v>
      </c>
    </row>
    <row r="169" spans="1:6">
      <c r="A169" t="s">
        <v>313</v>
      </c>
      <c r="B169" s="14" t="s">
        <v>298</v>
      </c>
      <c r="C169" s="6">
        <v>5806</v>
      </c>
      <c r="D169" s="7">
        <v>45929</v>
      </c>
      <c r="F169" t="s">
        <v>314</v>
      </c>
    </row>
    <row r="170" spans="1:6">
      <c r="A170" t="s">
        <v>207</v>
      </c>
      <c r="B170" s="14" t="s">
        <v>298</v>
      </c>
      <c r="C170" s="6">
        <v>8161.15</v>
      </c>
      <c r="D170" s="7">
        <v>45923</v>
      </c>
      <c r="F170" t="s">
        <v>208</v>
      </c>
    </row>
    <row r="171" spans="1:6">
      <c r="A171" t="s">
        <v>289</v>
      </c>
      <c r="B171" s="14" t="s">
        <v>298</v>
      </c>
      <c r="C171" s="6">
        <v>3204.83</v>
      </c>
      <c r="D171" s="7">
        <v>45923</v>
      </c>
      <c r="F171" t="s">
        <v>290</v>
      </c>
    </row>
    <row r="172" spans="1:6">
      <c r="A172" t="s">
        <v>161</v>
      </c>
      <c r="B172" s="14" t="s">
        <v>315</v>
      </c>
      <c r="C172" s="6">
        <v>6371.26</v>
      </c>
      <c r="D172" s="7">
        <v>45923</v>
      </c>
      <c r="F172" t="s">
        <v>162</v>
      </c>
    </row>
    <row r="173" spans="1:6">
      <c r="A173" t="s">
        <v>316</v>
      </c>
      <c r="B173" s="14" t="s">
        <v>298</v>
      </c>
      <c r="C173" s="6">
        <v>5606.72</v>
      </c>
      <c r="D173" s="7">
        <v>45923</v>
      </c>
      <c r="F173" t="s">
        <v>317</v>
      </c>
    </row>
    <row r="174" spans="1:6">
      <c r="A174" t="s">
        <v>318</v>
      </c>
      <c r="B174" s="14" t="s">
        <v>298</v>
      </c>
      <c r="C174" s="6">
        <v>5806</v>
      </c>
      <c r="D174" s="7">
        <v>45923</v>
      </c>
      <c r="F174" t="s">
        <v>319</v>
      </c>
    </row>
    <row r="175" spans="1:6">
      <c r="A175" t="s">
        <v>320</v>
      </c>
      <c r="B175" s="14" t="s">
        <v>298</v>
      </c>
      <c r="C175" s="6">
        <v>4475.46</v>
      </c>
      <c r="D175" s="7">
        <v>45923</v>
      </c>
      <c r="F175" t="s">
        <v>321</v>
      </c>
    </row>
    <row r="176" spans="1:6">
      <c r="A176" t="s">
        <v>322</v>
      </c>
      <c r="B176" s="14" t="s">
        <v>298</v>
      </c>
      <c r="C176" s="6">
        <v>1783.95</v>
      </c>
      <c r="D176" s="7">
        <v>45923</v>
      </c>
      <c r="F176" t="s">
        <v>323</v>
      </c>
    </row>
    <row r="177" spans="1:6">
      <c r="A177" t="s">
        <v>273</v>
      </c>
      <c r="B177" s="14" t="s">
        <v>298</v>
      </c>
      <c r="C177" s="6">
        <v>7900.37</v>
      </c>
      <c r="D177" s="7">
        <v>45923</v>
      </c>
      <c r="F177" t="s">
        <v>274</v>
      </c>
    </row>
    <row r="178" spans="1:6">
      <c r="A178" t="s">
        <v>178</v>
      </c>
      <c r="B178" s="14" t="s">
        <v>298</v>
      </c>
      <c r="C178" s="6">
        <v>8161.15</v>
      </c>
      <c r="D178" s="7">
        <v>45923</v>
      </c>
      <c r="F178" t="s">
        <v>179</v>
      </c>
    </row>
    <row r="179" spans="1:6">
      <c r="A179" t="s">
        <v>324</v>
      </c>
      <c r="B179" s="14" t="s">
        <v>298</v>
      </c>
      <c r="C179" s="6">
        <v>1806.58</v>
      </c>
      <c r="D179" s="7">
        <v>45923</v>
      </c>
      <c r="F179" t="s">
        <v>325</v>
      </c>
    </row>
    <row r="180" spans="1:6">
      <c r="A180" t="s">
        <v>205</v>
      </c>
      <c r="B180" s="14" t="s">
        <v>298</v>
      </c>
      <c r="C180" s="6">
        <v>6237.93</v>
      </c>
      <c r="D180" s="7">
        <v>45923</v>
      </c>
      <c r="F180" t="s">
        <v>206</v>
      </c>
    </row>
    <row r="181" spans="1:6">
      <c r="A181" t="s">
        <v>268</v>
      </c>
      <c r="B181" s="14" t="s">
        <v>326</v>
      </c>
      <c r="C181" s="6">
        <v>2895.89</v>
      </c>
      <c r="D181" s="7">
        <v>45923</v>
      </c>
      <c r="F181" t="s">
        <v>269</v>
      </c>
    </row>
    <row r="182" spans="1:6">
      <c r="A182" t="s">
        <v>327</v>
      </c>
      <c r="B182" s="14" t="s">
        <v>298</v>
      </c>
      <c r="C182" s="6">
        <v>6428.07</v>
      </c>
      <c r="D182" s="7">
        <v>45923</v>
      </c>
      <c r="F182" t="s">
        <v>328</v>
      </c>
    </row>
    <row r="183" spans="1:6">
      <c r="A183" t="s">
        <v>180</v>
      </c>
      <c r="B183" s="14" t="s">
        <v>298</v>
      </c>
      <c r="C183" s="6">
        <v>7919.74</v>
      </c>
      <c r="D183" s="7">
        <v>45923</v>
      </c>
      <c r="F183" t="s">
        <v>181</v>
      </c>
    </row>
    <row r="184" spans="1:6">
      <c r="A184" t="s">
        <v>244</v>
      </c>
      <c r="B184" s="14" t="s">
        <v>298</v>
      </c>
      <c r="C184" s="6">
        <v>6428.07</v>
      </c>
      <c r="D184" s="7">
        <v>45923</v>
      </c>
      <c r="F184" t="s">
        <v>245</v>
      </c>
    </row>
    <row r="185" spans="1:6">
      <c r="A185" t="s">
        <v>239</v>
      </c>
      <c r="B185" s="14" t="s">
        <v>298</v>
      </c>
      <c r="C185" s="6">
        <v>6222.68</v>
      </c>
      <c r="D185" s="7">
        <v>45923</v>
      </c>
      <c r="F185" t="s">
        <v>240</v>
      </c>
    </row>
    <row r="186" spans="1:6">
      <c r="A186" t="s">
        <v>225</v>
      </c>
      <c r="B186" s="14" t="s">
        <v>298</v>
      </c>
      <c r="C186" s="6">
        <v>6483.98</v>
      </c>
      <c r="D186" s="7">
        <v>45923</v>
      </c>
      <c r="F186" t="s">
        <v>226</v>
      </c>
    </row>
    <row r="187" spans="1:6">
      <c r="A187" t="s">
        <v>289</v>
      </c>
      <c r="B187" s="14" t="s">
        <v>329</v>
      </c>
      <c r="C187" s="6">
        <v>3204.83</v>
      </c>
      <c r="D187" s="7">
        <v>45923</v>
      </c>
      <c r="F187" t="s">
        <v>290</v>
      </c>
    </row>
    <row r="188" spans="1:6">
      <c r="A188" t="s">
        <v>291</v>
      </c>
      <c r="B188" s="14" t="s">
        <v>330</v>
      </c>
      <c r="C188" s="6">
        <v>509.7</v>
      </c>
      <c r="D188" s="7">
        <v>45923</v>
      </c>
      <c r="F188" t="s">
        <v>292</v>
      </c>
    </row>
    <row r="189" spans="1:6">
      <c r="A189" t="s">
        <v>266</v>
      </c>
      <c r="B189" s="14" t="s">
        <v>298</v>
      </c>
      <c r="C189" s="6">
        <v>6428.07</v>
      </c>
      <c r="D189" s="7">
        <v>45923</v>
      </c>
      <c r="F189" t="s">
        <v>267</v>
      </c>
    </row>
    <row r="190" spans="1:6">
      <c r="A190" t="s">
        <v>287</v>
      </c>
      <c r="B190" s="14" t="s">
        <v>298</v>
      </c>
      <c r="C190" s="6">
        <v>6428.07</v>
      </c>
      <c r="D190" s="7">
        <v>45923</v>
      </c>
      <c r="F190" t="s">
        <v>288</v>
      </c>
    </row>
    <row r="191" spans="1:6">
      <c r="A191" t="s">
        <v>293</v>
      </c>
      <c r="B191" s="14" t="s">
        <v>298</v>
      </c>
      <c r="C191" s="6">
        <v>6222.68</v>
      </c>
      <c r="D191" s="7">
        <v>45923</v>
      </c>
      <c r="F191" t="s">
        <v>294</v>
      </c>
    </row>
    <row r="192" spans="1:6">
      <c r="A192" t="s">
        <v>215</v>
      </c>
      <c r="B192" s="14" t="s">
        <v>298</v>
      </c>
      <c r="C192" s="6">
        <v>6428.07</v>
      </c>
      <c r="D192" s="7">
        <v>45923</v>
      </c>
      <c r="F192" t="s">
        <v>216</v>
      </c>
    </row>
    <row r="193" spans="1:6">
      <c r="A193" t="s">
        <v>211</v>
      </c>
      <c r="B193" s="14" t="s">
        <v>259</v>
      </c>
      <c r="C193" s="6">
        <v>4261.08</v>
      </c>
      <c r="D193" s="7">
        <v>45923</v>
      </c>
      <c r="F193" t="s">
        <v>212</v>
      </c>
    </row>
    <row r="194" spans="1:6">
      <c r="A194" t="s">
        <v>285</v>
      </c>
      <c r="B194" s="14" t="s">
        <v>298</v>
      </c>
      <c r="C194" s="6">
        <v>6222.68</v>
      </c>
      <c r="D194" s="7">
        <v>45923</v>
      </c>
      <c r="F194" t="s">
        <v>286</v>
      </c>
    </row>
    <row r="195" spans="1:6">
      <c r="A195" t="s">
        <v>248</v>
      </c>
      <c r="B195" s="14" t="s">
        <v>298</v>
      </c>
      <c r="C195" s="6">
        <v>7237.93</v>
      </c>
      <c r="D195" s="7">
        <v>45923</v>
      </c>
      <c r="F195" t="s">
        <v>249</v>
      </c>
    </row>
    <row r="196" spans="1:6">
      <c r="A196" t="s">
        <v>229</v>
      </c>
      <c r="B196" s="14" t="s">
        <v>331</v>
      </c>
      <c r="C196" s="6">
        <v>6844.83</v>
      </c>
      <c r="D196" s="7">
        <v>45923</v>
      </c>
      <c r="F196" t="s">
        <v>230</v>
      </c>
    </row>
    <row r="197" spans="1:6">
      <c r="A197" t="s">
        <v>332</v>
      </c>
      <c r="B197" s="14" t="s">
        <v>298</v>
      </c>
      <c r="C197" s="6">
        <v>5391.28</v>
      </c>
      <c r="D197" s="7">
        <v>45923</v>
      </c>
      <c r="F197" t="s">
        <v>333</v>
      </c>
    </row>
    <row r="198" spans="1:6">
      <c r="A198" t="s">
        <v>246</v>
      </c>
      <c r="B198" s="14" t="s">
        <v>298</v>
      </c>
      <c r="C198" s="6">
        <v>8161.15</v>
      </c>
      <c r="D198" s="7">
        <v>45923</v>
      </c>
      <c r="F198" t="s">
        <v>247</v>
      </c>
    </row>
    <row r="199" spans="1:6">
      <c r="A199" t="s">
        <v>295</v>
      </c>
      <c r="B199" s="14" t="s">
        <v>315</v>
      </c>
      <c r="C199" s="6">
        <v>6581.57</v>
      </c>
      <c r="D199" s="7">
        <v>45923</v>
      </c>
      <c r="F199" t="s">
        <v>296</v>
      </c>
    </row>
    <row r="200" spans="1:6">
      <c r="A200" t="s">
        <v>227</v>
      </c>
      <c r="B200" s="14" t="s">
        <v>298</v>
      </c>
      <c r="C200" s="6">
        <v>6817.99</v>
      </c>
      <c r="D200" s="7">
        <v>45923</v>
      </c>
      <c r="F200" t="s">
        <v>228</v>
      </c>
    </row>
    <row r="201" spans="1:6">
      <c r="A201" t="s">
        <v>334</v>
      </c>
      <c r="B201" s="14" t="s">
        <v>298</v>
      </c>
      <c r="C201" s="6">
        <v>4077.61</v>
      </c>
      <c r="D201" s="7">
        <v>45922</v>
      </c>
      <c r="F201" t="s">
        <v>335</v>
      </c>
    </row>
    <row r="202" spans="1:6">
      <c r="A202" t="s">
        <v>221</v>
      </c>
      <c r="B202" s="14" t="s">
        <v>298</v>
      </c>
      <c r="C202" s="6">
        <v>7900.37</v>
      </c>
      <c r="D202" s="7">
        <v>45922</v>
      </c>
      <c r="F202" t="s">
        <v>222</v>
      </c>
    </row>
    <row r="203" spans="1:6">
      <c r="A203" t="s">
        <v>242</v>
      </c>
      <c r="B203" s="14" t="s">
        <v>298</v>
      </c>
      <c r="C203" s="6">
        <v>6595.79</v>
      </c>
      <c r="D203" s="7">
        <v>45922</v>
      </c>
      <c r="F203" t="s">
        <v>243</v>
      </c>
    </row>
    <row r="204" spans="1:6">
      <c r="A204" t="s">
        <v>223</v>
      </c>
      <c r="B204" s="14" t="s">
        <v>298</v>
      </c>
      <c r="C204" s="6">
        <v>7043.03</v>
      </c>
      <c r="D204" s="7">
        <v>45922</v>
      </c>
      <c r="F204" t="s">
        <v>224</v>
      </c>
    </row>
    <row r="205" spans="1:6">
      <c r="A205" t="s">
        <v>251</v>
      </c>
      <c r="B205" s="14" t="s">
        <v>298</v>
      </c>
      <c r="C205" s="6">
        <v>7713.89</v>
      </c>
      <c r="D205" s="7">
        <v>45922</v>
      </c>
      <c r="F205" t="s">
        <v>252</v>
      </c>
    </row>
    <row r="206" spans="1:6">
      <c r="A206" t="s">
        <v>209</v>
      </c>
      <c r="B206" s="14" t="s">
        <v>298</v>
      </c>
      <c r="C206" s="6">
        <v>6120.15</v>
      </c>
      <c r="D206" s="7">
        <v>45922</v>
      </c>
      <c r="F206" t="s">
        <v>210</v>
      </c>
    </row>
    <row r="207" spans="1:6">
      <c r="A207" t="s">
        <v>253</v>
      </c>
      <c r="B207" s="14" t="s">
        <v>298</v>
      </c>
      <c r="C207" s="6">
        <v>6428.07</v>
      </c>
      <c r="D207" s="7">
        <v>45922</v>
      </c>
      <c r="F207" t="s">
        <v>254</v>
      </c>
    </row>
    <row r="208" spans="1:6">
      <c r="A208" t="s">
        <v>217</v>
      </c>
      <c r="B208" s="14" t="s">
        <v>336</v>
      </c>
      <c r="C208" s="6">
        <v>1579.57</v>
      </c>
      <c r="D208" s="7">
        <v>45922</v>
      </c>
      <c r="F208" t="s">
        <v>218</v>
      </c>
    </row>
    <row r="209" spans="1:6">
      <c r="A209" t="s">
        <v>271</v>
      </c>
      <c r="B209" s="14" t="s">
        <v>298</v>
      </c>
      <c r="C209" s="6">
        <v>6428.07</v>
      </c>
      <c r="D209" s="7">
        <v>45922</v>
      </c>
      <c r="F209" t="s">
        <v>272</v>
      </c>
    </row>
    <row r="210" spans="1:6">
      <c r="A210" t="s">
        <v>213</v>
      </c>
      <c r="B210" s="14" t="s">
        <v>298</v>
      </c>
      <c r="C210" s="6">
        <v>7900.37</v>
      </c>
      <c r="D210" s="7">
        <v>45922</v>
      </c>
      <c r="F210" t="s">
        <v>214</v>
      </c>
    </row>
    <row r="211" spans="1:6">
      <c r="A211" t="s">
        <v>277</v>
      </c>
      <c r="B211" s="14" t="s">
        <v>298</v>
      </c>
      <c r="C211" s="6">
        <v>6222.68</v>
      </c>
      <c r="D211" s="7">
        <v>45922</v>
      </c>
      <c r="F211" t="s">
        <v>278</v>
      </c>
    </row>
    <row r="212" spans="1:6">
      <c r="A212" t="s">
        <v>283</v>
      </c>
      <c r="B212" s="14" t="s">
        <v>298</v>
      </c>
      <c r="C212" s="6">
        <v>6428.07</v>
      </c>
      <c r="D212" s="7">
        <v>45922</v>
      </c>
      <c r="F212" t="s">
        <v>284</v>
      </c>
    </row>
    <row r="213" spans="1:6">
      <c r="A213" t="s">
        <v>255</v>
      </c>
      <c r="B213" s="14" t="s">
        <v>298</v>
      </c>
      <c r="C213" s="6">
        <v>6222.68</v>
      </c>
      <c r="D213" s="7">
        <v>45922</v>
      </c>
      <c r="F213" t="s">
        <v>256</v>
      </c>
    </row>
    <row r="214" spans="1:6">
      <c r="A214" t="s">
        <v>275</v>
      </c>
      <c r="B214" s="14" t="s">
        <v>337</v>
      </c>
      <c r="C214" s="6">
        <v>5528.51</v>
      </c>
      <c r="D214" s="7">
        <v>45922</v>
      </c>
      <c r="F214" t="s">
        <v>276</v>
      </c>
    </row>
    <row r="215" spans="1:6">
      <c r="A215" t="s">
        <v>338</v>
      </c>
      <c r="B215" s="14" t="s">
        <v>298</v>
      </c>
      <c r="C215" s="6">
        <v>5728.72</v>
      </c>
      <c r="D215" s="7">
        <v>45922</v>
      </c>
      <c r="F215" t="s">
        <v>339</v>
      </c>
    </row>
    <row r="216" spans="1:6">
      <c r="A216" t="s">
        <v>320</v>
      </c>
      <c r="B216" s="14" t="s">
        <v>340</v>
      </c>
      <c r="C216" s="6">
        <v>3948.94</v>
      </c>
      <c r="D216" s="7">
        <v>45897</v>
      </c>
      <c r="F216" t="s">
        <v>321</v>
      </c>
    </row>
    <row r="217" spans="1:6">
      <c r="A217" t="s">
        <v>341</v>
      </c>
      <c r="B217" s="14" t="s">
        <v>342</v>
      </c>
      <c r="C217" s="6">
        <v>4212.21</v>
      </c>
      <c r="D217" s="7">
        <v>45895</v>
      </c>
      <c r="E217" t="s">
        <v>237</v>
      </c>
      <c r="F217" t="s">
        <v>343</v>
      </c>
    </row>
    <row r="218" spans="1:6">
      <c r="A218" t="s">
        <v>246</v>
      </c>
      <c r="B218" s="14" t="s">
        <v>344</v>
      </c>
      <c r="C218" s="6">
        <v>5265.26</v>
      </c>
      <c r="D218" s="7">
        <v>45894</v>
      </c>
      <c r="F218" t="s">
        <v>247</v>
      </c>
    </row>
    <row r="219" spans="1:6">
      <c r="A219" t="s">
        <v>209</v>
      </c>
      <c r="B219" s="14" t="s">
        <v>309</v>
      </c>
      <c r="C219" s="6">
        <v>6120.15</v>
      </c>
      <c r="D219" s="7">
        <v>45894</v>
      </c>
      <c r="F219" t="s">
        <v>210</v>
      </c>
    </row>
    <row r="220" spans="1:6">
      <c r="A220" t="s">
        <v>345</v>
      </c>
      <c r="B220" s="14" t="s">
        <v>309</v>
      </c>
      <c r="C220" s="6">
        <v>254.85</v>
      </c>
      <c r="D220" s="7">
        <v>45891</v>
      </c>
      <c r="F220" t="s">
        <v>346</v>
      </c>
    </row>
    <row r="221" spans="1:6">
      <c r="A221" t="s">
        <v>347</v>
      </c>
      <c r="B221" s="14" t="s">
        <v>309</v>
      </c>
      <c r="C221" s="6">
        <v>3090.96</v>
      </c>
      <c r="D221" s="7">
        <v>45891</v>
      </c>
      <c r="F221" t="s">
        <v>348</v>
      </c>
    </row>
    <row r="222" spans="1:6">
      <c r="A222" t="s">
        <v>349</v>
      </c>
      <c r="B222" s="14" t="s">
        <v>340</v>
      </c>
      <c r="C222" s="6">
        <v>1053.05</v>
      </c>
      <c r="D222" s="7">
        <v>45891</v>
      </c>
      <c r="F222" t="s">
        <v>350</v>
      </c>
    </row>
    <row r="223" spans="1:6">
      <c r="A223" t="s">
        <v>273</v>
      </c>
      <c r="B223" s="14" t="s">
        <v>351</v>
      </c>
      <c r="C223" s="6">
        <v>5351.87</v>
      </c>
      <c r="D223" s="7">
        <v>45890</v>
      </c>
      <c r="F223" t="s">
        <v>274</v>
      </c>
    </row>
    <row r="224" spans="1:6">
      <c r="A224" t="s">
        <v>352</v>
      </c>
      <c r="B224" s="14" t="s">
        <v>353</v>
      </c>
      <c r="C224" s="6">
        <v>445.99</v>
      </c>
      <c r="D224" s="7">
        <v>45889</v>
      </c>
      <c r="F224" t="s">
        <v>354</v>
      </c>
    </row>
    <row r="225" spans="1:6">
      <c r="A225" t="s">
        <v>355</v>
      </c>
      <c r="B225" s="14" t="s">
        <v>309</v>
      </c>
      <c r="C225" s="6">
        <v>3939.79</v>
      </c>
      <c r="D225" s="7">
        <v>45889</v>
      </c>
      <c r="F225" t="s">
        <v>356</v>
      </c>
    </row>
    <row r="226" spans="1:6">
      <c r="A226" t="s">
        <v>322</v>
      </c>
      <c r="B226" s="14" t="s">
        <v>357</v>
      </c>
      <c r="C226" s="6">
        <v>5861.57</v>
      </c>
      <c r="D226" s="7">
        <v>45889</v>
      </c>
      <c r="F226" t="s">
        <v>323</v>
      </c>
    </row>
    <row r="227" spans="1:6">
      <c r="A227" t="s">
        <v>251</v>
      </c>
      <c r="B227" s="14" t="s">
        <v>309</v>
      </c>
      <c r="C227" s="6">
        <v>8161.15</v>
      </c>
      <c r="D227" s="7">
        <v>45889</v>
      </c>
      <c r="F227" t="s">
        <v>252</v>
      </c>
    </row>
    <row r="228" spans="1:6">
      <c r="A228" t="s">
        <v>221</v>
      </c>
      <c r="B228" s="14" t="s">
        <v>351</v>
      </c>
      <c r="C228" s="6">
        <v>5351.87</v>
      </c>
      <c r="D228" s="7">
        <v>45889</v>
      </c>
      <c r="F228" t="s">
        <v>222</v>
      </c>
    </row>
    <row r="229" spans="1:6">
      <c r="A229" t="s">
        <v>358</v>
      </c>
      <c r="B229" s="14" t="s">
        <v>309</v>
      </c>
      <c r="C229" s="6">
        <v>2895.89</v>
      </c>
      <c r="D229" s="7">
        <v>45889</v>
      </c>
      <c r="F229" t="s">
        <v>359</v>
      </c>
    </row>
    <row r="230" spans="1:6">
      <c r="A230" t="s">
        <v>239</v>
      </c>
      <c r="B230" s="14" t="s">
        <v>309</v>
      </c>
      <c r="C230" s="6">
        <v>6439.16</v>
      </c>
      <c r="D230" s="7">
        <v>45889</v>
      </c>
      <c r="F230" t="s">
        <v>240</v>
      </c>
    </row>
    <row r="231" spans="1:6">
      <c r="A231" t="s">
        <v>225</v>
      </c>
      <c r="B231" s="14" t="s">
        <v>309</v>
      </c>
      <c r="C231" s="6">
        <v>8161.15</v>
      </c>
      <c r="D231" s="7">
        <v>45889</v>
      </c>
      <c r="F231" t="s">
        <v>226</v>
      </c>
    </row>
    <row r="232" spans="1:6">
      <c r="A232" t="s">
        <v>318</v>
      </c>
      <c r="B232" s="14" t="s">
        <v>309</v>
      </c>
      <c r="C232" s="6">
        <v>6428.07</v>
      </c>
      <c r="D232" s="7">
        <v>45889</v>
      </c>
      <c r="F232" t="s">
        <v>319</v>
      </c>
    </row>
    <row r="233" spans="1:6">
      <c r="A233" t="s">
        <v>306</v>
      </c>
      <c r="B233" s="14" t="s">
        <v>309</v>
      </c>
      <c r="C233" s="6">
        <v>6428.07</v>
      </c>
      <c r="D233" s="7">
        <v>45889</v>
      </c>
      <c r="F233" t="s">
        <v>307</v>
      </c>
    </row>
    <row r="234" spans="1:6">
      <c r="A234" t="s">
        <v>302</v>
      </c>
      <c r="B234" s="14" t="s">
        <v>309</v>
      </c>
      <c r="C234" s="6">
        <v>6428.07</v>
      </c>
      <c r="D234" s="7">
        <v>45889</v>
      </c>
      <c r="F234" t="s">
        <v>303</v>
      </c>
    </row>
    <row r="235" spans="1:6">
      <c r="A235" t="s">
        <v>334</v>
      </c>
      <c r="B235" s="14" t="s">
        <v>360</v>
      </c>
      <c r="C235" s="6">
        <v>2038.8</v>
      </c>
      <c r="D235" s="7">
        <v>45889</v>
      </c>
      <c r="F235" t="s">
        <v>335</v>
      </c>
    </row>
    <row r="236" spans="1:6">
      <c r="A236" t="s">
        <v>300</v>
      </c>
      <c r="B236" s="14" t="s">
        <v>309</v>
      </c>
      <c r="C236" s="6">
        <v>6222.68</v>
      </c>
      <c r="D236" s="7">
        <v>45889</v>
      </c>
      <c r="F236" t="s">
        <v>301</v>
      </c>
    </row>
    <row r="237" spans="1:6">
      <c r="A237" t="s">
        <v>332</v>
      </c>
      <c r="B237" s="14" t="s">
        <v>309</v>
      </c>
      <c r="C237" s="6">
        <v>6428.07</v>
      </c>
      <c r="D237" s="7">
        <v>45889</v>
      </c>
      <c r="F237" t="s">
        <v>333</v>
      </c>
    </row>
    <row r="238" spans="1:6">
      <c r="A238" t="s">
        <v>297</v>
      </c>
      <c r="B238" s="14" t="s">
        <v>309</v>
      </c>
      <c r="C238" s="6">
        <v>6428.07</v>
      </c>
      <c r="D238" s="7">
        <v>45889</v>
      </c>
      <c r="F238" t="s">
        <v>299</v>
      </c>
    </row>
    <row r="239" spans="1:6">
      <c r="A239" t="s">
        <v>361</v>
      </c>
      <c r="B239" s="14" t="s">
        <v>309</v>
      </c>
      <c r="C239" s="6">
        <v>2903</v>
      </c>
      <c r="D239" s="7">
        <v>45889</v>
      </c>
      <c r="F239" t="s">
        <v>362</v>
      </c>
    </row>
    <row r="240" spans="1:6">
      <c r="A240" t="s">
        <v>242</v>
      </c>
      <c r="B240" s="14" t="s">
        <v>309</v>
      </c>
      <c r="C240" s="6">
        <v>8161.15</v>
      </c>
      <c r="D240" s="7">
        <v>45889</v>
      </c>
      <c r="F240" t="s">
        <v>243</v>
      </c>
    </row>
    <row r="241" spans="1:6">
      <c r="A241" t="s">
        <v>363</v>
      </c>
      <c r="B241" s="14" t="s">
        <v>309</v>
      </c>
      <c r="C241" s="6">
        <v>6428.07</v>
      </c>
      <c r="D241" s="7">
        <v>45889</v>
      </c>
      <c r="F241" t="s">
        <v>364</v>
      </c>
    </row>
    <row r="242" spans="1:6">
      <c r="A242" t="s">
        <v>365</v>
      </c>
      <c r="B242" s="14" t="s">
        <v>309</v>
      </c>
      <c r="C242" s="6">
        <v>6220.72</v>
      </c>
      <c r="D242" s="7">
        <v>45889</v>
      </c>
      <c r="F242" t="s">
        <v>366</v>
      </c>
    </row>
    <row r="243" spans="1:6">
      <c r="A243" t="s">
        <v>293</v>
      </c>
      <c r="B243" s="14" t="s">
        <v>309</v>
      </c>
      <c r="C243" s="6">
        <v>6222.68</v>
      </c>
      <c r="D243" s="7">
        <v>45889</v>
      </c>
      <c r="F243" t="s">
        <v>294</v>
      </c>
    </row>
    <row r="244" spans="1:6">
      <c r="A244" t="s">
        <v>180</v>
      </c>
      <c r="B244" s="14" t="s">
        <v>367</v>
      </c>
      <c r="C244" s="6">
        <v>5620.46</v>
      </c>
      <c r="D244" s="7">
        <v>45889</v>
      </c>
      <c r="F244" t="s">
        <v>181</v>
      </c>
    </row>
    <row r="245" spans="1:6">
      <c r="A245" t="s">
        <v>368</v>
      </c>
      <c r="B245" s="14" t="s">
        <v>369</v>
      </c>
      <c r="C245" s="6">
        <v>6116.42</v>
      </c>
      <c r="D245" s="7">
        <v>45889</v>
      </c>
      <c r="F245" t="s">
        <v>370</v>
      </c>
    </row>
    <row r="246" spans="1:6">
      <c r="A246" t="s">
        <v>266</v>
      </c>
      <c r="B246" s="14" t="s">
        <v>309</v>
      </c>
      <c r="C246" s="6">
        <v>6428.07</v>
      </c>
      <c r="D246" s="7">
        <v>45889</v>
      </c>
      <c r="F246" t="s">
        <v>267</v>
      </c>
    </row>
    <row r="247" spans="1:6">
      <c r="A247" t="s">
        <v>227</v>
      </c>
      <c r="B247" s="14" t="s">
        <v>309</v>
      </c>
      <c r="C247" s="6">
        <v>7900.37</v>
      </c>
      <c r="D247" s="7">
        <v>45889</v>
      </c>
      <c r="F247" t="s">
        <v>228</v>
      </c>
    </row>
    <row r="248" spans="1:6">
      <c r="A248" t="s">
        <v>244</v>
      </c>
      <c r="B248" s="14" t="s">
        <v>309</v>
      </c>
      <c r="C248" s="6">
        <v>6987.13</v>
      </c>
      <c r="D248" s="7">
        <v>45889</v>
      </c>
      <c r="F248" t="s">
        <v>245</v>
      </c>
    </row>
    <row r="249" spans="1:6">
      <c r="A249" t="s">
        <v>327</v>
      </c>
      <c r="B249" s="14" t="s">
        <v>309</v>
      </c>
      <c r="C249" s="6">
        <v>6428.07</v>
      </c>
      <c r="D249" s="7">
        <v>45889</v>
      </c>
      <c r="F249" t="s">
        <v>328</v>
      </c>
    </row>
    <row r="250" spans="1:6">
      <c r="A250" t="s">
        <v>311</v>
      </c>
      <c r="B250" s="14" t="s">
        <v>309</v>
      </c>
      <c r="C250" s="6">
        <v>6222.68</v>
      </c>
      <c r="D250" s="7">
        <v>45889</v>
      </c>
      <c r="F250" t="s">
        <v>312</v>
      </c>
    </row>
    <row r="251" spans="1:6">
      <c r="A251" t="s">
        <v>316</v>
      </c>
      <c r="B251" s="14" t="s">
        <v>371</v>
      </c>
      <c r="C251" s="6">
        <v>7135.82</v>
      </c>
      <c r="D251" s="7">
        <v>45889</v>
      </c>
      <c r="F251" t="s">
        <v>317</v>
      </c>
    </row>
    <row r="252" spans="1:6">
      <c r="A252" t="s">
        <v>372</v>
      </c>
      <c r="B252" s="14" t="s">
        <v>309</v>
      </c>
      <c r="C252" s="6">
        <v>2073.5700000000002</v>
      </c>
      <c r="D252" s="7">
        <v>45889</v>
      </c>
      <c r="F252" t="s">
        <v>373</v>
      </c>
    </row>
    <row r="253" spans="1:6">
      <c r="A253" t="s">
        <v>178</v>
      </c>
      <c r="B253" s="14" t="s">
        <v>374</v>
      </c>
      <c r="C253" s="6">
        <v>2632.62</v>
      </c>
      <c r="D253" s="7">
        <v>45889</v>
      </c>
      <c r="F253" t="s">
        <v>179</v>
      </c>
    </row>
    <row r="254" spans="1:6">
      <c r="A254" t="s">
        <v>285</v>
      </c>
      <c r="B254" s="14" t="s">
        <v>309</v>
      </c>
      <c r="C254" s="6">
        <v>6222.68</v>
      </c>
      <c r="D254" s="7">
        <v>45889</v>
      </c>
      <c r="F254" t="s">
        <v>286</v>
      </c>
    </row>
    <row r="255" spans="1:6">
      <c r="A255" t="s">
        <v>215</v>
      </c>
      <c r="B255" s="14" t="s">
        <v>309</v>
      </c>
      <c r="C255" s="6">
        <v>6428.07</v>
      </c>
      <c r="D255" s="7">
        <v>45889</v>
      </c>
      <c r="F255" t="s">
        <v>216</v>
      </c>
    </row>
    <row r="256" spans="1:6">
      <c r="A256" t="s">
        <v>304</v>
      </c>
      <c r="B256" s="14" t="s">
        <v>309</v>
      </c>
      <c r="C256" s="6">
        <v>6428.07</v>
      </c>
      <c r="D256" s="7">
        <v>45889</v>
      </c>
      <c r="F256" t="s">
        <v>305</v>
      </c>
    </row>
    <row r="257" spans="1:6">
      <c r="A257" t="s">
        <v>205</v>
      </c>
      <c r="B257" s="14" t="s">
        <v>309</v>
      </c>
      <c r="C257" s="6">
        <v>6237.93</v>
      </c>
      <c r="D257" s="7">
        <v>45889</v>
      </c>
      <c r="F257" t="s">
        <v>206</v>
      </c>
    </row>
    <row r="258" spans="1:6">
      <c r="A258" t="s">
        <v>324</v>
      </c>
      <c r="B258" s="14" t="s">
        <v>309</v>
      </c>
      <c r="C258" s="6">
        <v>6222.68</v>
      </c>
      <c r="D258" s="7">
        <v>45889</v>
      </c>
      <c r="F258" t="s">
        <v>325</v>
      </c>
    </row>
    <row r="259" spans="1:6">
      <c r="A259" t="s">
        <v>248</v>
      </c>
      <c r="B259" s="14" t="s">
        <v>309</v>
      </c>
      <c r="C259" s="6">
        <v>7770.21</v>
      </c>
      <c r="D259" s="7">
        <v>45889</v>
      </c>
      <c r="F259" t="s">
        <v>249</v>
      </c>
    </row>
    <row r="260" spans="1:6">
      <c r="A260" t="s">
        <v>289</v>
      </c>
      <c r="B260" s="14" t="s">
        <v>309</v>
      </c>
      <c r="C260" s="6">
        <v>7900.37</v>
      </c>
      <c r="D260" s="7">
        <v>45889</v>
      </c>
      <c r="F260" t="s">
        <v>290</v>
      </c>
    </row>
    <row r="261" spans="1:6">
      <c r="A261" t="s">
        <v>375</v>
      </c>
      <c r="B261" s="14" t="s">
        <v>309</v>
      </c>
      <c r="C261" s="6">
        <v>3058.21</v>
      </c>
      <c r="D261" s="7">
        <v>45889</v>
      </c>
      <c r="F261" t="s">
        <v>376</v>
      </c>
    </row>
    <row r="262" spans="1:6">
      <c r="A262" t="s">
        <v>338</v>
      </c>
      <c r="B262" s="14" t="s">
        <v>309</v>
      </c>
      <c r="C262" s="6">
        <v>7900.37</v>
      </c>
      <c r="D262" s="7">
        <v>45888</v>
      </c>
      <c r="F262" t="s">
        <v>339</v>
      </c>
    </row>
    <row r="263" spans="1:6">
      <c r="A263" t="s">
        <v>313</v>
      </c>
      <c r="B263" s="14" t="s">
        <v>309</v>
      </c>
      <c r="C263" s="6">
        <v>6428.07</v>
      </c>
      <c r="D263" s="7">
        <v>45888</v>
      </c>
      <c r="F263" t="s">
        <v>314</v>
      </c>
    </row>
    <row r="264" spans="1:6">
      <c r="A264" t="s">
        <v>277</v>
      </c>
      <c r="B264" s="14" t="s">
        <v>309</v>
      </c>
      <c r="C264" s="6">
        <v>6222.68</v>
      </c>
      <c r="D264" s="7">
        <v>45888</v>
      </c>
      <c r="F264" t="s">
        <v>278</v>
      </c>
    </row>
    <row r="265" spans="1:6">
      <c r="A265" t="s">
        <v>213</v>
      </c>
      <c r="B265" s="14" t="s">
        <v>377</v>
      </c>
      <c r="C265" s="6">
        <v>6371.26</v>
      </c>
      <c r="D265" s="7">
        <v>45888</v>
      </c>
      <c r="F265" t="s">
        <v>214</v>
      </c>
    </row>
    <row r="266" spans="1:6">
      <c r="A266" t="s">
        <v>283</v>
      </c>
      <c r="B266" s="14" t="s">
        <v>309</v>
      </c>
      <c r="C266" s="6">
        <v>6428.07</v>
      </c>
      <c r="D266" s="7">
        <v>45888</v>
      </c>
      <c r="F266" t="s">
        <v>284</v>
      </c>
    </row>
    <row r="267" spans="1:6">
      <c r="A267" t="s">
        <v>255</v>
      </c>
      <c r="B267" s="14" t="s">
        <v>309</v>
      </c>
      <c r="C267" s="6">
        <v>6222.68</v>
      </c>
      <c r="D267" s="7">
        <v>45888</v>
      </c>
      <c r="F267" t="s">
        <v>256</v>
      </c>
    </row>
    <row r="268" spans="1:6">
      <c r="A268" t="s">
        <v>378</v>
      </c>
      <c r="B268" s="14" t="s">
        <v>309</v>
      </c>
      <c r="C268" s="6">
        <v>5598.64</v>
      </c>
      <c r="D268" s="7">
        <v>45888</v>
      </c>
      <c r="F268" t="s">
        <v>379</v>
      </c>
    </row>
    <row r="269" spans="1:6">
      <c r="A269" t="s">
        <v>271</v>
      </c>
      <c r="B269" s="14" t="s">
        <v>351</v>
      </c>
      <c r="C269" s="6">
        <v>4354.5</v>
      </c>
      <c r="D269" s="7">
        <v>45888</v>
      </c>
      <c r="F269" t="s">
        <v>272</v>
      </c>
    </row>
    <row r="270" spans="1:6">
      <c r="A270" t="s">
        <v>287</v>
      </c>
      <c r="B270" s="14" t="s">
        <v>309</v>
      </c>
      <c r="C270" s="6">
        <v>6428.07</v>
      </c>
      <c r="D270" s="7">
        <v>45888</v>
      </c>
      <c r="F270" t="s">
        <v>288</v>
      </c>
    </row>
    <row r="271" spans="1:6">
      <c r="A271" t="s">
        <v>253</v>
      </c>
      <c r="B271" s="14" t="s">
        <v>309</v>
      </c>
      <c r="C271" s="6">
        <v>6428.07</v>
      </c>
      <c r="D271" s="7">
        <v>45888</v>
      </c>
      <c r="F271" t="s">
        <v>254</v>
      </c>
    </row>
    <row r="272" spans="1:6">
      <c r="A272" t="s">
        <v>223</v>
      </c>
      <c r="B272" s="14" t="s">
        <v>309</v>
      </c>
      <c r="C272" s="6">
        <v>8161.15</v>
      </c>
      <c r="D272" s="7">
        <v>45888</v>
      </c>
      <c r="F272" t="s">
        <v>224</v>
      </c>
    </row>
    <row r="273" spans="1:6">
      <c r="A273" t="s">
        <v>380</v>
      </c>
      <c r="B273" s="14" t="s">
        <v>264</v>
      </c>
      <c r="C273" s="6">
        <v>6220.72</v>
      </c>
      <c r="D273" s="7">
        <v>45870</v>
      </c>
      <c r="F273" t="s">
        <v>381</v>
      </c>
    </row>
    <row r="274" spans="1:6">
      <c r="A274" t="s">
        <v>382</v>
      </c>
      <c r="B274" s="14" t="s">
        <v>264</v>
      </c>
      <c r="C274" s="6">
        <v>6220.72</v>
      </c>
      <c r="D274" s="7">
        <v>45869</v>
      </c>
      <c r="E274" t="s">
        <v>237</v>
      </c>
      <c r="F274" t="s">
        <v>383</v>
      </c>
    </row>
    <row r="275" spans="1:6">
      <c r="A275" t="s">
        <v>306</v>
      </c>
      <c r="B275" s="14" t="s">
        <v>264</v>
      </c>
      <c r="C275" s="6">
        <v>6220.72</v>
      </c>
      <c r="D275" s="7">
        <v>45866</v>
      </c>
      <c r="F275" t="s">
        <v>307</v>
      </c>
    </row>
    <row r="276" spans="1:6">
      <c r="A276" t="s">
        <v>225</v>
      </c>
      <c r="B276" s="14" t="s">
        <v>384</v>
      </c>
      <c r="C276" s="6">
        <v>7371.35</v>
      </c>
      <c r="D276" s="7">
        <v>45866</v>
      </c>
      <c r="F276" t="s">
        <v>226</v>
      </c>
    </row>
    <row r="277" spans="1:6">
      <c r="A277" t="s">
        <v>302</v>
      </c>
      <c r="B277" s="14" t="s">
        <v>264</v>
      </c>
      <c r="C277" s="6">
        <v>6220.72</v>
      </c>
      <c r="D277" s="7">
        <v>45862</v>
      </c>
      <c r="F277" t="s">
        <v>303</v>
      </c>
    </row>
    <row r="278" spans="1:6">
      <c r="A278" t="s">
        <v>385</v>
      </c>
      <c r="B278" s="14" t="s">
        <v>264</v>
      </c>
      <c r="C278" s="6">
        <v>6220.72</v>
      </c>
      <c r="D278" s="7">
        <v>45862</v>
      </c>
      <c r="F278" t="s">
        <v>386</v>
      </c>
    </row>
    <row r="279" spans="1:6">
      <c r="A279" t="s">
        <v>387</v>
      </c>
      <c r="B279" s="14" t="s">
        <v>264</v>
      </c>
      <c r="C279" s="6">
        <v>4880.46</v>
      </c>
      <c r="D279" s="7">
        <v>45862</v>
      </c>
      <c r="F279" t="s">
        <v>388</v>
      </c>
    </row>
    <row r="280" spans="1:6">
      <c r="A280" t="s">
        <v>248</v>
      </c>
      <c r="B280" s="14" t="s">
        <v>389</v>
      </c>
      <c r="C280" s="6">
        <v>2005.22</v>
      </c>
      <c r="D280" s="7">
        <v>45861</v>
      </c>
      <c r="F280" t="s">
        <v>249</v>
      </c>
    </row>
    <row r="281" spans="1:6">
      <c r="A281" t="s">
        <v>390</v>
      </c>
      <c r="B281" s="14" t="s">
        <v>264</v>
      </c>
      <c r="C281" s="6">
        <v>3525.07</v>
      </c>
      <c r="D281" s="7">
        <v>45861</v>
      </c>
      <c r="F281" t="s">
        <v>391</v>
      </c>
    </row>
    <row r="282" spans="1:6">
      <c r="A282" t="s">
        <v>215</v>
      </c>
      <c r="B282" s="14" t="s">
        <v>264</v>
      </c>
      <c r="C282" s="6">
        <v>414.72</v>
      </c>
      <c r="D282" s="7">
        <v>45861</v>
      </c>
      <c r="F282" t="s">
        <v>216</v>
      </c>
    </row>
    <row r="283" spans="1:6">
      <c r="A283" t="s">
        <v>355</v>
      </c>
      <c r="B283" s="14" t="s">
        <v>264</v>
      </c>
      <c r="C283" s="6">
        <v>6220.72</v>
      </c>
      <c r="D283" s="7">
        <v>45860</v>
      </c>
      <c r="F283" t="s">
        <v>356</v>
      </c>
    </row>
    <row r="284" spans="1:6">
      <c r="A284" t="s">
        <v>361</v>
      </c>
      <c r="B284" s="14" t="s">
        <v>264</v>
      </c>
      <c r="C284" s="6">
        <v>6220.72</v>
      </c>
      <c r="D284" s="7">
        <v>45860</v>
      </c>
      <c r="F284" t="s">
        <v>362</v>
      </c>
    </row>
    <row r="285" spans="1:6">
      <c r="A285" t="s">
        <v>253</v>
      </c>
      <c r="B285" s="14" t="s">
        <v>264</v>
      </c>
      <c r="C285" s="6">
        <v>7506.54</v>
      </c>
      <c r="D285" s="7">
        <v>45860</v>
      </c>
      <c r="F285" t="s">
        <v>254</v>
      </c>
    </row>
    <row r="286" spans="1:6">
      <c r="A286" t="s">
        <v>375</v>
      </c>
      <c r="B286" s="14" t="s">
        <v>392</v>
      </c>
      <c r="C286" s="6">
        <v>4587.3100000000004</v>
      </c>
      <c r="D286" s="7">
        <v>45860</v>
      </c>
      <c r="F286" t="s">
        <v>376</v>
      </c>
    </row>
    <row r="287" spans="1:6">
      <c r="A287" t="s">
        <v>277</v>
      </c>
      <c r="B287" s="14" t="s">
        <v>264</v>
      </c>
      <c r="C287" s="6">
        <v>6021.94</v>
      </c>
      <c r="D287" s="7">
        <v>45860</v>
      </c>
      <c r="F287" t="s">
        <v>278</v>
      </c>
    </row>
    <row r="288" spans="1:6">
      <c r="A288" t="s">
        <v>244</v>
      </c>
      <c r="B288" s="14" t="s">
        <v>264</v>
      </c>
      <c r="C288" s="6">
        <v>7897.88</v>
      </c>
      <c r="D288" s="7">
        <v>45860</v>
      </c>
      <c r="F288" t="s">
        <v>245</v>
      </c>
    </row>
    <row r="289" spans="1:6">
      <c r="A289" t="s">
        <v>372</v>
      </c>
      <c r="B289" s="14" t="s">
        <v>264</v>
      </c>
      <c r="C289" s="6">
        <v>7394.73</v>
      </c>
      <c r="D289" s="7">
        <v>45860</v>
      </c>
      <c r="F289" t="s">
        <v>373</v>
      </c>
    </row>
    <row r="290" spans="1:6">
      <c r="A290" t="s">
        <v>209</v>
      </c>
      <c r="B290" s="14" t="s">
        <v>264</v>
      </c>
      <c r="C290" s="6">
        <v>7466.33</v>
      </c>
      <c r="D290" s="7">
        <v>45860</v>
      </c>
      <c r="F290" t="s">
        <v>210</v>
      </c>
    </row>
    <row r="291" spans="1:6">
      <c r="A291" t="s">
        <v>223</v>
      </c>
      <c r="B291" s="14" t="s">
        <v>392</v>
      </c>
      <c r="C291" s="6">
        <v>4738.7299999999996</v>
      </c>
      <c r="D291" s="7">
        <v>45860</v>
      </c>
      <c r="F291" t="s">
        <v>224</v>
      </c>
    </row>
    <row r="292" spans="1:6">
      <c r="A292" t="s">
        <v>393</v>
      </c>
      <c r="B292" s="14" t="s">
        <v>264</v>
      </c>
      <c r="C292" s="6">
        <v>6220.72</v>
      </c>
      <c r="D292" s="7">
        <v>45860</v>
      </c>
      <c r="F292" t="s">
        <v>394</v>
      </c>
    </row>
    <row r="293" spans="1:6">
      <c r="A293" t="s">
        <v>347</v>
      </c>
      <c r="B293" s="14" t="s">
        <v>264</v>
      </c>
      <c r="C293" s="6">
        <v>4880.46</v>
      </c>
      <c r="D293" s="7">
        <v>45860</v>
      </c>
      <c r="F293" t="s">
        <v>348</v>
      </c>
    </row>
    <row r="294" spans="1:6">
      <c r="A294" t="s">
        <v>318</v>
      </c>
      <c r="B294" s="14" t="s">
        <v>264</v>
      </c>
      <c r="C294" s="6">
        <v>6220.72</v>
      </c>
      <c r="D294" s="7">
        <v>45860</v>
      </c>
      <c r="F294" t="s">
        <v>319</v>
      </c>
    </row>
    <row r="295" spans="1:6">
      <c r="A295" t="s">
        <v>283</v>
      </c>
      <c r="B295" s="14" t="s">
        <v>264</v>
      </c>
      <c r="C295" s="6">
        <v>6220.72</v>
      </c>
      <c r="D295" s="7">
        <v>45860</v>
      </c>
      <c r="F295" t="s">
        <v>284</v>
      </c>
    </row>
    <row r="296" spans="1:6">
      <c r="A296" t="s">
        <v>395</v>
      </c>
      <c r="B296" s="14" t="s">
        <v>264</v>
      </c>
      <c r="C296" s="6">
        <v>5419.75</v>
      </c>
      <c r="D296" s="7">
        <v>45860</v>
      </c>
      <c r="F296" t="s">
        <v>396</v>
      </c>
    </row>
    <row r="297" spans="1:6">
      <c r="A297" t="s">
        <v>304</v>
      </c>
      <c r="B297" s="14" t="s">
        <v>264</v>
      </c>
      <c r="C297" s="6">
        <v>6220.72</v>
      </c>
      <c r="D297" s="7">
        <v>45860</v>
      </c>
      <c r="F297" t="s">
        <v>305</v>
      </c>
    </row>
    <row r="298" spans="1:6">
      <c r="A298" t="s">
        <v>311</v>
      </c>
      <c r="B298" s="14" t="s">
        <v>264</v>
      </c>
      <c r="C298" s="6">
        <v>6021.94</v>
      </c>
      <c r="D298" s="7">
        <v>45860</v>
      </c>
      <c r="F298" t="s">
        <v>312</v>
      </c>
    </row>
    <row r="299" spans="1:6">
      <c r="A299" t="s">
        <v>327</v>
      </c>
      <c r="B299" s="14" t="s">
        <v>264</v>
      </c>
      <c r="C299" s="6">
        <v>6220.72</v>
      </c>
      <c r="D299" s="7">
        <v>45860</v>
      </c>
      <c r="F299" t="s">
        <v>328</v>
      </c>
    </row>
    <row r="300" spans="1:6">
      <c r="A300" t="s">
        <v>378</v>
      </c>
      <c r="B300" s="14" t="s">
        <v>264</v>
      </c>
      <c r="C300" s="6">
        <v>6220.72</v>
      </c>
      <c r="D300" s="7">
        <v>45860</v>
      </c>
      <c r="F300" t="s">
        <v>379</v>
      </c>
    </row>
    <row r="301" spans="1:6">
      <c r="A301" t="s">
        <v>313</v>
      </c>
      <c r="B301" s="14" t="s">
        <v>264</v>
      </c>
      <c r="C301" s="6">
        <v>6220.72</v>
      </c>
      <c r="D301" s="7">
        <v>45860</v>
      </c>
      <c r="F301" t="s">
        <v>314</v>
      </c>
    </row>
    <row r="302" spans="1:6">
      <c r="A302" t="s">
        <v>338</v>
      </c>
      <c r="B302" s="14" t="s">
        <v>397</v>
      </c>
      <c r="C302" s="6">
        <v>6880.97</v>
      </c>
      <c r="D302" s="7">
        <v>45860</v>
      </c>
      <c r="F302" t="s">
        <v>339</v>
      </c>
    </row>
    <row r="303" spans="1:6">
      <c r="A303" t="s">
        <v>255</v>
      </c>
      <c r="B303" s="14" t="s">
        <v>264</v>
      </c>
      <c r="C303" s="6">
        <v>6130.17</v>
      </c>
      <c r="D303" s="7">
        <v>45860</v>
      </c>
      <c r="F303" t="s">
        <v>256</v>
      </c>
    </row>
    <row r="304" spans="1:6">
      <c r="A304" t="s">
        <v>365</v>
      </c>
      <c r="B304" s="14" t="s">
        <v>264</v>
      </c>
      <c r="C304" s="6">
        <v>6220.72</v>
      </c>
      <c r="D304" s="7">
        <v>45860</v>
      </c>
      <c r="F304" t="s">
        <v>366</v>
      </c>
    </row>
    <row r="305" spans="1:6">
      <c r="A305" t="s">
        <v>289</v>
      </c>
      <c r="B305" s="14" t="s">
        <v>392</v>
      </c>
      <c r="C305" s="6">
        <v>4587.3100000000004</v>
      </c>
      <c r="D305" s="7">
        <v>45860</v>
      </c>
      <c r="F305" t="s">
        <v>290</v>
      </c>
    </row>
    <row r="306" spans="1:6">
      <c r="A306" t="s">
        <v>227</v>
      </c>
      <c r="B306" s="14" t="s">
        <v>392</v>
      </c>
      <c r="C306" s="6">
        <v>4587.3100000000004</v>
      </c>
      <c r="D306" s="7">
        <v>45860</v>
      </c>
      <c r="F306" t="s">
        <v>228</v>
      </c>
    </row>
    <row r="307" spans="1:6">
      <c r="A307" t="s">
        <v>242</v>
      </c>
      <c r="B307" s="14" t="s">
        <v>398</v>
      </c>
      <c r="C307" s="6">
        <v>6844.83</v>
      </c>
      <c r="D307" s="7">
        <v>45860</v>
      </c>
      <c r="F307" t="s">
        <v>243</v>
      </c>
    </row>
    <row r="308" spans="1:6">
      <c r="A308" t="s">
        <v>324</v>
      </c>
      <c r="B308" s="14" t="s">
        <v>264</v>
      </c>
      <c r="C308" s="6">
        <v>6021.94</v>
      </c>
      <c r="D308" s="7">
        <v>45860</v>
      </c>
      <c r="F308" t="s">
        <v>325</v>
      </c>
    </row>
    <row r="309" spans="1:6">
      <c r="A309" t="s">
        <v>363</v>
      </c>
      <c r="B309" s="14" t="s">
        <v>264</v>
      </c>
      <c r="C309" s="6">
        <v>6220.72</v>
      </c>
      <c r="D309" s="7">
        <v>45860</v>
      </c>
      <c r="F309" t="s">
        <v>364</v>
      </c>
    </row>
    <row r="310" spans="1:6">
      <c r="A310" t="s">
        <v>297</v>
      </c>
      <c r="B310" s="14" t="s">
        <v>264</v>
      </c>
      <c r="C310" s="6">
        <v>6220.72</v>
      </c>
      <c r="D310" s="7">
        <v>45860</v>
      </c>
      <c r="F310" t="s">
        <v>299</v>
      </c>
    </row>
    <row r="311" spans="1:6">
      <c r="A311" t="s">
        <v>332</v>
      </c>
      <c r="B311" s="14" t="s">
        <v>264</v>
      </c>
      <c r="C311" s="6">
        <v>6220.72</v>
      </c>
      <c r="D311" s="7">
        <v>45860</v>
      </c>
      <c r="F311" t="s">
        <v>333</v>
      </c>
    </row>
    <row r="312" spans="1:6">
      <c r="A312" t="s">
        <v>205</v>
      </c>
      <c r="B312" s="14" t="s">
        <v>264</v>
      </c>
      <c r="C312" s="6">
        <v>6958.99</v>
      </c>
      <c r="D312" s="7">
        <v>45860</v>
      </c>
      <c r="F312" t="s">
        <v>206</v>
      </c>
    </row>
    <row r="313" spans="1:6">
      <c r="A313" t="s">
        <v>287</v>
      </c>
      <c r="B313" s="14" t="s">
        <v>264</v>
      </c>
      <c r="C313" s="6">
        <v>6220.72</v>
      </c>
      <c r="D313" s="7">
        <v>45860</v>
      </c>
      <c r="F313" t="s">
        <v>288</v>
      </c>
    </row>
    <row r="314" spans="1:6">
      <c r="A314" t="s">
        <v>345</v>
      </c>
      <c r="B314" s="14" t="s">
        <v>264</v>
      </c>
      <c r="C314" s="6">
        <v>7645.52</v>
      </c>
      <c r="D314" s="7">
        <v>45860</v>
      </c>
      <c r="F314" t="s">
        <v>346</v>
      </c>
    </row>
    <row r="315" spans="1:6">
      <c r="A315" t="s">
        <v>300</v>
      </c>
      <c r="B315" s="14" t="s">
        <v>264</v>
      </c>
      <c r="C315" s="6">
        <v>6021.94</v>
      </c>
      <c r="D315" s="7">
        <v>45860</v>
      </c>
      <c r="F315" t="s">
        <v>301</v>
      </c>
    </row>
    <row r="316" spans="1:6">
      <c r="A316" t="s">
        <v>215</v>
      </c>
      <c r="B316" s="14" t="s">
        <v>397</v>
      </c>
      <c r="C316" s="6">
        <v>5598.64</v>
      </c>
      <c r="D316" s="7">
        <v>45860</v>
      </c>
      <c r="F316" t="s">
        <v>216</v>
      </c>
    </row>
    <row r="317" spans="1:6">
      <c r="A317" t="s">
        <v>308</v>
      </c>
      <c r="B317" s="14" t="s">
        <v>392</v>
      </c>
      <c r="C317" s="6">
        <v>4587.3100000000004</v>
      </c>
      <c r="D317" s="7">
        <v>45860</v>
      </c>
      <c r="F317" t="s">
        <v>310</v>
      </c>
    </row>
    <row r="318" spans="1:6">
      <c r="A318" t="s">
        <v>239</v>
      </c>
      <c r="B318" s="14" t="s">
        <v>264</v>
      </c>
      <c r="C318" s="6">
        <v>7645.52</v>
      </c>
      <c r="D318" s="7">
        <v>45860</v>
      </c>
      <c r="F318" t="s">
        <v>240</v>
      </c>
    </row>
    <row r="319" spans="1:6">
      <c r="A319" t="s">
        <v>285</v>
      </c>
      <c r="B319" s="14" t="s">
        <v>264</v>
      </c>
      <c r="C319" s="6">
        <v>6021.94</v>
      </c>
      <c r="D319" s="7">
        <v>45860</v>
      </c>
      <c r="F319" t="s">
        <v>286</v>
      </c>
    </row>
    <row r="320" spans="1:6">
      <c r="A320" t="s">
        <v>399</v>
      </c>
      <c r="B320" s="14" t="s">
        <v>264</v>
      </c>
      <c r="C320" s="6">
        <v>4354.5</v>
      </c>
      <c r="D320" s="7">
        <v>45860</v>
      </c>
      <c r="F320" t="s">
        <v>400</v>
      </c>
    </row>
    <row r="321" spans="1:6">
      <c r="A321" t="s">
        <v>266</v>
      </c>
      <c r="B321" s="14" t="s">
        <v>264</v>
      </c>
      <c r="C321" s="6">
        <v>6220.72</v>
      </c>
      <c r="D321" s="7">
        <v>45860</v>
      </c>
      <c r="F321" t="s">
        <v>267</v>
      </c>
    </row>
    <row r="322" spans="1:6">
      <c r="A322" t="s">
        <v>293</v>
      </c>
      <c r="B322" s="14" t="s">
        <v>264</v>
      </c>
      <c r="C322" s="6">
        <v>6887.85</v>
      </c>
      <c r="D322" s="7">
        <v>45860</v>
      </c>
      <c r="F322" t="s">
        <v>294</v>
      </c>
    </row>
    <row r="323" spans="1:6">
      <c r="A323" t="s">
        <v>401</v>
      </c>
      <c r="B323" s="14" t="s">
        <v>264</v>
      </c>
      <c r="C323" s="6">
        <v>5183.9399999999996</v>
      </c>
      <c r="D323" s="7">
        <v>45860</v>
      </c>
      <c r="F323" t="s">
        <v>402</v>
      </c>
    </row>
    <row r="324" spans="1:6">
      <c r="A324" t="s">
        <v>358</v>
      </c>
      <c r="B324" s="14" t="s">
        <v>264</v>
      </c>
      <c r="C324" s="6">
        <v>7897.88</v>
      </c>
      <c r="D324" s="7">
        <v>45860</v>
      </c>
      <c r="F324" t="s">
        <v>359</v>
      </c>
    </row>
    <row r="325" spans="1:6">
      <c r="A325" t="s">
        <v>251</v>
      </c>
      <c r="B325" s="14" t="s">
        <v>403</v>
      </c>
      <c r="C325" s="6">
        <v>1579.57</v>
      </c>
      <c r="D325" s="7">
        <v>45860</v>
      </c>
      <c r="F325" t="s">
        <v>252</v>
      </c>
    </row>
    <row r="326" spans="1:6">
      <c r="A326" t="s">
        <v>244</v>
      </c>
      <c r="B326" s="14" t="s">
        <v>404</v>
      </c>
      <c r="C326" s="6">
        <v>5265.26</v>
      </c>
      <c r="D326" s="7">
        <v>45852</v>
      </c>
      <c r="F326" t="s">
        <v>245</v>
      </c>
    </row>
    <row r="327" spans="1:6">
      <c r="A327" t="s">
        <v>405</v>
      </c>
      <c r="B327" s="14" t="s">
        <v>406</v>
      </c>
      <c r="C327" s="6">
        <v>4769.22</v>
      </c>
      <c r="D327" s="7">
        <v>45835</v>
      </c>
      <c r="F327" t="s">
        <v>407</v>
      </c>
    </row>
    <row r="328" spans="1:6">
      <c r="A328" t="s">
        <v>266</v>
      </c>
      <c r="B328" s="14" t="s">
        <v>408</v>
      </c>
      <c r="C328" s="6">
        <v>5183.9399999999996</v>
      </c>
      <c r="D328" s="7">
        <v>45835</v>
      </c>
      <c r="F328" t="s">
        <v>267</v>
      </c>
    </row>
    <row r="329" spans="1:6">
      <c r="A329" t="s">
        <v>239</v>
      </c>
      <c r="B329" s="14" t="s">
        <v>409</v>
      </c>
      <c r="C329" s="6">
        <v>6626.12</v>
      </c>
      <c r="D329" s="7">
        <v>45835</v>
      </c>
      <c r="F329" t="s">
        <v>240</v>
      </c>
    </row>
    <row r="330" spans="1:6">
      <c r="A330" t="s">
        <v>358</v>
      </c>
      <c r="B330" s="14" t="s">
        <v>410</v>
      </c>
      <c r="C330" s="6">
        <v>1316.32</v>
      </c>
      <c r="D330" s="7">
        <v>45834</v>
      </c>
      <c r="F330" t="s">
        <v>359</v>
      </c>
    </row>
    <row r="331" spans="1:6">
      <c r="A331" t="s">
        <v>411</v>
      </c>
      <c r="B331" s="14" t="s">
        <v>412</v>
      </c>
      <c r="C331" s="6">
        <v>449.77</v>
      </c>
      <c r="D331" s="7">
        <v>45834</v>
      </c>
      <c r="F331" t="s">
        <v>413</v>
      </c>
    </row>
    <row r="332" spans="1:6">
      <c r="A332" t="s">
        <v>311</v>
      </c>
      <c r="B332" s="14" t="s">
        <v>406</v>
      </c>
      <c r="C332" s="6">
        <v>6222.68</v>
      </c>
      <c r="D332" s="7">
        <v>45832</v>
      </c>
      <c r="F332" t="s">
        <v>312</v>
      </c>
    </row>
    <row r="333" spans="1:6">
      <c r="A333" t="s">
        <v>304</v>
      </c>
      <c r="B333" s="14" t="s">
        <v>406</v>
      </c>
      <c r="C333" s="6">
        <v>6428.07</v>
      </c>
      <c r="D333" s="7">
        <v>45832</v>
      </c>
      <c r="F333" t="s">
        <v>305</v>
      </c>
    </row>
    <row r="334" spans="1:6">
      <c r="A334" t="s">
        <v>372</v>
      </c>
      <c r="B334" s="14" t="s">
        <v>406</v>
      </c>
      <c r="C334" s="6">
        <v>8161.15</v>
      </c>
      <c r="D334" s="7">
        <v>45832</v>
      </c>
      <c r="F334" t="s">
        <v>373</v>
      </c>
    </row>
    <row r="335" spans="1:6">
      <c r="A335" t="s">
        <v>327</v>
      </c>
      <c r="B335" s="14" t="s">
        <v>406</v>
      </c>
      <c r="C335" s="6">
        <v>6428.07</v>
      </c>
      <c r="D335" s="7">
        <v>45832</v>
      </c>
      <c r="F335" t="s">
        <v>328</v>
      </c>
    </row>
    <row r="336" spans="1:6">
      <c r="A336" t="s">
        <v>355</v>
      </c>
      <c r="B336" s="14" t="s">
        <v>406</v>
      </c>
      <c r="C336" s="6">
        <v>6428.07</v>
      </c>
      <c r="D336" s="7">
        <v>45832</v>
      </c>
      <c r="F336" t="s">
        <v>356</v>
      </c>
    </row>
    <row r="337" spans="1:6">
      <c r="A337" t="s">
        <v>318</v>
      </c>
      <c r="B337" s="14" t="s">
        <v>406</v>
      </c>
      <c r="C337" s="6">
        <v>6428.07</v>
      </c>
      <c r="D337" s="7">
        <v>45832</v>
      </c>
      <c r="F337" t="s">
        <v>319</v>
      </c>
    </row>
    <row r="338" spans="1:6">
      <c r="A338" t="s">
        <v>414</v>
      </c>
      <c r="B338" s="14" t="s">
        <v>406</v>
      </c>
      <c r="C338" s="6">
        <v>1529.1</v>
      </c>
      <c r="D338" s="7">
        <v>45832</v>
      </c>
      <c r="F338" t="s">
        <v>415</v>
      </c>
    </row>
    <row r="339" spans="1:6">
      <c r="A339" t="s">
        <v>287</v>
      </c>
      <c r="B339" s="14" t="s">
        <v>406</v>
      </c>
      <c r="C339" s="6">
        <v>6428.07</v>
      </c>
      <c r="D339" s="7">
        <v>45832</v>
      </c>
      <c r="F339" t="s">
        <v>288</v>
      </c>
    </row>
    <row r="340" spans="1:6">
      <c r="A340" t="s">
        <v>215</v>
      </c>
      <c r="B340" s="14" t="s">
        <v>406</v>
      </c>
      <c r="C340" s="6">
        <v>7825.71</v>
      </c>
      <c r="D340" s="7">
        <v>45832</v>
      </c>
      <c r="F340" t="s">
        <v>216</v>
      </c>
    </row>
    <row r="341" spans="1:6">
      <c r="A341" t="s">
        <v>285</v>
      </c>
      <c r="B341" s="14" t="s">
        <v>406</v>
      </c>
      <c r="C341" s="6">
        <v>7467.41</v>
      </c>
      <c r="D341" s="7">
        <v>45832</v>
      </c>
      <c r="F341" t="s">
        <v>286</v>
      </c>
    </row>
    <row r="342" spans="1:6">
      <c r="A342" t="s">
        <v>380</v>
      </c>
      <c r="B342" s="14" t="s">
        <v>406</v>
      </c>
      <c r="C342" s="6">
        <v>6428.07</v>
      </c>
      <c r="D342" s="7">
        <v>45832</v>
      </c>
      <c r="F342" t="s">
        <v>381</v>
      </c>
    </row>
    <row r="343" spans="1:6">
      <c r="A343" t="s">
        <v>393</v>
      </c>
      <c r="B343" s="14" t="s">
        <v>406</v>
      </c>
      <c r="C343" s="6">
        <v>6428.07</v>
      </c>
      <c r="D343" s="7">
        <v>45832</v>
      </c>
      <c r="F343" t="s">
        <v>394</v>
      </c>
    </row>
    <row r="344" spans="1:6">
      <c r="A344" t="s">
        <v>378</v>
      </c>
      <c r="B344" s="14" t="s">
        <v>406</v>
      </c>
      <c r="C344" s="6">
        <v>6428.07</v>
      </c>
      <c r="D344" s="7">
        <v>45832</v>
      </c>
      <c r="F344" t="s">
        <v>379</v>
      </c>
    </row>
    <row r="345" spans="1:6">
      <c r="A345" t="s">
        <v>401</v>
      </c>
      <c r="B345" s="14" t="s">
        <v>406</v>
      </c>
      <c r="C345" s="6">
        <v>6428.07</v>
      </c>
      <c r="D345" s="7">
        <v>45832</v>
      </c>
      <c r="F345" t="s">
        <v>402</v>
      </c>
    </row>
    <row r="346" spans="1:6">
      <c r="A346" t="s">
        <v>293</v>
      </c>
      <c r="B346" s="14" t="s">
        <v>406</v>
      </c>
      <c r="C346" s="6">
        <v>7900.37</v>
      </c>
      <c r="D346" s="7">
        <v>45832</v>
      </c>
      <c r="F346" t="s">
        <v>294</v>
      </c>
    </row>
    <row r="347" spans="1:6">
      <c r="A347" t="s">
        <v>205</v>
      </c>
      <c r="B347" s="14" t="s">
        <v>406</v>
      </c>
      <c r="C347" s="6">
        <v>7919.74</v>
      </c>
      <c r="D347" s="7">
        <v>45832</v>
      </c>
      <c r="F347" t="s">
        <v>206</v>
      </c>
    </row>
    <row r="348" spans="1:6">
      <c r="A348" t="s">
        <v>324</v>
      </c>
      <c r="B348" s="14" t="s">
        <v>406</v>
      </c>
      <c r="C348" s="6">
        <v>7521.54</v>
      </c>
      <c r="D348" s="7">
        <v>45832</v>
      </c>
      <c r="F348" t="s">
        <v>325</v>
      </c>
    </row>
    <row r="349" spans="1:6">
      <c r="A349" t="s">
        <v>263</v>
      </c>
      <c r="B349" s="14" t="s">
        <v>406</v>
      </c>
      <c r="C349" s="6">
        <v>7900.37</v>
      </c>
      <c r="D349" s="7">
        <v>45831</v>
      </c>
      <c r="F349" t="s">
        <v>265</v>
      </c>
    </row>
    <row r="350" spans="1:6">
      <c r="A350" t="s">
        <v>395</v>
      </c>
      <c r="B350" s="14" t="s">
        <v>406</v>
      </c>
      <c r="C350" s="6">
        <v>6222.68</v>
      </c>
      <c r="D350" s="7">
        <v>45831</v>
      </c>
      <c r="F350" t="s">
        <v>396</v>
      </c>
    </row>
    <row r="351" spans="1:6">
      <c r="A351" t="s">
        <v>300</v>
      </c>
      <c r="B351" s="14" t="s">
        <v>406</v>
      </c>
      <c r="C351" s="6">
        <v>6222.68</v>
      </c>
      <c r="D351" s="7">
        <v>45831</v>
      </c>
      <c r="F351" t="s">
        <v>301</v>
      </c>
    </row>
    <row r="352" spans="1:6">
      <c r="A352" t="s">
        <v>387</v>
      </c>
      <c r="B352" s="14" t="s">
        <v>406</v>
      </c>
      <c r="C352" s="6">
        <v>5043.1400000000003</v>
      </c>
      <c r="D352" s="7">
        <v>45831</v>
      </c>
      <c r="F352" t="s">
        <v>388</v>
      </c>
    </row>
    <row r="353" spans="1:6">
      <c r="A353" t="s">
        <v>332</v>
      </c>
      <c r="B353" s="14" t="s">
        <v>406</v>
      </c>
      <c r="C353" s="6">
        <v>6428.07</v>
      </c>
      <c r="D353" s="7">
        <v>45831</v>
      </c>
      <c r="F353" t="s">
        <v>333</v>
      </c>
    </row>
    <row r="354" spans="1:6">
      <c r="A354" t="s">
        <v>297</v>
      </c>
      <c r="B354" s="14" t="s">
        <v>406</v>
      </c>
      <c r="C354" s="6">
        <v>6539.88</v>
      </c>
      <c r="D354" s="7">
        <v>45831</v>
      </c>
      <c r="F354" t="s">
        <v>299</v>
      </c>
    </row>
    <row r="355" spans="1:6">
      <c r="A355" t="s">
        <v>365</v>
      </c>
      <c r="B355" s="14" t="s">
        <v>406</v>
      </c>
      <c r="C355" s="6">
        <v>6428.07</v>
      </c>
      <c r="D355" s="7">
        <v>45831</v>
      </c>
      <c r="F355" t="s">
        <v>366</v>
      </c>
    </row>
    <row r="356" spans="1:6">
      <c r="A356" t="s">
        <v>390</v>
      </c>
      <c r="B356" s="14" t="s">
        <v>406</v>
      </c>
      <c r="C356" s="6">
        <v>6428.07</v>
      </c>
      <c r="D356" s="7">
        <v>45831</v>
      </c>
      <c r="F356" t="s">
        <v>391</v>
      </c>
    </row>
    <row r="357" spans="1:6">
      <c r="A357" t="s">
        <v>306</v>
      </c>
      <c r="B357" s="14" t="s">
        <v>406</v>
      </c>
      <c r="C357" s="6">
        <v>6428.07</v>
      </c>
      <c r="D357" s="7">
        <v>45831</v>
      </c>
      <c r="F357" t="s">
        <v>307</v>
      </c>
    </row>
    <row r="358" spans="1:6">
      <c r="A358" t="s">
        <v>363</v>
      </c>
      <c r="B358" s="14" t="s">
        <v>406</v>
      </c>
      <c r="C358" s="6">
        <v>6428.07</v>
      </c>
      <c r="D358" s="7">
        <v>45831</v>
      </c>
      <c r="F358" t="s">
        <v>364</v>
      </c>
    </row>
    <row r="359" spans="1:6">
      <c r="A359" t="s">
        <v>416</v>
      </c>
      <c r="B359" s="14" t="s">
        <v>406</v>
      </c>
      <c r="C359" s="6">
        <v>4147.1400000000003</v>
      </c>
      <c r="D359" s="7">
        <v>45831</v>
      </c>
      <c r="F359" t="s">
        <v>417</v>
      </c>
    </row>
    <row r="360" spans="1:6">
      <c r="A360" t="s">
        <v>399</v>
      </c>
      <c r="B360" s="14" t="s">
        <v>406</v>
      </c>
      <c r="C360" s="6">
        <v>2695.65</v>
      </c>
      <c r="D360" s="7">
        <v>45831</v>
      </c>
      <c r="F360" t="s">
        <v>400</v>
      </c>
    </row>
    <row r="361" spans="1:6">
      <c r="A361" t="s">
        <v>345</v>
      </c>
      <c r="B361" s="14" t="s">
        <v>418</v>
      </c>
      <c r="C361" s="6">
        <v>1529.1</v>
      </c>
      <c r="D361" s="7">
        <v>45831</v>
      </c>
      <c r="F361" t="s">
        <v>346</v>
      </c>
    </row>
    <row r="362" spans="1:6">
      <c r="A362" t="s">
        <v>302</v>
      </c>
      <c r="B362" s="14" t="s">
        <v>406</v>
      </c>
      <c r="C362" s="6">
        <v>6428.07</v>
      </c>
      <c r="D362" s="7">
        <v>45831</v>
      </c>
      <c r="F362" t="s">
        <v>303</v>
      </c>
    </row>
    <row r="363" spans="1:6">
      <c r="A363" t="s">
        <v>361</v>
      </c>
      <c r="B363" s="14" t="s">
        <v>406</v>
      </c>
      <c r="C363" s="6">
        <v>6428.07</v>
      </c>
      <c r="D363" s="7">
        <v>45831</v>
      </c>
      <c r="F363" t="s">
        <v>362</v>
      </c>
    </row>
    <row r="364" spans="1:6">
      <c r="A364" t="s">
        <v>347</v>
      </c>
      <c r="B364" s="14" t="s">
        <v>406</v>
      </c>
      <c r="C364" s="6">
        <v>5043.1400000000003</v>
      </c>
      <c r="D364" s="7">
        <v>45831</v>
      </c>
      <c r="F364" t="s">
        <v>348</v>
      </c>
    </row>
    <row r="365" spans="1:6">
      <c r="A365" t="s">
        <v>385</v>
      </c>
      <c r="B365" s="14" t="s">
        <v>406</v>
      </c>
      <c r="C365" s="6">
        <v>6428.07</v>
      </c>
      <c r="D365" s="7">
        <v>45831</v>
      </c>
      <c r="F365" t="s">
        <v>386</v>
      </c>
    </row>
    <row r="366" spans="1:6">
      <c r="A366" t="s">
        <v>399</v>
      </c>
      <c r="B366" s="14" t="s">
        <v>419</v>
      </c>
      <c r="C366" s="6">
        <v>1866.21</v>
      </c>
      <c r="D366" s="7">
        <v>45831</v>
      </c>
      <c r="F366" t="s">
        <v>400</v>
      </c>
    </row>
    <row r="367" spans="1:6">
      <c r="A367" t="s">
        <v>420</v>
      </c>
      <c r="B367" s="14" t="s">
        <v>406</v>
      </c>
      <c r="C367" s="6">
        <v>6222.68</v>
      </c>
      <c r="D367" s="7">
        <v>45831</v>
      </c>
      <c r="F367" t="s">
        <v>421</v>
      </c>
    </row>
    <row r="368" spans="1:6">
      <c r="A368" t="s">
        <v>382</v>
      </c>
      <c r="B368" s="14" t="s">
        <v>406</v>
      </c>
      <c r="C368" s="6">
        <v>6875.32</v>
      </c>
      <c r="D368" s="7">
        <v>45831</v>
      </c>
      <c r="F368" t="s">
        <v>383</v>
      </c>
    </row>
    <row r="369" spans="1:6">
      <c r="A369" t="s">
        <v>209</v>
      </c>
      <c r="B369" s="14" t="s">
        <v>422</v>
      </c>
      <c r="C369" s="6">
        <v>2005.22</v>
      </c>
      <c r="D369" s="7">
        <v>45831</v>
      </c>
      <c r="F369" t="s">
        <v>210</v>
      </c>
    </row>
    <row r="370" spans="1:6">
      <c r="A370" t="s">
        <v>253</v>
      </c>
      <c r="B370" s="14" t="s">
        <v>406</v>
      </c>
      <c r="C370" s="6">
        <v>8161.15</v>
      </c>
      <c r="D370" s="7">
        <v>45831</v>
      </c>
      <c r="F370" t="s">
        <v>254</v>
      </c>
    </row>
    <row r="371" spans="1:6">
      <c r="A371" t="s">
        <v>277</v>
      </c>
      <c r="B371" s="14" t="s">
        <v>406</v>
      </c>
      <c r="C371" s="6">
        <v>7792.14</v>
      </c>
      <c r="D371" s="7">
        <v>45831</v>
      </c>
      <c r="F371" t="s">
        <v>278</v>
      </c>
    </row>
    <row r="372" spans="1:6">
      <c r="A372" t="s">
        <v>283</v>
      </c>
      <c r="B372" s="14" t="s">
        <v>406</v>
      </c>
      <c r="C372" s="6">
        <v>6428.07</v>
      </c>
      <c r="D372" s="7">
        <v>45831</v>
      </c>
      <c r="F372" t="s">
        <v>284</v>
      </c>
    </row>
    <row r="373" spans="1:6">
      <c r="A373" t="s">
        <v>255</v>
      </c>
      <c r="B373" s="14" t="s">
        <v>406</v>
      </c>
      <c r="C373" s="6">
        <v>7900.37</v>
      </c>
      <c r="D373" s="7">
        <v>45831</v>
      </c>
      <c r="F373" t="s">
        <v>256</v>
      </c>
    </row>
    <row r="374" spans="1:6">
      <c r="A374" t="s">
        <v>313</v>
      </c>
      <c r="B374" s="14" t="s">
        <v>406</v>
      </c>
      <c r="C374" s="6">
        <v>6428.07</v>
      </c>
      <c r="D374" s="7">
        <v>45831</v>
      </c>
      <c r="F374" t="s">
        <v>314</v>
      </c>
    </row>
    <row r="375" spans="1:6">
      <c r="A375" t="s">
        <v>423</v>
      </c>
      <c r="B375" s="14" t="s">
        <v>424</v>
      </c>
      <c r="C375" s="6">
        <v>1117.6400000000001</v>
      </c>
      <c r="D375" s="7">
        <v>45828</v>
      </c>
      <c r="F375" t="s">
        <v>425</v>
      </c>
    </row>
    <row r="376" spans="1:6">
      <c r="A376" t="s">
        <v>205</v>
      </c>
      <c r="B376" s="14" t="s">
        <v>426</v>
      </c>
      <c r="C376" s="6">
        <v>3065.7</v>
      </c>
      <c r="D376" s="7">
        <v>45824</v>
      </c>
      <c r="F376" t="s">
        <v>206</v>
      </c>
    </row>
    <row r="377" spans="1:6">
      <c r="A377" t="s">
        <v>427</v>
      </c>
      <c r="B377" s="14" t="s">
        <v>428</v>
      </c>
      <c r="C377" s="6">
        <v>7897.88</v>
      </c>
      <c r="D377" s="7">
        <v>45821</v>
      </c>
      <c r="E377" t="s">
        <v>237</v>
      </c>
      <c r="F377" t="s">
        <v>429</v>
      </c>
    </row>
    <row r="378" spans="1:6">
      <c r="A378" t="s">
        <v>277</v>
      </c>
      <c r="B378" s="14" t="s">
        <v>424</v>
      </c>
      <c r="C378" s="6">
        <v>7645.52</v>
      </c>
      <c r="D378" s="7">
        <v>45821</v>
      </c>
      <c r="F378" t="s">
        <v>278</v>
      </c>
    </row>
    <row r="379" spans="1:6">
      <c r="A379" t="s">
        <v>423</v>
      </c>
      <c r="B379" s="14" t="s">
        <v>430</v>
      </c>
      <c r="C379" s="6">
        <v>5982.87</v>
      </c>
      <c r="D379" s="7">
        <v>45819</v>
      </c>
      <c r="F379" t="s">
        <v>425</v>
      </c>
    </row>
    <row r="380" spans="1:6">
      <c r="A380" t="s">
        <v>253</v>
      </c>
      <c r="B380" s="14" t="s">
        <v>431</v>
      </c>
      <c r="C380" s="6">
        <v>1579.57</v>
      </c>
      <c r="D380" s="7">
        <v>45817</v>
      </c>
      <c r="F380" t="s">
        <v>254</v>
      </c>
    </row>
    <row r="381" spans="1:6">
      <c r="A381" t="s">
        <v>263</v>
      </c>
      <c r="B381" s="14" t="s">
        <v>426</v>
      </c>
      <c r="C381" s="6">
        <v>3058.21</v>
      </c>
      <c r="D381" s="7">
        <v>45817</v>
      </c>
      <c r="F381" t="s">
        <v>265</v>
      </c>
    </row>
    <row r="382" spans="1:6">
      <c r="A382" t="s">
        <v>432</v>
      </c>
      <c r="B382" s="14" t="s">
        <v>424</v>
      </c>
      <c r="C382" s="6">
        <v>1605.85</v>
      </c>
      <c r="D382" s="7">
        <v>45817</v>
      </c>
      <c r="E382" t="s">
        <v>237</v>
      </c>
      <c r="F382" t="s">
        <v>433</v>
      </c>
    </row>
    <row r="383" spans="1:6">
      <c r="A383" t="s">
        <v>215</v>
      </c>
      <c r="B383" s="14" t="s">
        <v>424</v>
      </c>
      <c r="C383" s="6">
        <v>7897.88</v>
      </c>
      <c r="D383" s="7">
        <v>45814</v>
      </c>
      <c r="F383" t="s">
        <v>216</v>
      </c>
    </row>
    <row r="384" spans="1:6">
      <c r="A384" t="s">
        <v>372</v>
      </c>
      <c r="B384" s="14" t="s">
        <v>434</v>
      </c>
      <c r="C384" s="6">
        <v>2106.1</v>
      </c>
      <c r="D384" s="7">
        <v>45814</v>
      </c>
      <c r="F384" t="s">
        <v>373</v>
      </c>
    </row>
    <row r="385" spans="1:6">
      <c r="A385" t="s">
        <v>435</v>
      </c>
      <c r="B385" s="14" t="s">
        <v>342</v>
      </c>
      <c r="C385" s="6">
        <v>3822.76</v>
      </c>
      <c r="D385" s="7">
        <v>45804</v>
      </c>
      <c r="F385" t="s">
        <v>436</v>
      </c>
    </row>
    <row r="386" spans="1:6">
      <c r="A386" t="s">
        <v>311</v>
      </c>
      <c r="B386" s="14" t="s">
        <v>424</v>
      </c>
      <c r="C386" s="6">
        <v>6021.94</v>
      </c>
      <c r="D386" s="7">
        <v>45804</v>
      </c>
      <c r="F386" t="s">
        <v>312</v>
      </c>
    </row>
    <row r="387" spans="1:6">
      <c r="A387" t="s">
        <v>255</v>
      </c>
      <c r="B387" s="14" t="s">
        <v>437</v>
      </c>
      <c r="C387" s="6">
        <v>6880.97</v>
      </c>
      <c r="D387" s="7">
        <v>45804</v>
      </c>
      <c r="F387" t="s">
        <v>256</v>
      </c>
    </row>
    <row r="388" spans="1:6">
      <c r="A388" t="s">
        <v>293</v>
      </c>
      <c r="B388" s="14" t="s">
        <v>438</v>
      </c>
      <c r="C388" s="6">
        <v>3313.06</v>
      </c>
      <c r="D388" s="7">
        <v>45804</v>
      </c>
      <c r="F388" t="s">
        <v>294</v>
      </c>
    </row>
    <row r="389" spans="1:6">
      <c r="A389" t="s">
        <v>393</v>
      </c>
      <c r="B389" s="14" t="s">
        <v>424</v>
      </c>
      <c r="C389" s="6">
        <v>6220.72</v>
      </c>
      <c r="D389" s="7">
        <v>45804</v>
      </c>
      <c r="F389" t="s">
        <v>394</v>
      </c>
    </row>
    <row r="390" spans="1:6">
      <c r="A390" t="s">
        <v>324</v>
      </c>
      <c r="B390" s="14" t="s">
        <v>424</v>
      </c>
      <c r="C390" s="6">
        <v>7645.52</v>
      </c>
      <c r="D390" s="7">
        <v>45804</v>
      </c>
      <c r="F390" t="s">
        <v>325</v>
      </c>
    </row>
    <row r="391" spans="1:6">
      <c r="A391" t="s">
        <v>304</v>
      </c>
      <c r="B391" s="14" t="s">
        <v>424</v>
      </c>
      <c r="C391" s="6">
        <v>7674.26</v>
      </c>
      <c r="D391" s="7">
        <v>45804</v>
      </c>
      <c r="F391" t="s">
        <v>305</v>
      </c>
    </row>
    <row r="392" spans="1:6">
      <c r="A392" t="s">
        <v>439</v>
      </c>
      <c r="B392" s="14" t="s">
        <v>424</v>
      </c>
      <c r="C392" s="6">
        <v>263.27</v>
      </c>
      <c r="D392" s="7">
        <v>45804</v>
      </c>
      <c r="F392" t="s">
        <v>440</v>
      </c>
    </row>
    <row r="393" spans="1:6">
      <c r="A393" t="s">
        <v>405</v>
      </c>
      <c r="B393" s="14" t="s">
        <v>424</v>
      </c>
      <c r="C393" s="6">
        <v>6220.72</v>
      </c>
      <c r="D393" s="7">
        <v>45804</v>
      </c>
      <c r="F393" t="s">
        <v>407</v>
      </c>
    </row>
    <row r="394" spans="1:6">
      <c r="A394" t="s">
        <v>382</v>
      </c>
      <c r="B394" s="14" t="s">
        <v>424</v>
      </c>
      <c r="C394" s="6">
        <v>7897.88</v>
      </c>
      <c r="D394" s="7">
        <v>45804</v>
      </c>
      <c r="F394" t="s">
        <v>383</v>
      </c>
    </row>
    <row r="395" spans="1:6">
      <c r="A395" t="s">
        <v>327</v>
      </c>
      <c r="B395" s="14" t="s">
        <v>424</v>
      </c>
      <c r="C395" s="6">
        <v>6220.72</v>
      </c>
      <c r="D395" s="7">
        <v>45804</v>
      </c>
      <c r="F395" t="s">
        <v>328</v>
      </c>
    </row>
    <row r="396" spans="1:6">
      <c r="A396" t="s">
        <v>277</v>
      </c>
      <c r="B396" s="14" t="s">
        <v>441</v>
      </c>
      <c r="C396" s="6">
        <v>254.85</v>
      </c>
      <c r="D396" s="7">
        <v>45804</v>
      </c>
      <c r="F396" t="s">
        <v>278</v>
      </c>
    </row>
    <row r="397" spans="1:6">
      <c r="A397" t="s">
        <v>442</v>
      </c>
      <c r="B397" s="14" t="s">
        <v>424</v>
      </c>
      <c r="C397" s="6">
        <v>4293.0600000000004</v>
      </c>
      <c r="D397" s="7">
        <v>45804</v>
      </c>
      <c r="F397" t="s">
        <v>443</v>
      </c>
    </row>
    <row r="398" spans="1:6">
      <c r="A398" t="s">
        <v>318</v>
      </c>
      <c r="B398" s="14" t="s">
        <v>424</v>
      </c>
      <c r="C398" s="6">
        <v>6276.63</v>
      </c>
      <c r="D398" s="7">
        <v>45804</v>
      </c>
      <c r="F398" t="s">
        <v>319</v>
      </c>
    </row>
    <row r="399" spans="1:6">
      <c r="A399" t="s">
        <v>414</v>
      </c>
      <c r="B399" s="14" t="s">
        <v>424</v>
      </c>
      <c r="C399" s="6">
        <v>7645.52</v>
      </c>
      <c r="D399" s="7">
        <v>45804</v>
      </c>
      <c r="F399" t="s">
        <v>415</v>
      </c>
    </row>
    <row r="400" spans="1:6">
      <c r="A400" t="s">
        <v>287</v>
      </c>
      <c r="B400" s="14" t="s">
        <v>424</v>
      </c>
      <c r="C400" s="6">
        <v>6444.33</v>
      </c>
      <c r="D400" s="7">
        <v>45804</v>
      </c>
      <c r="F400" t="s">
        <v>288</v>
      </c>
    </row>
    <row r="401" spans="1:6">
      <c r="A401" t="s">
        <v>215</v>
      </c>
      <c r="B401" s="14" t="s">
        <v>444</v>
      </c>
      <c r="C401" s="6">
        <v>1316.32</v>
      </c>
      <c r="D401" s="7">
        <v>45804</v>
      </c>
      <c r="F401" t="s">
        <v>216</v>
      </c>
    </row>
    <row r="402" spans="1:6">
      <c r="A402" t="s">
        <v>285</v>
      </c>
      <c r="B402" s="14" t="s">
        <v>424</v>
      </c>
      <c r="C402" s="6">
        <v>7645.52</v>
      </c>
      <c r="D402" s="7">
        <v>45804</v>
      </c>
      <c r="F402" t="s">
        <v>286</v>
      </c>
    </row>
    <row r="403" spans="1:6">
      <c r="A403" t="s">
        <v>401</v>
      </c>
      <c r="B403" s="14" t="s">
        <v>424</v>
      </c>
      <c r="C403" s="6">
        <v>6332.52</v>
      </c>
      <c r="D403" s="7">
        <v>45804</v>
      </c>
      <c r="F403" t="s">
        <v>402</v>
      </c>
    </row>
    <row r="404" spans="1:6">
      <c r="A404" t="s">
        <v>300</v>
      </c>
      <c r="B404" s="14" t="s">
        <v>424</v>
      </c>
      <c r="C404" s="6">
        <v>7158.45</v>
      </c>
      <c r="D404" s="7">
        <v>45804</v>
      </c>
      <c r="F404" t="s">
        <v>301</v>
      </c>
    </row>
    <row r="405" spans="1:6">
      <c r="A405" t="s">
        <v>387</v>
      </c>
      <c r="B405" s="14" t="s">
        <v>424</v>
      </c>
      <c r="C405" s="6">
        <v>4880.46</v>
      </c>
      <c r="D405" s="7">
        <v>45804</v>
      </c>
      <c r="F405" t="s">
        <v>388</v>
      </c>
    </row>
    <row r="406" spans="1:6">
      <c r="A406" t="s">
        <v>395</v>
      </c>
      <c r="B406" s="14" t="s">
        <v>424</v>
      </c>
      <c r="C406" s="6">
        <v>6021.94</v>
      </c>
      <c r="D406" s="7">
        <v>45804</v>
      </c>
      <c r="F406" t="s">
        <v>396</v>
      </c>
    </row>
    <row r="407" spans="1:6">
      <c r="A407" t="s">
        <v>332</v>
      </c>
      <c r="B407" s="14" t="s">
        <v>424</v>
      </c>
      <c r="C407" s="6">
        <v>7786.07</v>
      </c>
      <c r="D407" s="7">
        <v>45804</v>
      </c>
      <c r="F407" t="s">
        <v>333</v>
      </c>
    </row>
    <row r="408" spans="1:6">
      <c r="A408" t="s">
        <v>297</v>
      </c>
      <c r="B408" s="14" t="s">
        <v>424</v>
      </c>
      <c r="C408" s="6">
        <v>7897.88</v>
      </c>
      <c r="D408" s="7">
        <v>45804</v>
      </c>
      <c r="F408" t="s">
        <v>299</v>
      </c>
    </row>
    <row r="409" spans="1:6">
      <c r="A409" t="s">
        <v>365</v>
      </c>
      <c r="B409" s="14" t="s">
        <v>424</v>
      </c>
      <c r="C409" s="6">
        <v>6220.72</v>
      </c>
      <c r="D409" s="7">
        <v>45804</v>
      </c>
      <c r="F409" t="s">
        <v>366</v>
      </c>
    </row>
    <row r="410" spans="1:6">
      <c r="A410" t="s">
        <v>390</v>
      </c>
      <c r="B410" s="14" t="s">
        <v>424</v>
      </c>
      <c r="C410" s="6">
        <v>6220.72</v>
      </c>
      <c r="D410" s="7">
        <v>45804</v>
      </c>
      <c r="F410" t="s">
        <v>391</v>
      </c>
    </row>
    <row r="411" spans="1:6">
      <c r="A411" t="s">
        <v>380</v>
      </c>
      <c r="B411" s="14" t="s">
        <v>424</v>
      </c>
      <c r="C411" s="6">
        <v>6220.72</v>
      </c>
      <c r="D411" s="7">
        <v>45804</v>
      </c>
      <c r="F411" t="s">
        <v>381</v>
      </c>
    </row>
    <row r="412" spans="1:6">
      <c r="A412" t="s">
        <v>399</v>
      </c>
      <c r="B412" s="14" t="s">
        <v>424</v>
      </c>
      <c r="C412" s="6">
        <v>6220.72</v>
      </c>
      <c r="D412" s="7">
        <v>45804</v>
      </c>
      <c r="F412" t="s">
        <v>400</v>
      </c>
    </row>
    <row r="413" spans="1:6">
      <c r="A413" t="s">
        <v>283</v>
      </c>
      <c r="B413" s="14" t="s">
        <v>424</v>
      </c>
      <c r="C413" s="6">
        <v>6723.87</v>
      </c>
      <c r="D413" s="7">
        <v>45804</v>
      </c>
      <c r="F413" t="s">
        <v>284</v>
      </c>
    </row>
    <row r="414" spans="1:6">
      <c r="A414" t="s">
        <v>378</v>
      </c>
      <c r="B414" s="14" t="s">
        <v>424</v>
      </c>
      <c r="C414" s="6">
        <v>6220.72</v>
      </c>
      <c r="D414" s="7">
        <v>45804</v>
      </c>
      <c r="F414" t="s">
        <v>379</v>
      </c>
    </row>
    <row r="415" spans="1:6">
      <c r="A415" t="s">
        <v>313</v>
      </c>
      <c r="B415" s="14" t="s">
        <v>424</v>
      </c>
      <c r="C415" s="6">
        <v>6723.87</v>
      </c>
      <c r="D415" s="7">
        <v>45804</v>
      </c>
      <c r="F415" t="s">
        <v>314</v>
      </c>
    </row>
    <row r="416" spans="1:6">
      <c r="A416" t="s">
        <v>416</v>
      </c>
      <c r="B416" s="14" t="s">
        <v>424</v>
      </c>
      <c r="C416" s="6">
        <v>6220.72</v>
      </c>
      <c r="D416" s="7">
        <v>45804</v>
      </c>
      <c r="F416" t="s">
        <v>417</v>
      </c>
    </row>
    <row r="417" spans="1:6">
      <c r="A417" t="s">
        <v>306</v>
      </c>
      <c r="B417" s="14" t="s">
        <v>424</v>
      </c>
      <c r="C417" s="6">
        <v>6220.72</v>
      </c>
      <c r="D417" s="7">
        <v>45804</v>
      </c>
      <c r="F417" t="s">
        <v>307</v>
      </c>
    </row>
    <row r="418" spans="1:6">
      <c r="A418" t="s">
        <v>385</v>
      </c>
      <c r="B418" s="14" t="s">
        <v>424</v>
      </c>
      <c r="C418" s="6">
        <v>6220.72</v>
      </c>
      <c r="D418" s="7">
        <v>45804</v>
      </c>
      <c r="F418" t="s">
        <v>386</v>
      </c>
    </row>
    <row r="419" spans="1:6">
      <c r="A419" t="s">
        <v>302</v>
      </c>
      <c r="B419" s="14" t="s">
        <v>424</v>
      </c>
      <c r="C419" s="6">
        <v>6220.72</v>
      </c>
      <c r="D419" s="7">
        <v>45804</v>
      </c>
      <c r="F419" t="s">
        <v>303</v>
      </c>
    </row>
    <row r="420" spans="1:6">
      <c r="A420" t="s">
        <v>355</v>
      </c>
      <c r="B420" s="14" t="s">
        <v>424</v>
      </c>
      <c r="C420" s="6">
        <v>6220.72</v>
      </c>
      <c r="D420" s="7">
        <v>45804</v>
      </c>
      <c r="F420" t="s">
        <v>356</v>
      </c>
    </row>
    <row r="421" spans="1:6">
      <c r="A421" t="s">
        <v>420</v>
      </c>
      <c r="B421" s="14" t="s">
        <v>424</v>
      </c>
      <c r="C421" s="6">
        <v>6021.94</v>
      </c>
      <c r="D421" s="7">
        <v>45804</v>
      </c>
      <c r="F421" t="s">
        <v>421</v>
      </c>
    </row>
    <row r="422" spans="1:6">
      <c r="A422" t="s">
        <v>347</v>
      </c>
      <c r="B422" s="14" t="s">
        <v>424</v>
      </c>
      <c r="C422" s="6">
        <v>4880.46</v>
      </c>
      <c r="D422" s="7">
        <v>45804</v>
      </c>
      <c r="F422" t="s">
        <v>348</v>
      </c>
    </row>
    <row r="423" spans="1:6">
      <c r="A423" t="s">
        <v>363</v>
      </c>
      <c r="B423" s="14" t="s">
        <v>424</v>
      </c>
      <c r="C423" s="6">
        <v>6388.43</v>
      </c>
      <c r="D423" s="7">
        <v>45804</v>
      </c>
      <c r="F423" t="s">
        <v>364</v>
      </c>
    </row>
    <row r="424" spans="1:6">
      <c r="A424" t="s">
        <v>361</v>
      </c>
      <c r="B424" s="14" t="s">
        <v>424</v>
      </c>
      <c r="C424" s="6">
        <v>6220.72</v>
      </c>
      <c r="D424" s="7">
        <v>45804</v>
      </c>
      <c r="F424" t="s">
        <v>362</v>
      </c>
    </row>
    <row r="425" spans="1:6">
      <c r="A425" t="s">
        <v>439</v>
      </c>
      <c r="B425" s="14" t="s">
        <v>445</v>
      </c>
      <c r="C425" s="6">
        <v>1214.75</v>
      </c>
      <c r="D425" s="7">
        <v>45799</v>
      </c>
      <c r="E425" t="s">
        <v>237</v>
      </c>
      <c r="F425" t="s">
        <v>440</v>
      </c>
    </row>
    <row r="426" spans="1:6">
      <c r="A426" t="s">
        <v>382</v>
      </c>
      <c r="B426" s="14" t="s">
        <v>446</v>
      </c>
      <c r="C426" s="6">
        <v>5791.78</v>
      </c>
      <c r="D426" s="7">
        <v>45776</v>
      </c>
      <c r="F426" t="s">
        <v>383</v>
      </c>
    </row>
    <row r="427" spans="1:6">
      <c r="A427" t="s">
        <v>297</v>
      </c>
      <c r="B427" s="14" t="s">
        <v>447</v>
      </c>
      <c r="C427" s="6">
        <v>7371.35</v>
      </c>
      <c r="D427" s="7">
        <v>45771</v>
      </c>
      <c r="F427" t="s">
        <v>299</v>
      </c>
    </row>
    <row r="428" spans="1:6">
      <c r="A428" t="s">
        <v>423</v>
      </c>
      <c r="B428" s="14" t="s">
        <v>448</v>
      </c>
      <c r="C428" s="6">
        <v>1579.57</v>
      </c>
      <c r="D428" s="7">
        <v>45771</v>
      </c>
      <c r="F428" t="s">
        <v>425</v>
      </c>
    </row>
    <row r="429" spans="1:6">
      <c r="A429" t="s">
        <v>285</v>
      </c>
      <c r="B429" s="14" t="s">
        <v>449</v>
      </c>
      <c r="C429" s="6">
        <v>1783.95</v>
      </c>
      <c r="D429" s="7">
        <v>45769</v>
      </c>
      <c r="F429" t="s">
        <v>286</v>
      </c>
    </row>
    <row r="430" spans="1:6">
      <c r="A430" t="s">
        <v>414</v>
      </c>
      <c r="B430" s="14" t="s">
        <v>450</v>
      </c>
      <c r="C430" s="6">
        <v>5861.57</v>
      </c>
      <c r="D430" s="7">
        <v>45769</v>
      </c>
      <c r="F430" t="s">
        <v>415</v>
      </c>
    </row>
    <row r="431" spans="1:6">
      <c r="A431" t="s">
        <v>451</v>
      </c>
      <c r="B431" s="14" t="s">
        <v>446</v>
      </c>
      <c r="C431" s="6">
        <v>411.83</v>
      </c>
      <c r="D431" s="7">
        <v>45769</v>
      </c>
      <c r="F431" t="s">
        <v>452</v>
      </c>
    </row>
    <row r="432" spans="1:6">
      <c r="A432" t="s">
        <v>324</v>
      </c>
      <c r="B432" s="14" t="s">
        <v>453</v>
      </c>
      <c r="C432" s="6">
        <v>1529.1</v>
      </c>
      <c r="D432" s="7">
        <v>45769</v>
      </c>
      <c r="F432" t="s">
        <v>325</v>
      </c>
    </row>
    <row r="433" spans="1:6">
      <c r="A433" t="s">
        <v>399</v>
      </c>
      <c r="B433" s="14" t="s">
        <v>448</v>
      </c>
      <c r="C433" s="6">
        <v>6428.07</v>
      </c>
      <c r="D433" s="7">
        <v>45769</v>
      </c>
      <c r="F433" t="s">
        <v>400</v>
      </c>
    </row>
    <row r="434" spans="1:6">
      <c r="A434" t="s">
        <v>313</v>
      </c>
      <c r="B434" s="14" t="s">
        <v>448</v>
      </c>
      <c r="C434" s="6">
        <v>8161.15</v>
      </c>
      <c r="D434" s="7">
        <v>45769</v>
      </c>
      <c r="F434" t="s">
        <v>314</v>
      </c>
    </row>
    <row r="435" spans="1:6">
      <c r="A435" t="s">
        <v>405</v>
      </c>
      <c r="B435" s="14" t="s">
        <v>448</v>
      </c>
      <c r="C435" s="6">
        <v>7266.65</v>
      </c>
      <c r="D435" s="7">
        <v>45769</v>
      </c>
      <c r="F435" t="s">
        <v>407</v>
      </c>
    </row>
    <row r="436" spans="1:6">
      <c r="A436" t="s">
        <v>306</v>
      </c>
      <c r="B436" s="14" t="s">
        <v>448</v>
      </c>
      <c r="C436" s="6">
        <v>6931.23</v>
      </c>
      <c r="D436" s="7">
        <v>45769</v>
      </c>
      <c r="F436" t="s">
        <v>307</v>
      </c>
    </row>
    <row r="437" spans="1:6">
      <c r="A437" t="s">
        <v>283</v>
      </c>
      <c r="B437" s="14" t="s">
        <v>448</v>
      </c>
      <c r="C437" s="6">
        <v>8161.15</v>
      </c>
      <c r="D437" s="7">
        <v>45769</v>
      </c>
      <c r="F437" t="s">
        <v>284</v>
      </c>
    </row>
    <row r="438" spans="1:6">
      <c r="A438" t="s">
        <v>365</v>
      </c>
      <c r="B438" s="14" t="s">
        <v>448</v>
      </c>
      <c r="C438" s="6">
        <v>6428.07</v>
      </c>
      <c r="D438" s="7">
        <v>45769</v>
      </c>
      <c r="F438" t="s">
        <v>366</v>
      </c>
    </row>
    <row r="439" spans="1:6">
      <c r="A439" t="s">
        <v>390</v>
      </c>
      <c r="B439" s="14" t="s">
        <v>448</v>
      </c>
      <c r="C439" s="6">
        <v>6587.07</v>
      </c>
      <c r="D439" s="7">
        <v>45769</v>
      </c>
      <c r="F439" t="s">
        <v>391</v>
      </c>
    </row>
    <row r="440" spans="1:6">
      <c r="A440" t="s">
        <v>332</v>
      </c>
      <c r="B440" s="14" t="s">
        <v>448</v>
      </c>
      <c r="C440" s="6">
        <v>8161.15</v>
      </c>
      <c r="D440" s="7">
        <v>45769</v>
      </c>
      <c r="F440" t="s">
        <v>333</v>
      </c>
    </row>
    <row r="441" spans="1:6">
      <c r="A441" t="s">
        <v>432</v>
      </c>
      <c r="B441" s="14" t="s">
        <v>448</v>
      </c>
      <c r="C441" s="6">
        <v>6222.68</v>
      </c>
      <c r="D441" s="7">
        <v>45769</v>
      </c>
      <c r="F441" t="s">
        <v>433</v>
      </c>
    </row>
    <row r="442" spans="1:6">
      <c r="A442" t="s">
        <v>420</v>
      </c>
      <c r="B442" s="14" t="s">
        <v>448</v>
      </c>
      <c r="C442" s="6">
        <v>6276.79</v>
      </c>
      <c r="D442" s="7">
        <v>45769</v>
      </c>
      <c r="F442" t="s">
        <v>421</v>
      </c>
    </row>
    <row r="443" spans="1:6">
      <c r="A443" t="s">
        <v>361</v>
      </c>
      <c r="B443" s="14" t="s">
        <v>448</v>
      </c>
      <c r="C443" s="6">
        <v>6428.07</v>
      </c>
      <c r="D443" s="7">
        <v>45769</v>
      </c>
      <c r="F443" t="s">
        <v>362</v>
      </c>
    </row>
    <row r="444" spans="1:6">
      <c r="A444" t="s">
        <v>416</v>
      </c>
      <c r="B444" s="14" t="s">
        <v>448</v>
      </c>
      <c r="C444" s="6">
        <v>6428.07</v>
      </c>
      <c r="D444" s="7">
        <v>45769</v>
      </c>
      <c r="F444" t="s">
        <v>417</v>
      </c>
    </row>
    <row r="445" spans="1:6">
      <c r="A445" t="s">
        <v>385</v>
      </c>
      <c r="B445" s="14" t="s">
        <v>448</v>
      </c>
      <c r="C445" s="6">
        <v>6428.07</v>
      </c>
      <c r="D445" s="7">
        <v>45769</v>
      </c>
      <c r="F445" t="s">
        <v>386</v>
      </c>
    </row>
    <row r="446" spans="1:6">
      <c r="A446" t="s">
        <v>393</v>
      </c>
      <c r="B446" s="14" t="s">
        <v>454</v>
      </c>
      <c r="C446" s="6">
        <v>2073.5700000000002</v>
      </c>
      <c r="D446" s="7">
        <v>45769</v>
      </c>
      <c r="F446" t="s">
        <v>394</v>
      </c>
    </row>
    <row r="447" spans="1:6">
      <c r="A447" t="s">
        <v>395</v>
      </c>
      <c r="B447" s="14" t="s">
        <v>448</v>
      </c>
      <c r="C447" s="6">
        <v>6222.68</v>
      </c>
      <c r="D447" s="7">
        <v>45769</v>
      </c>
      <c r="F447" t="s">
        <v>396</v>
      </c>
    </row>
    <row r="448" spans="1:6">
      <c r="A448" t="s">
        <v>347</v>
      </c>
      <c r="B448" s="14" t="s">
        <v>448</v>
      </c>
      <c r="C448" s="6">
        <v>5657.2</v>
      </c>
      <c r="D448" s="7">
        <v>45769</v>
      </c>
      <c r="F448" t="s">
        <v>348</v>
      </c>
    </row>
    <row r="449" spans="1:17">
      <c r="A449" t="s">
        <v>387</v>
      </c>
      <c r="B449" s="14" t="s">
        <v>448</v>
      </c>
      <c r="C449" s="6">
        <v>5043.1400000000003</v>
      </c>
      <c r="D449" s="7">
        <v>45769</v>
      </c>
      <c r="F449" t="s">
        <v>388</v>
      </c>
    </row>
    <row r="450" spans="1:17">
      <c r="A450" t="s">
        <v>401</v>
      </c>
      <c r="B450" s="14" t="s">
        <v>448</v>
      </c>
      <c r="C450" s="6">
        <v>8161.15</v>
      </c>
      <c r="D450" s="7">
        <v>45769</v>
      </c>
      <c r="F450" t="s">
        <v>402</v>
      </c>
    </row>
    <row r="451" spans="1:17">
      <c r="A451" t="s">
        <v>363</v>
      </c>
      <c r="B451" s="14" t="s">
        <v>448</v>
      </c>
      <c r="C451" s="6">
        <v>8161.15</v>
      </c>
      <c r="D451" s="7">
        <v>45769</v>
      </c>
      <c r="F451" t="s">
        <v>364</v>
      </c>
    </row>
    <row r="452" spans="1:17">
      <c r="A452" t="s">
        <v>455</v>
      </c>
      <c r="B452" s="14" t="s">
        <v>448</v>
      </c>
      <c r="C452" s="6">
        <v>6428.07</v>
      </c>
      <c r="D452" s="7">
        <v>45769</v>
      </c>
      <c r="F452" t="s">
        <v>456</v>
      </c>
    </row>
    <row r="453" spans="1:17">
      <c r="A453" t="s">
        <v>300</v>
      </c>
      <c r="B453" s="14" t="s">
        <v>448</v>
      </c>
      <c r="C453" s="6">
        <v>7900.37</v>
      </c>
      <c r="D453" s="7">
        <v>45769</v>
      </c>
      <c r="F453" t="s">
        <v>301</v>
      </c>
    </row>
    <row r="454" spans="1:17">
      <c r="A454" t="s">
        <v>318</v>
      </c>
      <c r="B454" s="14" t="s">
        <v>448</v>
      </c>
      <c r="C454" s="6">
        <v>8161.15</v>
      </c>
      <c r="D454" s="7">
        <v>45769</v>
      </c>
      <c r="F454" t="s">
        <v>319</v>
      </c>
    </row>
    <row r="455" spans="1:17">
      <c r="A455" t="s">
        <v>378</v>
      </c>
      <c r="B455" s="14" t="s">
        <v>448</v>
      </c>
      <c r="C455" s="6">
        <v>6428.07</v>
      </c>
      <c r="D455" s="7">
        <v>45769</v>
      </c>
      <c r="F455" t="s">
        <v>379</v>
      </c>
    </row>
    <row r="456" spans="1:17">
      <c r="A456" t="s">
        <v>327</v>
      </c>
      <c r="B456" s="14" t="s">
        <v>448</v>
      </c>
      <c r="C456" s="6">
        <v>6428.07</v>
      </c>
      <c r="D456" s="7">
        <v>45769</v>
      </c>
      <c r="F456" t="s">
        <v>328</v>
      </c>
    </row>
    <row r="457" spans="1:17">
      <c r="A457" t="s">
        <v>287</v>
      </c>
      <c r="B457" s="14" t="s">
        <v>448</v>
      </c>
      <c r="C457" s="6">
        <v>8161.15</v>
      </c>
      <c r="D457" s="7">
        <v>45769</v>
      </c>
      <c r="F457" t="s">
        <v>288</v>
      </c>
    </row>
    <row r="458" spans="1:17">
      <c r="A458" t="s">
        <v>311</v>
      </c>
      <c r="B458" s="14" t="s">
        <v>448</v>
      </c>
      <c r="C458" s="6">
        <v>6980.34</v>
      </c>
      <c r="D458" s="7">
        <v>45769</v>
      </c>
      <c r="F458" t="s">
        <v>312</v>
      </c>
    </row>
    <row r="459" spans="1:17">
      <c r="A459" t="s">
        <v>302</v>
      </c>
      <c r="B459" s="14" t="s">
        <v>448</v>
      </c>
      <c r="C459" s="6">
        <v>6428.07</v>
      </c>
      <c r="D459" s="7">
        <v>45769</v>
      </c>
      <c r="F459" t="s">
        <v>303</v>
      </c>
    </row>
    <row r="460" spans="1:17">
      <c r="A460" t="s">
        <v>442</v>
      </c>
      <c r="B460" s="14" t="s">
        <v>457</v>
      </c>
      <c r="C460" s="6">
        <v>2895.89</v>
      </c>
      <c r="D460" s="7">
        <v>45769</v>
      </c>
      <c r="F460" t="s">
        <v>443</v>
      </c>
    </row>
    <row r="461" spans="1:17">
      <c r="A461" t="s">
        <v>380</v>
      </c>
      <c r="B461" s="14" t="s">
        <v>448</v>
      </c>
      <c r="C461" s="6">
        <v>7825.71</v>
      </c>
      <c r="D461" s="7">
        <v>45769</v>
      </c>
      <c r="F461" t="s">
        <v>381</v>
      </c>
      <c r="L461" s="3"/>
      <c r="M461" s="3"/>
      <c r="N461" s="3"/>
      <c r="O461" s="3"/>
      <c r="Q461" s="3"/>
    </row>
    <row r="462" spans="1:17">
      <c r="A462" t="s">
        <v>355</v>
      </c>
      <c r="B462" s="14" t="s">
        <v>448</v>
      </c>
      <c r="C462" s="6">
        <v>6428.07</v>
      </c>
      <c r="D462" s="7">
        <v>45769</v>
      </c>
      <c r="F462" t="s">
        <v>356</v>
      </c>
      <c r="L462" s="3"/>
      <c r="M462" s="3"/>
      <c r="N462" s="3"/>
      <c r="O462" s="3"/>
      <c r="Q462" s="3"/>
    </row>
    <row r="463" spans="1:17">
      <c r="A463" t="s">
        <v>304</v>
      </c>
      <c r="B463" s="14" t="s">
        <v>448</v>
      </c>
      <c r="C463" s="6">
        <v>8161.15</v>
      </c>
      <c r="D463" s="7">
        <v>45769</v>
      </c>
      <c r="F463" t="s">
        <v>305</v>
      </c>
      <c r="L463" s="3"/>
      <c r="M463" s="3"/>
      <c r="N463" s="3"/>
      <c r="O463" s="3"/>
      <c r="Q463" s="3"/>
    </row>
    <row r="464" spans="1:17">
      <c r="A464" t="s">
        <v>458</v>
      </c>
      <c r="B464" s="14" t="s">
        <v>448</v>
      </c>
      <c r="C464" s="6">
        <v>6316.15</v>
      </c>
      <c r="D464" s="7">
        <v>45768</v>
      </c>
      <c r="F464" t="s">
        <v>459</v>
      </c>
      <c r="L464" s="3"/>
      <c r="M464" s="3"/>
      <c r="N464" s="3"/>
      <c r="O464" s="3"/>
      <c r="Q464" s="3"/>
    </row>
    <row r="465" spans="1:17">
      <c r="A465" t="s">
        <v>460</v>
      </c>
      <c r="B465" s="14" t="s">
        <v>448</v>
      </c>
      <c r="C465" s="6">
        <v>4935.6000000000004</v>
      </c>
      <c r="D465" s="7">
        <v>45768</v>
      </c>
      <c r="F465" t="s">
        <v>461</v>
      </c>
      <c r="L465" s="3"/>
      <c r="M465" s="3"/>
      <c r="N465" s="3"/>
      <c r="O465" s="3"/>
      <c r="Q465" s="3"/>
    </row>
    <row r="466" spans="1:17">
      <c r="A466" t="s">
        <v>462</v>
      </c>
      <c r="B466" s="14" t="s">
        <v>448</v>
      </c>
      <c r="C466" s="6">
        <v>5183.9399999999996</v>
      </c>
      <c r="D466" s="7">
        <v>45768</v>
      </c>
      <c r="F466" t="s">
        <v>463</v>
      </c>
    </row>
    <row r="467" spans="1:17">
      <c r="A467" t="s">
        <v>393</v>
      </c>
      <c r="B467" s="14" t="s">
        <v>448</v>
      </c>
      <c r="C467" s="6">
        <v>2280.9299999999998</v>
      </c>
      <c r="D467" s="7">
        <v>45768</v>
      </c>
      <c r="F467" t="s">
        <v>394</v>
      </c>
    </row>
    <row r="468" spans="1:17">
      <c r="A468" t="s">
        <v>464</v>
      </c>
      <c r="B468" s="14" t="s">
        <v>448</v>
      </c>
      <c r="C468" s="6">
        <v>3576.66</v>
      </c>
      <c r="D468" s="7">
        <v>45768</v>
      </c>
      <c r="F468" t="s">
        <v>465</v>
      </c>
    </row>
    <row r="469" spans="1:17">
      <c r="A469" t="s">
        <v>466</v>
      </c>
      <c r="B469" s="14" t="s">
        <v>448</v>
      </c>
      <c r="C469" s="6">
        <v>5606.72</v>
      </c>
      <c r="D469" s="7">
        <v>45768</v>
      </c>
      <c r="F469" t="s">
        <v>467</v>
      </c>
    </row>
    <row r="470" spans="1:17">
      <c r="A470" t="s">
        <v>468</v>
      </c>
      <c r="B470" s="14" t="s">
        <v>448</v>
      </c>
      <c r="C470" s="6">
        <v>622.07000000000005</v>
      </c>
      <c r="D470" s="7">
        <v>45768</v>
      </c>
      <c r="F470" t="s">
        <v>469</v>
      </c>
    </row>
    <row r="471" spans="1:17">
      <c r="A471" t="s">
        <v>470</v>
      </c>
      <c r="B471" s="14" t="s">
        <v>448</v>
      </c>
      <c r="C471" s="6">
        <v>1451.5</v>
      </c>
      <c r="D471" s="7">
        <v>45768</v>
      </c>
      <c r="F471" t="s">
        <v>471</v>
      </c>
    </row>
    <row r="472" spans="1:17">
      <c r="A472" t="s">
        <v>472</v>
      </c>
      <c r="B472" s="14" t="s">
        <v>448</v>
      </c>
      <c r="C472" s="6">
        <v>3900.73</v>
      </c>
      <c r="D472" s="7">
        <v>45768</v>
      </c>
      <c r="F472" t="s">
        <v>473</v>
      </c>
    </row>
    <row r="473" spans="1:17">
      <c r="A473" t="s">
        <v>363</v>
      </c>
      <c r="B473" s="14" t="s">
        <v>474</v>
      </c>
      <c r="C473" s="6">
        <v>6844.83</v>
      </c>
      <c r="D473" s="7">
        <v>45761</v>
      </c>
      <c r="F473" t="s">
        <v>364</v>
      </c>
    </row>
    <row r="474" spans="1:17">
      <c r="A474" t="s">
        <v>466</v>
      </c>
      <c r="B474" s="14" t="s">
        <v>475</v>
      </c>
      <c r="C474" s="6">
        <v>509.7</v>
      </c>
      <c r="D474" s="7">
        <v>45761</v>
      </c>
      <c r="F474" t="s">
        <v>467</v>
      </c>
    </row>
    <row r="475" spans="1:17">
      <c r="A475" t="s">
        <v>313</v>
      </c>
      <c r="B475" s="14" t="s">
        <v>476</v>
      </c>
      <c r="C475" s="6">
        <v>5265.26</v>
      </c>
      <c r="D475" s="7">
        <v>45754</v>
      </c>
      <c r="F475" t="s">
        <v>314</v>
      </c>
    </row>
    <row r="476" spans="1:17">
      <c r="A476" t="s">
        <v>464</v>
      </c>
      <c r="B476" s="14" t="s">
        <v>477</v>
      </c>
      <c r="C476" s="6">
        <v>2810.23</v>
      </c>
      <c r="D476" s="7">
        <v>45748</v>
      </c>
      <c r="F476" t="s">
        <v>465</v>
      </c>
    </row>
    <row r="477" spans="1:17">
      <c r="A477" t="s">
        <v>283</v>
      </c>
      <c r="B477" s="14" t="s">
        <v>476</v>
      </c>
      <c r="C477" s="6">
        <v>5265.26</v>
      </c>
      <c r="D477" s="7">
        <v>45748</v>
      </c>
      <c r="F477" t="s">
        <v>284</v>
      </c>
    </row>
    <row r="478" spans="1:17">
      <c r="A478" t="s">
        <v>287</v>
      </c>
      <c r="B478" s="14" t="s">
        <v>478</v>
      </c>
      <c r="C478" s="6">
        <v>6581.57</v>
      </c>
      <c r="D478" s="7">
        <v>45748</v>
      </c>
      <c r="F478" t="s">
        <v>288</v>
      </c>
    </row>
    <row r="479" spans="1:17">
      <c r="A479" t="s">
        <v>304</v>
      </c>
      <c r="B479" s="14" t="s">
        <v>479</v>
      </c>
      <c r="C479" s="6">
        <v>789.79</v>
      </c>
      <c r="D479" s="7">
        <v>45744</v>
      </c>
      <c r="F479" t="s">
        <v>305</v>
      </c>
    </row>
    <row r="480" spans="1:17">
      <c r="A480" t="s">
        <v>306</v>
      </c>
      <c r="B480" s="14" t="s">
        <v>480</v>
      </c>
      <c r="C480" s="6">
        <v>7371.35</v>
      </c>
      <c r="D480" s="7">
        <v>45744</v>
      </c>
      <c r="F480" t="s">
        <v>307</v>
      </c>
    </row>
    <row r="481" spans="1:6">
      <c r="A481" t="s">
        <v>306</v>
      </c>
      <c r="B481" s="14" t="s">
        <v>481</v>
      </c>
      <c r="C481" s="6">
        <v>4212.21</v>
      </c>
      <c r="D481" s="7">
        <v>45743</v>
      </c>
      <c r="F481" t="s">
        <v>307</v>
      </c>
    </row>
    <row r="482" spans="1:6">
      <c r="A482" t="s">
        <v>385</v>
      </c>
      <c r="B482" s="14" t="s">
        <v>480</v>
      </c>
      <c r="C482" s="6">
        <v>5806</v>
      </c>
      <c r="D482" s="7">
        <v>45742</v>
      </c>
      <c r="F482" t="s">
        <v>386</v>
      </c>
    </row>
    <row r="483" spans="1:6">
      <c r="A483" t="s">
        <v>416</v>
      </c>
      <c r="B483" s="14" t="s">
        <v>480</v>
      </c>
      <c r="C483" s="6">
        <v>5806</v>
      </c>
      <c r="D483" s="7">
        <v>45742</v>
      </c>
      <c r="F483" t="s">
        <v>417</v>
      </c>
    </row>
    <row r="484" spans="1:6">
      <c r="A484" t="s">
        <v>365</v>
      </c>
      <c r="B484" s="14" t="s">
        <v>480</v>
      </c>
      <c r="C484" s="6">
        <v>5806</v>
      </c>
      <c r="D484" s="7">
        <v>45742</v>
      </c>
      <c r="F484" t="s">
        <v>366</v>
      </c>
    </row>
    <row r="485" spans="1:6">
      <c r="A485" t="s">
        <v>318</v>
      </c>
      <c r="B485" s="14" t="s">
        <v>480</v>
      </c>
      <c r="C485" s="6">
        <v>7371.35</v>
      </c>
      <c r="D485" s="7">
        <v>45742</v>
      </c>
      <c r="F485" t="s">
        <v>319</v>
      </c>
    </row>
    <row r="486" spans="1:6">
      <c r="A486" t="s">
        <v>311</v>
      </c>
      <c r="B486" s="14" t="s">
        <v>480</v>
      </c>
      <c r="C486" s="6">
        <v>7135.82</v>
      </c>
      <c r="D486" s="7">
        <v>45742</v>
      </c>
      <c r="F486" t="s">
        <v>312</v>
      </c>
    </row>
    <row r="487" spans="1:6">
      <c r="A487" t="s">
        <v>482</v>
      </c>
      <c r="B487" s="14" t="s">
        <v>480</v>
      </c>
      <c r="C487" s="6">
        <v>622.07000000000005</v>
      </c>
      <c r="D487" s="7">
        <v>45741</v>
      </c>
      <c r="F487" t="s">
        <v>483</v>
      </c>
    </row>
    <row r="488" spans="1:6">
      <c r="A488" t="s">
        <v>432</v>
      </c>
      <c r="B488" s="14" t="s">
        <v>484</v>
      </c>
      <c r="C488" s="6">
        <v>200.73</v>
      </c>
      <c r="D488" s="7">
        <v>45740</v>
      </c>
      <c r="F488" t="s">
        <v>433</v>
      </c>
    </row>
    <row r="489" spans="1:6">
      <c r="A489" t="s">
        <v>485</v>
      </c>
      <c r="B489" s="14" t="s">
        <v>486</v>
      </c>
      <c r="C489" s="6">
        <v>951.49</v>
      </c>
      <c r="D489" s="7">
        <v>45737</v>
      </c>
      <c r="F489" t="s">
        <v>487</v>
      </c>
    </row>
    <row r="490" spans="1:6">
      <c r="A490" t="s">
        <v>488</v>
      </c>
      <c r="B490" s="14" t="s">
        <v>489</v>
      </c>
      <c r="C490" s="6">
        <v>1019.41</v>
      </c>
      <c r="D490" s="7">
        <v>45737</v>
      </c>
      <c r="F490" t="s">
        <v>490</v>
      </c>
    </row>
    <row r="491" spans="1:6">
      <c r="A491" t="s">
        <v>332</v>
      </c>
      <c r="B491" s="14" t="s">
        <v>484</v>
      </c>
      <c r="C491" s="6">
        <v>263.27</v>
      </c>
      <c r="D491" s="7">
        <v>45737</v>
      </c>
      <c r="F491" t="s">
        <v>333</v>
      </c>
    </row>
    <row r="492" spans="1:6">
      <c r="A492" t="s">
        <v>300</v>
      </c>
      <c r="B492" s="14" t="s">
        <v>491</v>
      </c>
      <c r="C492" s="6">
        <v>2038.8</v>
      </c>
      <c r="D492" s="7">
        <v>45737</v>
      </c>
      <c r="F492" t="s">
        <v>301</v>
      </c>
    </row>
    <row r="493" spans="1:6">
      <c r="A493" t="s">
        <v>302</v>
      </c>
      <c r="B493" s="14" t="s">
        <v>480</v>
      </c>
      <c r="C493" s="6">
        <v>6197.34</v>
      </c>
      <c r="D493" s="7">
        <v>45737</v>
      </c>
      <c r="F493" t="s">
        <v>303</v>
      </c>
    </row>
    <row r="494" spans="1:6">
      <c r="A494" t="s">
        <v>472</v>
      </c>
      <c r="B494" s="14" t="s">
        <v>492</v>
      </c>
      <c r="C494" s="6">
        <v>6116.42</v>
      </c>
      <c r="D494" s="7">
        <v>45737</v>
      </c>
      <c r="F494" t="s">
        <v>473</v>
      </c>
    </row>
    <row r="495" spans="1:6">
      <c r="A495" t="s">
        <v>401</v>
      </c>
      <c r="B495" s="14" t="s">
        <v>493</v>
      </c>
      <c r="C495" s="6">
        <v>7108.1</v>
      </c>
      <c r="D495" s="7">
        <v>45737</v>
      </c>
      <c r="F495" t="s">
        <v>402</v>
      </c>
    </row>
    <row r="496" spans="1:6">
      <c r="A496" t="s">
        <v>455</v>
      </c>
      <c r="B496" s="14" t="s">
        <v>480</v>
      </c>
      <c r="C496" s="6">
        <v>5806</v>
      </c>
      <c r="D496" s="7">
        <v>45737</v>
      </c>
      <c r="F496" t="s">
        <v>456</v>
      </c>
    </row>
    <row r="497" spans="1:6">
      <c r="A497" t="s">
        <v>355</v>
      </c>
      <c r="B497" s="14" t="s">
        <v>480</v>
      </c>
      <c r="C497" s="6">
        <v>5806</v>
      </c>
      <c r="D497" s="7">
        <v>45737</v>
      </c>
      <c r="F497" t="s">
        <v>356</v>
      </c>
    </row>
    <row r="498" spans="1:6">
      <c r="A498" t="s">
        <v>468</v>
      </c>
      <c r="B498" s="14" t="s">
        <v>480</v>
      </c>
      <c r="C498" s="6">
        <v>5806</v>
      </c>
      <c r="D498" s="7">
        <v>45737</v>
      </c>
      <c r="F498" t="s">
        <v>469</v>
      </c>
    </row>
    <row r="499" spans="1:6">
      <c r="A499" t="s">
        <v>395</v>
      </c>
      <c r="B499" s="14" t="s">
        <v>480</v>
      </c>
      <c r="C499" s="6">
        <v>5620.48</v>
      </c>
      <c r="D499" s="7">
        <v>45737</v>
      </c>
      <c r="F499" t="s">
        <v>396</v>
      </c>
    </row>
    <row r="500" spans="1:6">
      <c r="A500" t="s">
        <v>393</v>
      </c>
      <c r="B500" s="14" t="s">
        <v>480</v>
      </c>
      <c r="C500" s="6">
        <v>5806</v>
      </c>
      <c r="D500" s="7">
        <v>45737</v>
      </c>
      <c r="F500" t="s">
        <v>394</v>
      </c>
    </row>
    <row r="501" spans="1:6">
      <c r="A501" t="s">
        <v>327</v>
      </c>
      <c r="B501" s="14" t="s">
        <v>480</v>
      </c>
      <c r="C501" s="6">
        <v>7371.35</v>
      </c>
      <c r="D501" s="7">
        <v>45736</v>
      </c>
      <c r="F501" t="s">
        <v>328</v>
      </c>
    </row>
    <row r="502" spans="1:6">
      <c r="A502" t="s">
        <v>361</v>
      </c>
      <c r="B502" s="14" t="s">
        <v>494</v>
      </c>
      <c r="C502" s="6">
        <v>3317.71</v>
      </c>
      <c r="D502" s="7">
        <v>45736</v>
      </c>
      <c r="F502" t="s">
        <v>362</v>
      </c>
    </row>
    <row r="503" spans="1:6">
      <c r="A503" t="s">
        <v>405</v>
      </c>
      <c r="B503" s="14" t="s">
        <v>480</v>
      </c>
      <c r="C503" s="6">
        <v>7371.35</v>
      </c>
      <c r="D503" s="7">
        <v>45736</v>
      </c>
      <c r="F503" t="s">
        <v>407</v>
      </c>
    </row>
    <row r="504" spans="1:6">
      <c r="A504" t="s">
        <v>380</v>
      </c>
      <c r="B504" s="14" t="s">
        <v>480</v>
      </c>
      <c r="C504" s="6">
        <v>7371.35</v>
      </c>
      <c r="D504" s="7">
        <v>45736</v>
      </c>
      <c r="F504" t="s">
        <v>381</v>
      </c>
    </row>
    <row r="505" spans="1:6">
      <c r="A505" t="s">
        <v>387</v>
      </c>
      <c r="B505" s="14" t="s">
        <v>480</v>
      </c>
      <c r="C505" s="6">
        <v>4555.1000000000004</v>
      </c>
      <c r="D505" s="7">
        <v>45736</v>
      </c>
      <c r="F505" t="s">
        <v>388</v>
      </c>
    </row>
    <row r="506" spans="1:6">
      <c r="A506" t="s">
        <v>432</v>
      </c>
      <c r="B506" s="14" t="s">
        <v>480</v>
      </c>
      <c r="C506" s="6">
        <v>401.47</v>
      </c>
      <c r="D506" s="7">
        <v>45736</v>
      </c>
      <c r="F506" t="s">
        <v>433</v>
      </c>
    </row>
    <row r="507" spans="1:6">
      <c r="A507" t="s">
        <v>495</v>
      </c>
      <c r="B507" s="14" t="s">
        <v>480</v>
      </c>
      <c r="C507" s="6">
        <v>5806</v>
      </c>
      <c r="D507" s="7">
        <v>45736</v>
      </c>
      <c r="F507" t="s">
        <v>496</v>
      </c>
    </row>
    <row r="508" spans="1:6">
      <c r="A508" t="s">
        <v>460</v>
      </c>
      <c r="B508" s="14" t="s">
        <v>480</v>
      </c>
      <c r="C508" s="6">
        <v>5527.88</v>
      </c>
      <c r="D508" s="7">
        <v>45736</v>
      </c>
      <c r="F508" t="s">
        <v>461</v>
      </c>
    </row>
    <row r="509" spans="1:6">
      <c r="A509" t="s">
        <v>423</v>
      </c>
      <c r="B509" s="14" t="s">
        <v>480</v>
      </c>
      <c r="C509" s="6">
        <v>7371.35</v>
      </c>
      <c r="D509" s="7">
        <v>45736</v>
      </c>
      <c r="F509" t="s">
        <v>425</v>
      </c>
    </row>
    <row r="510" spans="1:6">
      <c r="A510" t="s">
        <v>462</v>
      </c>
      <c r="B510" s="14" t="s">
        <v>480</v>
      </c>
      <c r="C510" s="6">
        <v>5806</v>
      </c>
      <c r="D510" s="7">
        <v>45736</v>
      </c>
      <c r="F510" t="s">
        <v>463</v>
      </c>
    </row>
    <row r="511" spans="1:6">
      <c r="A511" t="s">
        <v>420</v>
      </c>
      <c r="B511" s="14" t="s">
        <v>480</v>
      </c>
      <c r="C511" s="6">
        <v>7135.82</v>
      </c>
      <c r="D511" s="7">
        <v>45736</v>
      </c>
      <c r="F511" t="s">
        <v>421</v>
      </c>
    </row>
    <row r="512" spans="1:6">
      <c r="A512" t="s">
        <v>399</v>
      </c>
      <c r="B512" s="14" t="s">
        <v>480</v>
      </c>
      <c r="C512" s="6">
        <v>6644.59</v>
      </c>
      <c r="D512" s="7">
        <v>45736</v>
      </c>
      <c r="F512" t="s">
        <v>400</v>
      </c>
    </row>
    <row r="513" spans="1:6">
      <c r="A513" t="s">
        <v>390</v>
      </c>
      <c r="B513" s="14" t="s">
        <v>480</v>
      </c>
      <c r="C513" s="6">
        <v>5806</v>
      </c>
      <c r="D513" s="7">
        <v>45736</v>
      </c>
      <c r="F513" t="s">
        <v>391</v>
      </c>
    </row>
    <row r="514" spans="1:6">
      <c r="A514" t="s">
        <v>347</v>
      </c>
      <c r="B514" s="14" t="s">
        <v>480</v>
      </c>
      <c r="C514" s="6">
        <v>5783.22</v>
      </c>
      <c r="D514" s="7">
        <v>45736</v>
      </c>
      <c r="F514" t="s">
        <v>348</v>
      </c>
    </row>
    <row r="515" spans="1:6">
      <c r="A515" t="s">
        <v>497</v>
      </c>
      <c r="B515" s="14" t="s">
        <v>480</v>
      </c>
      <c r="C515" s="6">
        <v>5183.9399999999996</v>
      </c>
      <c r="D515" s="7">
        <v>45736</v>
      </c>
      <c r="F515" t="s">
        <v>498</v>
      </c>
    </row>
    <row r="516" spans="1:6">
      <c r="A516" t="s">
        <v>458</v>
      </c>
      <c r="B516" s="14" t="s">
        <v>480</v>
      </c>
      <c r="C516" s="6">
        <v>5527.88</v>
      </c>
      <c r="D516" s="7">
        <v>45736</v>
      </c>
      <c r="F516" t="s">
        <v>459</v>
      </c>
    </row>
    <row r="517" spans="1:6">
      <c r="A517" t="s">
        <v>470</v>
      </c>
      <c r="B517" s="14" t="s">
        <v>480</v>
      </c>
      <c r="C517" s="6">
        <v>6141.43</v>
      </c>
      <c r="D517" s="7">
        <v>45736</v>
      </c>
      <c r="F517" t="s">
        <v>471</v>
      </c>
    </row>
    <row r="518" spans="1:6">
      <c r="A518" t="s">
        <v>378</v>
      </c>
      <c r="B518" s="14" t="s">
        <v>480</v>
      </c>
      <c r="C518" s="6">
        <v>5806</v>
      </c>
      <c r="D518" s="7">
        <v>45736</v>
      </c>
      <c r="F518" t="s">
        <v>379</v>
      </c>
    </row>
    <row r="519" spans="1:6">
      <c r="A519" t="s">
        <v>385</v>
      </c>
      <c r="B519" s="14" t="s">
        <v>499</v>
      </c>
      <c r="C519" s="6">
        <v>6428.07</v>
      </c>
      <c r="D519" s="7">
        <v>45719</v>
      </c>
      <c r="F519" t="s">
        <v>386</v>
      </c>
    </row>
    <row r="520" spans="1:6">
      <c r="A520" t="s">
        <v>327</v>
      </c>
      <c r="B520" s="14" t="s">
        <v>499</v>
      </c>
      <c r="C520" s="6">
        <v>8161.15</v>
      </c>
      <c r="D520" s="7">
        <v>45716</v>
      </c>
      <c r="F520" t="s">
        <v>328</v>
      </c>
    </row>
    <row r="521" spans="1:6">
      <c r="A521" t="s">
        <v>420</v>
      </c>
      <c r="B521" s="14" t="s">
        <v>499</v>
      </c>
      <c r="C521" s="6">
        <v>7900.37</v>
      </c>
      <c r="D521" s="7">
        <v>45716</v>
      </c>
      <c r="F521" t="s">
        <v>421</v>
      </c>
    </row>
    <row r="522" spans="1:6">
      <c r="A522" t="s">
        <v>355</v>
      </c>
      <c r="B522" s="14" t="s">
        <v>499</v>
      </c>
      <c r="C522" s="6">
        <v>7546.19</v>
      </c>
      <c r="D522" s="7">
        <v>45714</v>
      </c>
      <c r="F522" t="s">
        <v>356</v>
      </c>
    </row>
    <row r="523" spans="1:6">
      <c r="A523" t="s">
        <v>500</v>
      </c>
      <c r="B523" s="14" t="s">
        <v>501</v>
      </c>
      <c r="C523" s="6">
        <v>5097.0200000000004</v>
      </c>
      <c r="D523" s="7">
        <v>45714</v>
      </c>
      <c r="F523" t="s">
        <v>502</v>
      </c>
    </row>
    <row r="524" spans="1:6">
      <c r="A524" t="s">
        <v>378</v>
      </c>
      <c r="B524" s="14" t="s">
        <v>499</v>
      </c>
      <c r="C524" s="6">
        <v>7993.43</v>
      </c>
      <c r="D524" s="7">
        <v>45714</v>
      </c>
      <c r="F524" t="s">
        <v>379</v>
      </c>
    </row>
    <row r="525" spans="1:6">
      <c r="A525" t="s">
        <v>503</v>
      </c>
      <c r="B525" s="14" t="s">
        <v>504</v>
      </c>
      <c r="C525" s="6">
        <v>1053.05</v>
      </c>
      <c r="D525" s="7">
        <v>45713</v>
      </c>
      <c r="F525" t="s">
        <v>505</v>
      </c>
    </row>
    <row r="526" spans="1:6">
      <c r="A526" t="s">
        <v>506</v>
      </c>
      <c r="B526" s="14" t="s">
        <v>499</v>
      </c>
      <c r="C526" s="6">
        <v>4212.21</v>
      </c>
      <c r="D526" s="7">
        <v>45712</v>
      </c>
      <c r="F526" t="s">
        <v>507</v>
      </c>
    </row>
    <row r="527" spans="1:6">
      <c r="A527" t="s">
        <v>347</v>
      </c>
      <c r="B527" s="14" t="s">
        <v>508</v>
      </c>
      <c r="C527" s="6">
        <v>3717.79</v>
      </c>
      <c r="D527" s="7">
        <v>45712</v>
      </c>
      <c r="F527" t="s">
        <v>348</v>
      </c>
    </row>
    <row r="528" spans="1:6">
      <c r="A528" t="s">
        <v>509</v>
      </c>
      <c r="B528" s="14" t="s">
        <v>499</v>
      </c>
      <c r="C528" s="6">
        <v>7108.1</v>
      </c>
      <c r="D528" s="7">
        <v>45712</v>
      </c>
      <c r="F528" t="s">
        <v>510</v>
      </c>
    </row>
    <row r="529" spans="1:6">
      <c r="A529" t="s">
        <v>365</v>
      </c>
      <c r="B529" s="14" t="s">
        <v>499</v>
      </c>
      <c r="C529" s="6">
        <v>7043.03</v>
      </c>
      <c r="D529" s="7">
        <v>45712</v>
      </c>
      <c r="F529" t="s">
        <v>366</v>
      </c>
    </row>
    <row r="530" spans="1:6">
      <c r="A530" t="s">
        <v>405</v>
      </c>
      <c r="B530" s="14" t="s">
        <v>511</v>
      </c>
      <c r="C530" s="6">
        <v>4475.46</v>
      </c>
      <c r="D530" s="7">
        <v>45712</v>
      </c>
      <c r="F530" t="s">
        <v>407</v>
      </c>
    </row>
    <row r="531" spans="1:6">
      <c r="A531" t="s">
        <v>432</v>
      </c>
      <c r="B531" s="14" t="s">
        <v>499</v>
      </c>
      <c r="C531" s="6">
        <v>6872.1</v>
      </c>
      <c r="D531" s="7">
        <v>45712</v>
      </c>
      <c r="F531" t="s">
        <v>433</v>
      </c>
    </row>
    <row r="532" spans="1:6">
      <c r="A532" t="s">
        <v>423</v>
      </c>
      <c r="B532" s="14" t="s">
        <v>512</v>
      </c>
      <c r="C532" s="6">
        <v>2106.1</v>
      </c>
      <c r="D532" s="7">
        <v>45712</v>
      </c>
      <c r="F532" t="s">
        <v>425</v>
      </c>
    </row>
    <row r="533" spans="1:6">
      <c r="A533" t="s">
        <v>416</v>
      </c>
      <c r="B533" s="14" t="s">
        <v>499</v>
      </c>
      <c r="C533" s="6">
        <v>6595.79</v>
      </c>
      <c r="D533" s="7">
        <v>45712</v>
      </c>
      <c r="F533" t="s">
        <v>417</v>
      </c>
    </row>
    <row r="534" spans="1:6">
      <c r="A534" t="s">
        <v>482</v>
      </c>
      <c r="B534" s="14" t="s">
        <v>499</v>
      </c>
      <c r="C534" s="6">
        <v>7713.89</v>
      </c>
      <c r="D534" s="7">
        <v>45712</v>
      </c>
      <c r="F534" t="s">
        <v>483</v>
      </c>
    </row>
    <row r="535" spans="1:6">
      <c r="A535" t="s">
        <v>513</v>
      </c>
      <c r="B535" s="14" t="s">
        <v>499</v>
      </c>
      <c r="C535" s="6">
        <v>2803.36</v>
      </c>
      <c r="D535" s="7">
        <v>45712</v>
      </c>
      <c r="F535" t="s">
        <v>514</v>
      </c>
    </row>
    <row r="536" spans="1:6">
      <c r="A536" t="s">
        <v>399</v>
      </c>
      <c r="B536" s="14" t="s">
        <v>499</v>
      </c>
      <c r="C536" s="6">
        <v>8161.15</v>
      </c>
      <c r="D536" s="7">
        <v>45712</v>
      </c>
      <c r="F536" t="s">
        <v>400</v>
      </c>
    </row>
    <row r="537" spans="1:6">
      <c r="A537" t="s">
        <v>387</v>
      </c>
      <c r="B537" s="14" t="s">
        <v>499</v>
      </c>
      <c r="C537" s="6">
        <v>5744.93</v>
      </c>
      <c r="D537" s="7">
        <v>45712</v>
      </c>
      <c r="F537" t="s">
        <v>388</v>
      </c>
    </row>
    <row r="538" spans="1:6">
      <c r="A538" t="s">
        <v>302</v>
      </c>
      <c r="B538" s="14" t="s">
        <v>499</v>
      </c>
      <c r="C538" s="6">
        <v>8161.15</v>
      </c>
      <c r="D538" s="7">
        <v>45712</v>
      </c>
      <c r="F538" t="s">
        <v>303</v>
      </c>
    </row>
    <row r="539" spans="1:6">
      <c r="A539" t="s">
        <v>380</v>
      </c>
      <c r="B539" s="14" t="s">
        <v>515</v>
      </c>
      <c r="C539" s="6">
        <v>1842.84</v>
      </c>
      <c r="D539" s="7">
        <v>45712</v>
      </c>
      <c r="F539" t="s">
        <v>381</v>
      </c>
    </row>
    <row r="540" spans="1:6">
      <c r="A540" t="s">
        <v>395</v>
      </c>
      <c r="B540" s="14" t="s">
        <v>499</v>
      </c>
      <c r="C540" s="6">
        <v>7305.07</v>
      </c>
      <c r="D540" s="7">
        <v>45712</v>
      </c>
      <c r="F540" t="s">
        <v>396</v>
      </c>
    </row>
    <row r="541" spans="1:6">
      <c r="A541" t="s">
        <v>516</v>
      </c>
      <c r="B541" s="14" t="s">
        <v>499</v>
      </c>
      <c r="C541" s="6">
        <v>4077.61</v>
      </c>
      <c r="D541" s="7">
        <v>45712</v>
      </c>
      <c r="F541" t="s">
        <v>517</v>
      </c>
    </row>
    <row r="542" spans="1:6">
      <c r="A542" t="s">
        <v>311</v>
      </c>
      <c r="B542" s="14" t="s">
        <v>508</v>
      </c>
      <c r="C542" s="6">
        <v>4587.3100000000004</v>
      </c>
      <c r="D542" s="7">
        <v>45712</v>
      </c>
      <c r="F542" t="s">
        <v>312</v>
      </c>
    </row>
    <row r="543" spans="1:6">
      <c r="A543" t="s">
        <v>361</v>
      </c>
      <c r="B543" s="14" t="s">
        <v>499</v>
      </c>
      <c r="C543" s="6">
        <v>7657.99</v>
      </c>
      <c r="D543" s="7">
        <v>45712</v>
      </c>
      <c r="F543" t="s">
        <v>362</v>
      </c>
    </row>
    <row r="544" spans="1:6">
      <c r="A544" t="s">
        <v>470</v>
      </c>
      <c r="B544" s="14" t="s">
        <v>499</v>
      </c>
      <c r="C544" s="6">
        <v>8161.15</v>
      </c>
      <c r="D544" s="7">
        <v>45709</v>
      </c>
      <c r="F544" t="s">
        <v>471</v>
      </c>
    </row>
    <row r="545" spans="1:6">
      <c r="A545" t="s">
        <v>518</v>
      </c>
      <c r="B545" s="14" t="s">
        <v>499</v>
      </c>
      <c r="C545" s="6">
        <v>6220.72</v>
      </c>
      <c r="D545" s="7">
        <v>45708</v>
      </c>
      <c r="F545" t="s">
        <v>519</v>
      </c>
    </row>
    <row r="546" spans="1:6">
      <c r="A546" t="s">
        <v>520</v>
      </c>
      <c r="B546" s="14" t="s">
        <v>499</v>
      </c>
      <c r="C546" s="6">
        <v>6021.94</v>
      </c>
      <c r="D546" s="7">
        <v>45708</v>
      </c>
      <c r="F546" t="s">
        <v>521</v>
      </c>
    </row>
    <row r="547" spans="1:6">
      <c r="A547" t="s">
        <v>468</v>
      </c>
      <c r="B547" s="14" t="s">
        <v>499</v>
      </c>
      <c r="C547" s="6">
        <v>6428.07</v>
      </c>
      <c r="D547" s="7">
        <v>45708</v>
      </c>
      <c r="F547" t="s">
        <v>469</v>
      </c>
    </row>
    <row r="548" spans="1:6">
      <c r="A548" t="s">
        <v>393</v>
      </c>
      <c r="B548" s="14" t="s">
        <v>499</v>
      </c>
      <c r="C548" s="6">
        <v>6428.07</v>
      </c>
      <c r="D548" s="7">
        <v>45708</v>
      </c>
      <c r="F548" t="s">
        <v>394</v>
      </c>
    </row>
    <row r="549" spans="1:6">
      <c r="A549" t="s">
        <v>462</v>
      </c>
      <c r="B549" s="14" t="s">
        <v>499</v>
      </c>
      <c r="C549" s="6">
        <v>6428.07</v>
      </c>
      <c r="D549" s="7">
        <v>45708</v>
      </c>
      <c r="F549" t="s">
        <v>463</v>
      </c>
    </row>
    <row r="550" spans="1:6">
      <c r="A550" t="s">
        <v>460</v>
      </c>
      <c r="B550" s="14" t="s">
        <v>499</v>
      </c>
      <c r="C550" s="6">
        <v>6120.15</v>
      </c>
      <c r="D550" s="7">
        <v>45708</v>
      </c>
      <c r="F550" t="s">
        <v>461</v>
      </c>
    </row>
    <row r="551" spans="1:6">
      <c r="A551" t="s">
        <v>390</v>
      </c>
      <c r="B551" s="14" t="s">
        <v>499</v>
      </c>
      <c r="C551" s="6">
        <v>6428.07</v>
      </c>
      <c r="D551" s="7">
        <v>45708</v>
      </c>
      <c r="F551" t="s">
        <v>391</v>
      </c>
    </row>
    <row r="552" spans="1:6">
      <c r="A552" t="s">
        <v>455</v>
      </c>
      <c r="B552" s="14" t="s">
        <v>499</v>
      </c>
      <c r="C552" s="6">
        <v>6428.07</v>
      </c>
      <c r="D552" s="7">
        <v>45708</v>
      </c>
      <c r="F552" t="s">
        <v>456</v>
      </c>
    </row>
    <row r="553" spans="1:6">
      <c r="A553" t="s">
        <v>495</v>
      </c>
      <c r="B553" s="14" t="s">
        <v>499</v>
      </c>
      <c r="C553" s="6">
        <v>6428.07</v>
      </c>
      <c r="D553" s="7">
        <v>45708</v>
      </c>
      <c r="F553" t="s">
        <v>496</v>
      </c>
    </row>
    <row r="554" spans="1:6">
      <c r="A554" t="s">
        <v>458</v>
      </c>
      <c r="B554" s="14" t="s">
        <v>499</v>
      </c>
      <c r="C554" s="6">
        <v>6120.15</v>
      </c>
      <c r="D554" s="7">
        <v>45708</v>
      </c>
      <c r="F554" t="s">
        <v>459</v>
      </c>
    </row>
    <row r="555" spans="1:6">
      <c r="A555" t="s">
        <v>497</v>
      </c>
      <c r="B555" s="14" t="s">
        <v>499</v>
      </c>
      <c r="C555" s="6">
        <v>6428.07</v>
      </c>
      <c r="D555" s="7">
        <v>45708</v>
      </c>
      <c r="F555" t="s">
        <v>498</v>
      </c>
    </row>
    <row r="556" spans="1:6">
      <c r="A556" t="s">
        <v>509</v>
      </c>
      <c r="B556" s="14" t="s">
        <v>522</v>
      </c>
      <c r="C556" s="6">
        <v>4212.21</v>
      </c>
      <c r="D556" s="7">
        <v>45707</v>
      </c>
      <c r="F556" t="s">
        <v>510</v>
      </c>
    </row>
    <row r="557" spans="1:6">
      <c r="A557" t="s">
        <v>523</v>
      </c>
      <c r="B557" s="14" t="s">
        <v>524</v>
      </c>
      <c r="C557" s="6">
        <v>6220.72</v>
      </c>
      <c r="D557" s="7">
        <v>45706</v>
      </c>
      <c r="E557" t="s">
        <v>237</v>
      </c>
      <c r="F557" t="s">
        <v>525</v>
      </c>
    </row>
    <row r="558" spans="1:6">
      <c r="A558" t="s">
        <v>470</v>
      </c>
      <c r="B558" s="14" t="s">
        <v>526</v>
      </c>
      <c r="C558" s="6">
        <v>6055.04</v>
      </c>
      <c r="D558" s="7">
        <v>45698</v>
      </c>
      <c r="F558" t="s">
        <v>471</v>
      </c>
    </row>
    <row r="559" spans="1:6">
      <c r="A559" t="s">
        <v>506</v>
      </c>
      <c r="B559" s="14" t="s">
        <v>527</v>
      </c>
      <c r="C559" s="6">
        <v>7897.88</v>
      </c>
      <c r="D559" s="7">
        <v>45698</v>
      </c>
      <c r="F559" t="s">
        <v>507</v>
      </c>
    </row>
    <row r="560" spans="1:6">
      <c r="A560" t="s">
        <v>482</v>
      </c>
      <c r="B560" s="14" t="s">
        <v>504</v>
      </c>
      <c r="C560" s="6">
        <v>8161.15</v>
      </c>
      <c r="D560" s="7">
        <v>45698</v>
      </c>
      <c r="F560" t="s">
        <v>483</v>
      </c>
    </row>
    <row r="561" spans="1:6">
      <c r="A561" t="s">
        <v>399</v>
      </c>
      <c r="B561" s="14" t="s">
        <v>528</v>
      </c>
      <c r="C561" s="6">
        <v>3685.68</v>
      </c>
      <c r="D561" s="7">
        <v>45698</v>
      </c>
      <c r="F561" t="s">
        <v>400</v>
      </c>
    </row>
    <row r="562" spans="1:6">
      <c r="A562" t="s">
        <v>302</v>
      </c>
      <c r="B562" s="14" t="s">
        <v>529</v>
      </c>
      <c r="C562" s="6">
        <v>5791.78</v>
      </c>
      <c r="D562" s="7">
        <v>45698</v>
      </c>
      <c r="F562" t="s">
        <v>303</v>
      </c>
    </row>
    <row r="563" spans="1:6">
      <c r="A563" t="s">
        <v>530</v>
      </c>
      <c r="B563" s="14" t="s">
        <v>504</v>
      </c>
      <c r="C563" s="6">
        <v>2903</v>
      </c>
      <c r="D563" s="7">
        <v>45698</v>
      </c>
      <c r="F563" t="s">
        <v>531</v>
      </c>
    </row>
    <row r="564" spans="1:6">
      <c r="A564" t="s">
        <v>532</v>
      </c>
      <c r="B564" s="14" t="s">
        <v>533</v>
      </c>
      <c r="C564" s="6">
        <v>424.97</v>
      </c>
      <c r="D564" s="7">
        <v>45694</v>
      </c>
      <c r="F564" t="s">
        <v>534</v>
      </c>
    </row>
    <row r="565" spans="1:6">
      <c r="A565" t="s">
        <v>520</v>
      </c>
      <c r="B565" s="14" t="s">
        <v>504</v>
      </c>
      <c r="C565" s="6">
        <v>6222.68</v>
      </c>
      <c r="D565" s="7">
        <v>45691</v>
      </c>
      <c r="F565" t="s">
        <v>521</v>
      </c>
    </row>
    <row r="566" spans="1:6">
      <c r="A566" t="s">
        <v>327</v>
      </c>
      <c r="B566" s="14" t="s">
        <v>535</v>
      </c>
      <c r="C566" s="6">
        <v>263.27</v>
      </c>
      <c r="D566" s="7">
        <v>45691</v>
      </c>
      <c r="F566" t="s">
        <v>328</v>
      </c>
    </row>
    <row r="567" spans="1:6">
      <c r="A567" t="s">
        <v>503</v>
      </c>
      <c r="B567" s="14" t="s">
        <v>536</v>
      </c>
      <c r="C567" s="6">
        <v>1316.32</v>
      </c>
      <c r="D567" s="7">
        <v>45691</v>
      </c>
      <c r="F567" t="s">
        <v>505</v>
      </c>
    </row>
    <row r="568" spans="1:6">
      <c r="A568" t="s">
        <v>518</v>
      </c>
      <c r="B568" s="14" t="s">
        <v>504</v>
      </c>
      <c r="C568" s="6">
        <v>6428.07</v>
      </c>
      <c r="D568" s="7">
        <v>45684</v>
      </c>
      <c r="F568" t="s">
        <v>519</v>
      </c>
    </row>
    <row r="569" spans="1:6">
      <c r="A569" t="s">
        <v>468</v>
      </c>
      <c r="B569" s="14" t="s">
        <v>504</v>
      </c>
      <c r="C569" s="6">
        <v>6428.07</v>
      </c>
      <c r="D569" s="7">
        <v>45680</v>
      </c>
      <c r="F569" t="s">
        <v>469</v>
      </c>
    </row>
    <row r="570" spans="1:6">
      <c r="A570" t="s">
        <v>455</v>
      </c>
      <c r="B570" s="14" t="s">
        <v>504</v>
      </c>
      <c r="C570" s="6">
        <v>6428.07</v>
      </c>
      <c r="D570" s="7">
        <v>45680</v>
      </c>
      <c r="F570" t="s">
        <v>456</v>
      </c>
    </row>
    <row r="571" spans="1:6">
      <c r="A571" t="s">
        <v>495</v>
      </c>
      <c r="B571" s="14" t="s">
        <v>504</v>
      </c>
      <c r="C571" s="6">
        <v>6428.07</v>
      </c>
      <c r="D571" s="7">
        <v>45680</v>
      </c>
      <c r="F571" t="s">
        <v>496</v>
      </c>
    </row>
    <row r="572" spans="1:6">
      <c r="A572" t="s">
        <v>497</v>
      </c>
      <c r="B572" s="14" t="s">
        <v>504</v>
      </c>
      <c r="C572" s="6">
        <v>6428.07</v>
      </c>
      <c r="D572" s="7">
        <v>45680</v>
      </c>
      <c r="F572" t="s">
        <v>498</v>
      </c>
    </row>
    <row r="573" spans="1:6">
      <c r="A573" t="s">
        <v>355</v>
      </c>
      <c r="B573" s="14" t="s">
        <v>504</v>
      </c>
      <c r="C573" s="6">
        <v>8161.15</v>
      </c>
      <c r="D573" s="7">
        <v>45680</v>
      </c>
      <c r="F573" t="s">
        <v>356</v>
      </c>
    </row>
    <row r="574" spans="1:6">
      <c r="A574" t="s">
        <v>378</v>
      </c>
      <c r="B574" s="14" t="s">
        <v>504</v>
      </c>
      <c r="C574" s="6">
        <v>8161.15</v>
      </c>
      <c r="D574" s="7">
        <v>45680</v>
      </c>
      <c r="F574" t="s">
        <v>379</v>
      </c>
    </row>
    <row r="575" spans="1:6">
      <c r="A575" t="s">
        <v>537</v>
      </c>
      <c r="B575" s="14" t="s">
        <v>526</v>
      </c>
      <c r="C575" s="6">
        <v>3422.41</v>
      </c>
      <c r="D575" s="7">
        <v>45680</v>
      </c>
      <c r="F575" t="s">
        <v>538</v>
      </c>
    </row>
    <row r="576" spans="1:6">
      <c r="A576" t="s">
        <v>516</v>
      </c>
      <c r="B576" s="14" t="s">
        <v>526</v>
      </c>
      <c r="C576" s="6">
        <v>5861.57</v>
      </c>
      <c r="D576" s="7">
        <v>45680</v>
      </c>
      <c r="F576" t="s">
        <v>517</v>
      </c>
    </row>
    <row r="577" spans="1:6">
      <c r="A577" t="s">
        <v>539</v>
      </c>
      <c r="B577" s="14" t="s">
        <v>504</v>
      </c>
      <c r="C577" s="6">
        <v>1053.05</v>
      </c>
      <c r="D577" s="7">
        <v>45680</v>
      </c>
      <c r="F577" t="s">
        <v>540</v>
      </c>
    </row>
    <row r="578" spans="1:6">
      <c r="A578" t="s">
        <v>460</v>
      </c>
      <c r="B578" s="14" t="s">
        <v>504</v>
      </c>
      <c r="C578" s="6">
        <v>6120.15</v>
      </c>
      <c r="D578" s="7">
        <v>45679</v>
      </c>
      <c r="F578" t="s">
        <v>461</v>
      </c>
    </row>
    <row r="579" spans="1:6">
      <c r="A579" t="s">
        <v>541</v>
      </c>
      <c r="B579" s="14" t="s">
        <v>504</v>
      </c>
      <c r="C579" s="6">
        <v>5043.1400000000003</v>
      </c>
      <c r="D579" s="7">
        <v>45678</v>
      </c>
      <c r="F579" t="s">
        <v>542</v>
      </c>
    </row>
    <row r="580" spans="1:6">
      <c r="A580" t="s">
        <v>393</v>
      </c>
      <c r="B580" s="14" t="s">
        <v>504</v>
      </c>
      <c r="C580" s="6">
        <v>6428.07</v>
      </c>
      <c r="D580" s="7">
        <v>45678</v>
      </c>
      <c r="F580" t="s">
        <v>394</v>
      </c>
    </row>
    <row r="581" spans="1:6">
      <c r="A581" t="s">
        <v>462</v>
      </c>
      <c r="B581" s="14" t="s">
        <v>504</v>
      </c>
      <c r="C581" s="6">
        <v>6428.07</v>
      </c>
      <c r="D581" s="7">
        <v>45678</v>
      </c>
      <c r="F581" t="s">
        <v>463</v>
      </c>
    </row>
    <row r="582" spans="1:6">
      <c r="A582" t="s">
        <v>390</v>
      </c>
      <c r="B582" s="14" t="s">
        <v>504</v>
      </c>
      <c r="C582" s="6">
        <v>6428.07</v>
      </c>
      <c r="D582" s="7">
        <v>45678</v>
      </c>
      <c r="F582" t="s">
        <v>391</v>
      </c>
    </row>
    <row r="583" spans="1:6">
      <c r="A583" t="s">
        <v>458</v>
      </c>
      <c r="B583" s="14" t="s">
        <v>504</v>
      </c>
      <c r="C583" s="6">
        <v>6120.15</v>
      </c>
      <c r="D583" s="7">
        <v>45678</v>
      </c>
      <c r="F583" t="s">
        <v>459</v>
      </c>
    </row>
    <row r="584" spans="1:6">
      <c r="A584" t="s">
        <v>365</v>
      </c>
      <c r="B584" s="14" t="s">
        <v>504</v>
      </c>
      <c r="C584" s="6">
        <v>8161.15</v>
      </c>
      <c r="D584" s="7">
        <v>45678</v>
      </c>
      <c r="F584" t="s">
        <v>366</v>
      </c>
    </row>
    <row r="585" spans="1:6">
      <c r="A585" t="s">
        <v>432</v>
      </c>
      <c r="B585" s="14" t="s">
        <v>504</v>
      </c>
      <c r="C585" s="6">
        <v>7900.37</v>
      </c>
      <c r="D585" s="7">
        <v>45678</v>
      </c>
      <c r="F585" t="s">
        <v>433</v>
      </c>
    </row>
    <row r="586" spans="1:6">
      <c r="A586" t="s">
        <v>416</v>
      </c>
      <c r="B586" s="14" t="s">
        <v>504</v>
      </c>
      <c r="C586" s="6">
        <v>8161.15</v>
      </c>
      <c r="D586" s="7">
        <v>45678</v>
      </c>
      <c r="F586" t="s">
        <v>417</v>
      </c>
    </row>
    <row r="587" spans="1:6">
      <c r="A587" t="s">
        <v>513</v>
      </c>
      <c r="B587" s="14" t="s">
        <v>504</v>
      </c>
      <c r="C587" s="6">
        <v>7900.37</v>
      </c>
      <c r="D587" s="7">
        <v>45678</v>
      </c>
      <c r="F587" t="s">
        <v>514</v>
      </c>
    </row>
    <row r="588" spans="1:6">
      <c r="A588" t="s">
        <v>387</v>
      </c>
      <c r="B588" s="14" t="s">
        <v>504</v>
      </c>
      <c r="C588" s="6">
        <v>6402.85</v>
      </c>
      <c r="D588" s="7">
        <v>45678</v>
      </c>
      <c r="F588" t="s">
        <v>388</v>
      </c>
    </row>
    <row r="589" spans="1:6">
      <c r="A589" t="s">
        <v>385</v>
      </c>
      <c r="B589" s="14" t="s">
        <v>504</v>
      </c>
      <c r="C589" s="6">
        <v>7322.57</v>
      </c>
      <c r="D589" s="7">
        <v>45678</v>
      </c>
      <c r="F589" t="s">
        <v>386</v>
      </c>
    </row>
    <row r="590" spans="1:6">
      <c r="A590" t="s">
        <v>395</v>
      </c>
      <c r="B590" s="14" t="s">
        <v>504</v>
      </c>
      <c r="C590" s="6">
        <v>7900.37</v>
      </c>
      <c r="D590" s="7">
        <v>45678</v>
      </c>
      <c r="F590" t="s">
        <v>396</v>
      </c>
    </row>
    <row r="591" spans="1:6">
      <c r="A591" t="s">
        <v>361</v>
      </c>
      <c r="B591" s="14" t="s">
        <v>504</v>
      </c>
      <c r="C591" s="6">
        <v>8161.15</v>
      </c>
      <c r="D591" s="7">
        <v>45678</v>
      </c>
      <c r="F591" t="s">
        <v>362</v>
      </c>
    </row>
    <row r="592" spans="1:6">
      <c r="A592" t="s">
        <v>543</v>
      </c>
      <c r="B592" s="14" t="s">
        <v>544</v>
      </c>
      <c r="C592" s="6">
        <v>415.05</v>
      </c>
      <c r="D592" s="7">
        <v>45664</v>
      </c>
      <c r="F592" t="s">
        <v>545</v>
      </c>
    </row>
    <row r="593" spans="1:6">
      <c r="A593" t="s">
        <v>416</v>
      </c>
      <c r="B593" s="14" t="s">
        <v>546</v>
      </c>
      <c r="C593" s="6">
        <v>6844.83</v>
      </c>
      <c r="D593" s="7">
        <v>45657</v>
      </c>
      <c r="F593" t="s">
        <v>417</v>
      </c>
    </row>
    <row r="594" spans="1:6">
      <c r="A594" t="s">
        <v>361</v>
      </c>
      <c r="B594" s="14" t="s">
        <v>547</v>
      </c>
      <c r="C594" s="6">
        <v>1842.84</v>
      </c>
      <c r="D594" s="7">
        <v>45653</v>
      </c>
      <c r="F594" t="s">
        <v>362</v>
      </c>
    </row>
    <row r="595" spans="1:6">
      <c r="A595" t="s">
        <v>482</v>
      </c>
      <c r="B595" s="14" t="s">
        <v>548</v>
      </c>
      <c r="C595" s="6">
        <v>1579.57</v>
      </c>
      <c r="D595" s="7">
        <v>45653</v>
      </c>
      <c r="F595" t="s">
        <v>483</v>
      </c>
    </row>
    <row r="596" spans="1:6">
      <c r="A596" t="s">
        <v>432</v>
      </c>
      <c r="B596" s="14" t="s">
        <v>549</v>
      </c>
      <c r="C596" s="6">
        <v>4332.46</v>
      </c>
      <c r="D596" s="7">
        <v>45653</v>
      </c>
      <c r="F596" t="s">
        <v>433</v>
      </c>
    </row>
    <row r="597" spans="1:6">
      <c r="A597" t="s">
        <v>378</v>
      </c>
      <c r="B597" s="14" t="s">
        <v>550</v>
      </c>
      <c r="C597" s="6">
        <v>263.27</v>
      </c>
      <c r="D597" s="7">
        <v>45653</v>
      </c>
      <c r="F597" t="s">
        <v>379</v>
      </c>
    </row>
    <row r="598" spans="1:6">
      <c r="A598" t="s">
        <v>355</v>
      </c>
      <c r="B598" s="14" t="s">
        <v>551</v>
      </c>
      <c r="C598" s="6">
        <v>2369.37</v>
      </c>
      <c r="D598" s="7">
        <v>45653</v>
      </c>
      <c r="F598" t="s">
        <v>356</v>
      </c>
    </row>
    <row r="599" spans="1:6">
      <c r="A599" t="s">
        <v>395</v>
      </c>
      <c r="B599" s="14" t="s">
        <v>551</v>
      </c>
      <c r="C599" s="6">
        <v>2293.66</v>
      </c>
      <c r="D599" s="7">
        <v>45652</v>
      </c>
      <c r="F599" t="s">
        <v>396</v>
      </c>
    </row>
    <row r="600" spans="1:6">
      <c r="A600" t="s">
        <v>539</v>
      </c>
      <c r="B600" s="14" t="s">
        <v>524</v>
      </c>
      <c r="C600" s="6">
        <v>7897.88</v>
      </c>
      <c r="D600" s="7">
        <v>45644</v>
      </c>
      <c r="F600" t="s">
        <v>540</v>
      </c>
    </row>
    <row r="601" spans="1:6">
      <c r="A601" t="s">
        <v>530</v>
      </c>
      <c r="B601" s="14" t="s">
        <v>524</v>
      </c>
      <c r="C601" s="6">
        <v>6220.72</v>
      </c>
      <c r="D601" s="7">
        <v>45644</v>
      </c>
      <c r="F601" t="s">
        <v>531</v>
      </c>
    </row>
    <row r="602" spans="1:6">
      <c r="A602" t="s">
        <v>385</v>
      </c>
      <c r="B602" s="14" t="s">
        <v>524</v>
      </c>
      <c r="C602" s="6">
        <v>7897.88</v>
      </c>
      <c r="D602" s="7">
        <v>45644</v>
      </c>
      <c r="F602" t="s">
        <v>386</v>
      </c>
    </row>
    <row r="603" spans="1:6">
      <c r="A603" t="s">
        <v>387</v>
      </c>
      <c r="B603" s="14" t="s">
        <v>552</v>
      </c>
      <c r="C603" s="6">
        <v>2685.06</v>
      </c>
      <c r="D603" s="7">
        <v>45644</v>
      </c>
      <c r="F603" t="s">
        <v>388</v>
      </c>
    </row>
    <row r="604" spans="1:6">
      <c r="A604" t="s">
        <v>513</v>
      </c>
      <c r="B604" s="14" t="s">
        <v>553</v>
      </c>
      <c r="C604" s="6">
        <v>2548.5100000000002</v>
      </c>
      <c r="D604" s="7">
        <v>45644</v>
      </c>
      <c r="F604" t="s">
        <v>514</v>
      </c>
    </row>
    <row r="605" spans="1:6">
      <c r="A605" t="s">
        <v>365</v>
      </c>
      <c r="B605" s="14" t="s">
        <v>554</v>
      </c>
      <c r="C605" s="6">
        <v>4738.7299999999996</v>
      </c>
      <c r="D605" s="7">
        <v>45644</v>
      </c>
      <c r="F605" t="s">
        <v>366</v>
      </c>
    </row>
    <row r="606" spans="1:6">
      <c r="A606" t="s">
        <v>555</v>
      </c>
      <c r="B606" s="14" t="s">
        <v>524</v>
      </c>
      <c r="C606" s="6">
        <v>6220.72</v>
      </c>
      <c r="D606" s="7">
        <v>45644</v>
      </c>
      <c r="F606" t="s">
        <v>556</v>
      </c>
    </row>
    <row r="607" spans="1:6">
      <c r="A607" t="s">
        <v>497</v>
      </c>
      <c r="B607" s="14" t="s">
        <v>524</v>
      </c>
      <c r="C607" s="6">
        <v>6220.72</v>
      </c>
      <c r="D607" s="7">
        <v>45644</v>
      </c>
      <c r="F607" t="s">
        <v>498</v>
      </c>
    </row>
    <row r="608" spans="1:6">
      <c r="A608" t="s">
        <v>458</v>
      </c>
      <c r="B608" s="14" t="s">
        <v>524</v>
      </c>
      <c r="C608" s="6">
        <v>5922.73</v>
      </c>
      <c r="D608" s="7">
        <v>45644</v>
      </c>
      <c r="F608" t="s">
        <v>459</v>
      </c>
    </row>
    <row r="609" spans="1:6">
      <c r="A609" t="s">
        <v>495</v>
      </c>
      <c r="B609" s="14" t="s">
        <v>524</v>
      </c>
      <c r="C609" s="6">
        <v>6220.72</v>
      </c>
      <c r="D609" s="7">
        <v>45644</v>
      </c>
      <c r="F609" t="s">
        <v>496</v>
      </c>
    </row>
    <row r="610" spans="1:6">
      <c r="A610" t="s">
        <v>455</v>
      </c>
      <c r="B610" s="14" t="s">
        <v>524</v>
      </c>
      <c r="C610" s="6">
        <v>6220.72</v>
      </c>
      <c r="D610" s="7">
        <v>45644</v>
      </c>
      <c r="F610" t="s">
        <v>456</v>
      </c>
    </row>
    <row r="611" spans="1:6">
      <c r="A611" t="s">
        <v>390</v>
      </c>
      <c r="B611" s="14" t="s">
        <v>524</v>
      </c>
      <c r="C611" s="6">
        <v>7003.39</v>
      </c>
      <c r="D611" s="7">
        <v>45644</v>
      </c>
      <c r="F611" t="s">
        <v>391</v>
      </c>
    </row>
    <row r="612" spans="1:6">
      <c r="A612" t="s">
        <v>460</v>
      </c>
      <c r="B612" s="14" t="s">
        <v>524</v>
      </c>
      <c r="C612" s="6">
        <v>5922.73</v>
      </c>
      <c r="D612" s="7">
        <v>45644</v>
      </c>
      <c r="F612" t="s">
        <v>461</v>
      </c>
    </row>
    <row r="613" spans="1:6">
      <c r="A613" t="s">
        <v>462</v>
      </c>
      <c r="B613" s="14" t="s">
        <v>524</v>
      </c>
      <c r="C613" s="6">
        <v>7730.17</v>
      </c>
      <c r="D613" s="7">
        <v>45644</v>
      </c>
      <c r="F613" t="s">
        <v>463</v>
      </c>
    </row>
    <row r="614" spans="1:6">
      <c r="A614" t="s">
        <v>393</v>
      </c>
      <c r="B614" s="14" t="s">
        <v>524</v>
      </c>
      <c r="C614" s="6">
        <v>6947.48</v>
      </c>
      <c r="D614" s="7">
        <v>45644</v>
      </c>
      <c r="F614" t="s">
        <v>394</v>
      </c>
    </row>
    <row r="615" spans="1:6">
      <c r="A615" t="s">
        <v>468</v>
      </c>
      <c r="B615" s="14" t="s">
        <v>524</v>
      </c>
      <c r="C615" s="6">
        <v>6220.72</v>
      </c>
      <c r="D615" s="7">
        <v>45644</v>
      </c>
      <c r="F615" t="s">
        <v>469</v>
      </c>
    </row>
    <row r="616" spans="1:6">
      <c r="A616" t="s">
        <v>520</v>
      </c>
      <c r="B616" s="14" t="s">
        <v>524</v>
      </c>
      <c r="C616" s="6">
        <v>6021.94</v>
      </c>
      <c r="D616" s="7">
        <v>45644</v>
      </c>
      <c r="F616" t="s">
        <v>521</v>
      </c>
    </row>
    <row r="617" spans="1:6">
      <c r="A617" t="s">
        <v>518</v>
      </c>
      <c r="B617" s="14" t="s">
        <v>524</v>
      </c>
      <c r="C617" s="6">
        <v>6220.72</v>
      </c>
      <c r="D617" s="7">
        <v>45644</v>
      </c>
      <c r="F617" t="s">
        <v>519</v>
      </c>
    </row>
    <row r="618" spans="1:6">
      <c r="A618" t="s">
        <v>541</v>
      </c>
      <c r="B618" s="14" t="s">
        <v>524</v>
      </c>
      <c r="C618" s="6">
        <v>6220.72</v>
      </c>
      <c r="D618" s="7">
        <v>45644</v>
      </c>
      <c r="F618" t="s">
        <v>542</v>
      </c>
    </row>
    <row r="619" spans="1:6">
      <c r="A619" t="s">
        <v>455</v>
      </c>
      <c r="B619" s="14" t="s">
        <v>557</v>
      </c>
      <c r="C619" s="6">
        <v>6428.07</v>
      </c>
      <c r="D619" s="7">
        <v>45637</v>
      </c>
      <c r="F619" t="s">
        <v>456</v>
      </c>
    </row>
    <row r="620" spans="1:6">
      <c r="A620" t="s">
        <v>558</v>
      </c>
      <c r="B620" s="14" t="s">
        <v>559</v>
      </c>
      <c r="C620" s="6">
        <v>411.83</v>
      </c>
      <c r="D620" s="7">
        <v>45630</v>
      </c>
      <c r="F620" t="s">
        <v>560</v>
      </c>
    </row>
    <row r="621" spans="1:6">
      <c r="A621" t="s">
        <v>561</v>
      </c>
      <c r="B621" s="14" t="s">
        <v>562</v>
      </c>
      <c r="C621" s="6">
        <v>411.83</v>
      </c>
      <c r="D621" s="7">
        <v>45630</v>
      </c>
      <c r="F621" t="s">
        <v>563</v>
      </c>
    </row>
    <row r="622" spans="1:6">
      <c r="A622" t="s">
        <v>495</v>
      </c>
      <c r="B622" s="14" t="s">
        <v>557</v>
      </c>
      <c r="C622" s="6">
        <v>6120.15</v>
      </c>
      <c r="D622" s="7">
        <v>45630</v>
      </c>
      <c r="F622" t="s">
        <v>496</v>
      </c>
    </row>
    <row r="623" spans="1:6">
      <c r="A623" t="s">
        <v>539</v>
      </c>
      <c r="B623" s="14" t="s">
        <v>564</v>
      </c>
      <c r="C623" s="6">
        <v>4475.46</v>
      </c>
      <c r="D623" s="7">
        <v>45621</v>
      </c>
      <c r="F623" t="s">
        <v>540</v>
      </c>
    </row>
    <row r="624" spans="1:6">
      <c r="A624" t="s">
        <v>530</v>
      </c>
      <c r="B624" s="14" t="s">
        <v>557</v>
      </c>
      <c r="C624" s="6">
        <v>7043.03</v>
      </c>
      <c r="D624" s="7">
        <v>45621</v>
      </c>
      <c r="F624" t="s">
        <v>531</v>
      </c>
    </row>
    <row r="625" spans="1:6">
      <c r="A625" t="s">
        <v>385</v>
      </c>
      <c r="B625" s="14" t="s">
        <v>565</v>
      </c>
      <c r="C625" s="6">
        <v>3685.68</v>
      </c>
      <c r="D625" s="7">
        <v>45621</v>
      </c>
      <c r="F625" t="s">
        <v>386</v>
      </c>
    </row>
    <row r="626" spans="1:6">
      <c r="A626" t="s">
        <v>555</v>
      </c>
      <c r="B626" s="14" t="s">
        <v>557</v>
      </c>
      <c r="C626" s="6">
        <v>6428.07</v>
      </c>
      <c r="D626" s="7">
        <v>45621</v>
      </c>
      <c r="F626" t="s">
        <v>556</v>
      </c>
    </row>
    <row r="627" spans="1:6">
      <c r="A627" t="s">
        <v>497</v>
      </c>
      <c r="B627" s="14" t="s">
        <v>557</v>
      </c>
      <c r="C627" s="6">
        <v>6428.07</v>
      </c>
      <c r="D627" s="7">
        <v>45621</v>
      </c>
      <c r="F627" t="s">
        <v>498</v>
      </c>
    </row>
    <row r="628" spans="1:6">
      <c r="A628" t="s">
        <v>458</v>
      </c>
      <c r="B628" s="14" t="s">
        <v>557</v>
      </c>
      <c r="C628" s="6">
        <v>6120.15</v>
      </c>
      <c r="D628" s="7">
        <v>45621</v>
      </c>
      <c r="F628" t="s">
        <v>459</v>
      </c>
    </row>
    <row r="629" spans="1:6">
      <c r="A629" t="s">
        <v>390</v>
      </c>
      <c r="B629" s="14" t="s">
        <v>557</v>
      </c>
      <c r="C629" s="6">
        <v>8161.15</v>
      </c>
      <c r="D629" s="7">
        <v>45621</v>
      </c>
      <c r="F629" t="s">
        <v>391</v>
      </c>
    </row>
    <row r="630" spans="1:6">
      <c r="A630" t="s">
        <v>460</v>
      </c>
      <c r="B630" s="14" t="s">
        <v>557</v>
      </c>
      <c r="C630" s="6">
        <v>7184.71</v>
      </c>
      <c r="D630" s="7">
        <v>45621</v>
      </c>
      <c r="F630" t="s">
        <v>461</v>
      </c>
    </row>
    <row r="631" spans="1:6">
      <c r="A631" t="s">
        <v>462</v>
      </c>
      <c r="B631" s="14" t="s">
        <v>557</v>
      </c>
      <c r="C631" s="6">
        <v>8161.15</v>
      </c>
      <c r="D631" s="7">
        <v>45621</v>
      </c>
      <c r="F631" t="s">
        <v>463</v>
      </c>
    </row>
    <row r="632" spans="1:6">
      <c r="A632" t="s">
        <v>393</v>
      </c>
      <c r="B632" s="14" t="s">
        <v>557</v>
      </c>
      <c r="C632" s="6">
        <v>8161.15</v>
      </c>
      <c r="D632" s="7">
        <v>45621</v>
      </c>
      <c r="F632" t="s">
        <v>394</v>
      </c>
    </row>
    <row r="633" spans="1:6">
      <c r="A633" t="s">
        <v>468</v>
      </c>
      <c r="B633" s="14" t="s">
        <v>557</v>
      </c>
      <c r="C633" s="6">
        <v>6428.07</v>
      </c>
      <c r="D633" s="7">
        <v>45621</v>
      </c>
      <c r="F633" t="s">
        <v>469</v>
      </c>
    </row>
    <row r="634" spans="1:6">
      <c r="A634" t="s">
        <v>520</v>
      </c>
      <c r="B634" s="14" t="s">
        <v>557</v>
      </c>
      <c r="C634" s="6">
        <v>6222.68</v>
      </c>
      <c r="D634" s="7">
        <v>45621</v>
      </c>
      <c r="F634" t="s">
        <v>521</v>
      </c>
    </row>
    <row r="635" spans="1:6">
      <c r="A635" t="s">
        <v>523</v>
      </c>
      <c r="B635" s="14" t="s">
        <v>557</v>
      </c>
      <c r="C635" s="6">
        <v>6428.07</v>
      </c>
      <c r="D635" s="7">
        <v>45621</v>
      </c>
      <c r="F635" t="s">
        <v>525</v>
      </c>
    </row>
    <row r="636" spans="1:6">
      <c r="A636" t="s">
        <v>518</v>
      </c>
      <c r="B636" s="14" t="s">
        <v>557</v>
      </c>
      <c r="C636" s="6">
        <v>6428.07</v>
      </c>
      <c r="D636" s="7">
        <v>45621</v>
      </c>
      <c r="F636" t="s">
        <v>519</v>
      </c>
    </row>
    <row r="637" spans="1:6">
      <c r="A637" t="s">
        <v>541</v>
      </c>
      <c r="B637" s="14" t="s">
        <v>557</v>
      </c>
      <c r="C637" s="6">
        <v>6428.07</v>
      </c>
      <c r="D637" s="7">
        <v>45621</v>
      </c>
      <c r="F637" t="s">
        <v>542</v>
      </c>
    </row>
    <row r="638" spans="1:6">
      <c r="A638" t="s">
        <v>495</v>
      </c>
      <c r="B638" s="14" t="s">
        <v>566</v>
      </c>
      <c r="C638" s="6">
        <v>7057.39</v>
      </c>
      <c r="D638" s="7">
        <v>45615</v>
      </c>
      <c r="F638" t="s">
        <v>496</v>
      </c>
    </row>
    <row r="639" spans="1:6">
      <c r="A639" t="s">
        <v>495</v>
      </c>
      <c r="B639" s="14" t="s">
        <v>567</v>
      </c>
      <c r="C639" s="6">
        <v>7669.52</v>
      </c>
      <c r="D639" s="7">
        <v>45597</v>
      </c>
      <c r="F639" t="s">
        <v>496</v>
      </c>
    </row>
    <row r="640" spans="1:6">
      <c r="A640" t="s">
        <v>555</v>
      </c>
      <c r="B640" s="14" t="s">
        <v>566</v>
      </c>
      <c r="C640" s="6">
        <v>6182.73</v>
      </c>
      <c r="D640" s="7">
        <v>45595</v>
      </c>
      <c r="F640" t="s">
        <v>556</v>
      </c>
    </row>
    <row r="641" spans="1:6">
      <c r="A641" t="s">
        <v>497</v>
      </c>
      <c r="B641" s="14" t="s">
        <v>566</v>
      </c>
      <c r="C641" s="6">
        <v>6182.73</v>
      </c>
      <c r="D641" s="7">
        <v>45595</v>
      </c>
      <c r="F641" t="s">
        <v>498</v>
      </c>
    </row>
    <row r="642" spans="1:6">
      <c r="A642" t="s">
        <v>462</v>
      </c>
      <c r="B642" s="14" t="s">
        <v>568</v>
      </c>
      <c r="C642" s="6">
        <v>494.81</v>
      </c>
      <c r="D642" s="7">
        <v>45595</v>
      </c>
      <c r="F642" t="s">
        <v>463</v>
      </c>
    </row>
    <row r="643" spans="1:6">
      <c r="A643" t="s">
        <v>460</v>
      </c>
      <c r="B643" s="14" t="s">
        <v>566</v>
      </c>
      <c r="C643" s="6">
        <v>7422.12</v>
      </c>
      <c r="D643" s="7">
        <v>45594</v>
      </c>
      <c r="F643" t="s">
        <v>461</v>
      </c>
    </row>
    <row r="644" spans="1:6">
      <c r="A644" t="s">
        <v>530</v>
      </c>
      <c r="B644" s="14" t="s">
        <v>566</v>
      </c>
      <c r="C644" s="6">
        <v>7832.21</v>
      </c>
      <c r="D644" s="7">
        <v>45590</v>
      </c>
      <c r="F644" t="s">
        <v>531</v>
      </c>
    </row>
    <row r="645" spans="1:6">
      <c r="A645" t="s">
        <v>458</v>
      </c>
      <c r="B645" s="14" t="s">
        <v>566</v>
      </c>
      <c r="C645" s="6">
        <v>5859.01</v>
      </c>
      <c r="D645" s="7">
        <v>45590</v>
      </c>
      <c r="F645" t="s">
        <v>459</v>
      </c>
    </row>
    <row r="646" spans="1:6">
      <c r="A646" t="s">
        <v>455</v>
      </c>
      <c r="B646" s="14" t="s">
        <v>566</v>
      </c>
      <c r="C646" s="6">
        <v>6182.73</v>
      </c>
      <c r="D646" s="7">
        <v>45590</v>
      </c>
      <c r="F646" t="s">
        <v>456</v>
      </c>
    </row>
    <row r="647" spans="1:6">
      <c r="A647" t="s">
        <v>390</v>
      </c>
      <c r="B647" s="14" t="s">
        <v>569</v>
      </c>
      <c r="C647" s="6">
        <v>3916.11</v>
      </c>
      <c r="D647" s="7">
        <v>45590</v>
      </c>
      <c r="F647" t="s">
        <v>391</v>
      </c>
    </row>
    <row r="648" spans="1:6">
      <c r="A648" t="s">
        <v>393</v>
      </c>
      <c r="B648" s="14" t="s">
        <v>570</v>
      </c>
      <c r="C648" s="6">
        <v>4177.18</v>
      </c>
      <c r="D648" s="7">
        <v>45590</v>
      </c>
      <c r="F648" t="s">
        <v>394</v>
      </c>
    </row>
    <row r="649" spans="1:6">
      <c r="A649" t="s">
        <v>468</v>
      </c>
      <c r="B649" s="14" t="s">
        <v>566</v>
      </c>
      <c r="C649" s="6">
        <v>7667.27</v>
      </c>
      <c r="D649" s="7">
        <v>45590</v>
      </c>
      <c r="F649" t="s">
        <v>469</v>
      </c>
    </row>
    <row r="650" spans="1:6">
      <c r="A650" t="s">
        <v>520</v>
      </c>
      <c r="B650" s="14" t="s">
        <v>566</v>
      </c>
      <c r="C650" s="6">
        <v>6062.67</v>
      </c>
      <c r="D650" s="7">
        <v>45590</v>
      </c>
      <c r="F650" t="s">
        <v>521</v>
      </c>
    </row>
    <row r="651" spans="1:6">
      <c r="A651" t="s">
        <v>523</v>
      </c>
      <c r="B651" s="14" t="s">
        <v>566</v>
      </c>
      <c r="C651" s="6">
        <v>6182.73</v>
      </c>
      <c r="D651" s="7">
        <v>45590</v>
      </c>
      <c r="F651" t="s">
        <v>525</v>
      </c>
    </row>
    <row r="652" spans="1:6">
      <c r="A652" t="s">
        <v>518</v>
      </c>
      <c r="B652" s="14" t="s">
        <v>566</v>
      </c>
      <c r="C652" s="6">
        <v>6182.73</v>
      </c>
      <c r="D652" s="7">
        <v>45590</v>
      </c>
      <c r="F652" t="s">
        <v>519</v>
      </c>
    </row>
    <row r="653" spans="1:6">
      <c r="A653" t="s">
        <v>541</v>
      </c>
      <c r="B653" s="14" t="s">
        <v>566</v>
      </c>
      <c r="C653" s="6">
        <v>4913.93</v>
      </c>
      <c r="D653" s="7">
        <v>45590</v>
      </c>
      <c r="F653" t="s">
        <v>542</v>
      </c>
    </row>
    <row r="654" spans="1:6">
      <c r="A654" t="s">
        <v>460</v>
      </c>
      <c r="B654" s="14" t="s">
        <v>571</v>
      </c>
      <c r="C654" s="6">
        <v>2474.04</v>
      </c>
      <c r="D654" s="7">
        <v>45588</v>
      </c>
      <c r="F654" t="s">
        <v>461</v>
      </c>
    </row>
    <row r="655" spans="1:6">
      <c r="A655" t="s">
        <v>455</v>
      </c>
      <c r="B655" s="14" t="s">
        <v>567</v>
      </c>
      <c r="C655" s="6">
        <v>7598.44</v>
      </c>
      <c r="D655" s="7">
        <v>45572</v>
      </c>
      <c r="F655" t="s">
        <v>456</v>
      </c>
    </row>
    <row r="656" spans="1:6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K655">
    <sortCondition descending="1" ref="D2:D655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A2" sqref="A2:H65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572</v>
      </c>
      <c r="B2" s="14" t="s">
        <v>573</v>
      </c>
      <c r="C2" s="6">
        <v>3198.12</v>
      </c>
      <c r="D2" s="7">
        <v>46111</v>
      </c>
      <c r="E2" t="s">
        <v>237</v>
      </c>
      <c r="F2" t="s">
        <v>574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1" sqref="G11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3">_xlfn.UNIQUE('Future payment'!D:D)</f>
        <v>Paid Date</v>
      </c>
      <c r="D1" t="s">
        <v>4</v>
      </c>
      <c r="F1" s="3" t="str" cm="1">
        <f t="array" ref="F1:F100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3198.12</v>
      </c>
      <c r="C2" s="1">
        <f>VLOOKUP(A2,PAYMENTS!A:D,3,FALSE)</f>
        <v>3198.12</v>
      </c>
      <c r="D2" t="str">
        <f t="shared" ref="D2:D17" si="0">IF(ISNA(C2),"",IF(B2=C2,"Equal","Not Equal"))</f>
        <v>Equal</v>
      </c>
      <c r="F2" s="3">
        <v>46101</v>
      </c>
      <c r="G2" s="1">
        <f>SUMIF('Payment Summary'!D:D,'Future Summary'!F2,'Payment Summary'!C:C)</f>
        <v>89980.549999999988</v>
      </c>
      <c r="H2" s="1">
        <f>VLOOKUP(F2,PAYMENTS!A:C,3,FALSE)</f>
        <v>89980.55</v>
      </c>
      <c r="I2" t="str">
        <f t="shared" ref="I2:I17" si="1">IF(G2=H2,"Equal","Not Equal")</f>
        <v>Equal</v>
      </c>
    </row>
    <row r="3" spans="1:19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46091</v>
      </c>
      <c r="G3" s="1">
        <f>SUMIF('Payment Summary'!D:D,'Future Summary'!F3,'Payment Summary'!C:C)</f>
        <v>2269.73</v>
      </c>
      <c r="H3" s="1">
        <f>VLOOKUP(F3,PAYMENTS!A:C,3,FALSE)</f>
        <v>2269.73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46083</v>
      </c>
      <c r="G4" s="1">
        <f>SUMIF('Payment Summary'!D:D,'Future Summary'!F4,'Payment Summary'!C:C)</f>
        <v>6162.09</v>
      </c>
      <c r="H4" s="1">
        <f>VLOOKUP(F4,PAYMENTS!A:C,3,FALSE)</f>
        <v>6162.09</v>
      </c>
      <c r="I4" t="str">
        <f t="shared" si="1"/>
        <v>Equal</v>
      </c>
      <c r="P4" s="9" t="s">
        <v>575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46079</v>
      </c>
      <c r="G5" s="1">
        <f>SUMIF('Payment Summary'!D:D,'Future Summary'!F5,'Payment Summary'!C:C)</f>
        <v>1563.4</v>
      </c>
      <c r="H5" s="1">
        <f>VLOOKUP(F5,PAYMENTS!A:C,3,FALSE)</f>
        <v>1563.4</v>
      </c>
      <c r="I5" t="str">
        <f t="shared" si="1"/>
        <v>Equal</v>
      </c>
      <c r="P5" s="9" t="s">
        <v>575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46077</v>
      </c>
      <c r="G6" s="1">
        <f>SUMIF('Payment Summary'!D:D,'Future Summary'!F6,'Payment Summary'!C:C)</f>
        <v>46851.5</v>
      </c>
      <c r="H6" s="1">
        <f>VLOOKUP(F6,PAYMENTS!A:C,3,FALSE)</f>
        <v>46851.5</v>
      </c>
      <c r="I6" t="str">
        <f t="shared" si="1"/>
        <v>Equal</v>
      </c>
      <c r="P6" s="9" t="s">
        <v>575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46065</v>
      </c>
      <c r="G7" s="1">
        <f>SUMIF('Payment Summary'!D:D,'Future Summary'!F7,'Payment Summary'!C:C)</f>
        <v>12514.09</v>
      </c>
      <c r="H7" s="1">
        <f>VLOOKUP(F7,PAYMENTS!A:C,3,FALSE)</f>
        <v>12514.09</v>
      </c>
      <c r="I7" t="str">
        <f t="shared" si="1"/>
        <v>Equal</v>
      </c>
      <c r="P7" s="9" t="s">
        <v>575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46058</v>
      </c>
      <c r="G8" s="1">
        <f>SUMIF('Payment Summary'!D:D,'Future Summary'!F8,'Payment Summary'!C:C)</f>
        <v>105357.57</v>
      </c>
      <c r="H8" s="1">
        <f>VLOOKUP(F8,PAYMENTS!A:C,3,FALSE)</f>
        <v>105357.57</v>
      </c>
      <c r="I8" t="str">
        <f t="shared" si="1"/>
        <v>Equal</v>
      </c>
      <c r="P8" s="9" t="s">
        <v>575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46035</v>
      </c>
      <c r="G9" s="1">
        <f>SUMIF('Payment Summary'!D:D,'Future Summary'!F9,'Payment Summary'!C:C)</f>
        <v>1316.83</v>
      </c>
      <c r="H9" s="1">
        <f>VLOOKUP(F9,PAYMENTS!A:C,3,FALSE)</f>
        <v>1316.83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46031</v>
      </c>
      <c r="G10" s="1">
        <f>SUMIF('Payment Summary'!D:D,'Future Summary'!F10,'Payment Summary'!C:C)</f>
        <v>7714.61</v>
      </c>
      <c r="H10" s="1">
        <f>VLOOKUP(F10,PAYMENTS!A:C,3,FALSE)</f>
        <v>7714.61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46020</v>
      </c>
      <c r="G11" s="1">
        <f>SUMIF('Payment Summary'!D:D,'Future Summary'!F11,'Payment Summary'!C:C)</f>
        <v>9083.33</v>
      </c>
      <c r="H11" s="1">
        <f>VLOOKUP(F11,PAYMENTS!A:C,3,FALSE)</f>
        <v>9088.56</v>
      </c>
      <c r="I11" t="str">
        <f t="shared" si="1"/>
        <v>Not 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46013</v>
      </c>
      <c r="G12" s="1">
        <f>SUMIF('Payment Summary'!D:D,'Future Summary'!F12,'Payment Summary'!C:C)</f>
        <v>124476.98000000001</v>
      </c>
      <c r="H12" s="1">
        <f>VLOOKUP(F12,PAYMENTS!A:C,3,FALSE)</f>
        <v>124476.98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46010</v>
      </c>
      <c r="G13" s="1">
        <f>SUMIF('Payment Summary'!D:D,'Future Summary'!F13,'Payment Summary'!C:C)</f>
        <v>13079.39</v>
      </c>
      <c r="H13" s="1">
        <f>VLOOKUP(F13,PAYMENTS!A:C,3,FALSE)</f>
        <v>13079.39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46003</v>
      </c>
      <c r="G14" s="1">
        <f>SUMIF('Payment Summary'!D:D,'Future Summary'!F14,'Payment Summary'!C:C)</f>
        <v>7817.96</v>
      </c>
      <c r="H14" s="1">
        <f>VLOOKUP(F14,PAYMENTS!A:C,3,FALSE)</f>
        <v>7817.96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46002</v>
      </c>
      <c r="G15" s="1">
        <f>SUMIF('Payment Summary'!D:D,'Future Summary'!F15,'Payment Summary'!C:C)</f>
        <v>8555.36</v>
      </c>
      <c r="H15" s="1">
        <f>VLOOKUP(F15,PAYMENTS!A:C,3,FALSE)</f>
        <v>8555.36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46001</v>
      </c>
      <c r="G16" s="1">
        <f>SUMIF('Payment Summary'!D:D,'Future Summary'!F16,'Payment Summary'!C:C)</f>
        <v>8261.82</v>
      </c>
      <c r="H16" s="1">
        <f>VLOOKUP(F16,PAYMENTS!A:C,3,FALSE)</f>
        <v>1568.25</v>
      </c>
      <c r="I16" t="str">
        <f t="shared" si="1"/>
        <v>Not 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45993</v>
      </c>
      <c r="G17" s="1">
        <f>SUMIF('Payment Summary'!D:D,'Future Summary'!F17,'Payment Summary'!C:C)</f>
        <v>6615.15</v>
      </c>
      <c r="H17" s="1">
        <f>VLOOKUP(F17,PAYMENTS!A:C,3,FALSE)</f>
        <v>0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45985</v>
      </c>
      <c r="G18" s="1"/>
      <c r="H18" s="1"/>
    </row>
    <row r="19" spans="2:9" ht="12.75" customHeight="1">
      <c r="B19" s="1" t="e">
        <f>SUMIF(#REF!,#REF!,#REF!)</f>
        <v>#REF!</v>
      </c>
      <c r="F19" s="3">
        <v>45982</v>
      </c>
      <c r="G19" s="1"/>
      <c r="H19" s="1"/>
    </row>
    <row r="20" spans="2:9" ht="12.75" customHeight="1">
      <c r="B20" s="1" t="e">
        <f>SUMIF(#REF!,#REF!,#REF!)</f>
        <v>#REF!</v>
      </c>
      <c r="F20" s="3">
        <v>45960</v>
      </c>
      <c r="G20" s="1"/>
      <c r="H20" s="1"/>
    </row>
    <row r="21" spans="2:9" ht="12.75" customHeight="1">
      <c r="B21" s="1" t="e">
        <f>SUMIF(#REF!,#REF!,#REF!)</f>
        <v>#REF!</v>
      </c>
      <c r="F21" s="3">
        <v>45959</v>
      </c>
      <c r="G21" s="1"/>
      <c r="H21" s="1"/>
    </row>
    <row r="22" spans="2:9" ht="12.75" customHeight="1">
      <c r="B22" s="1" t="e">
        <f>SUMIF(#REF!,#REF!,#REF!)</f>
        <v>#REF!</v>
      </c>
      <c r="F22" s="3">
        <v>45952</v>
      </c>
      <c r="G22" s="1"/>
      <c r="H22" s="1"/>
    </row>
    <row r="23" spans="2:9" ht="12.75" customHeight="1">
      <c r="B23" s="1" t="e">
        <f>SUMIF(#REF!,#REF!,#REF!)</f>
        <v>#REF!</v>
      </c>
      <c r="F23" s="3">
        <v>45945</v>
      </c>
      <c r="G23" s="1"/>
      <c r="H23" s="1"/>
    </row>
    <row r="24" spans="2:9" ht="12.75" customHeight="1">
      <c r="B24" s="1" t="e">
        <f>SUMIF(#REF!,#REF!,#REF!)</f>
        <v>#REF!</v>
      </c>
      <c r="F24" s="3">
        <v>45936</v>
      </c>
      <c r="G24" s="1"/>
      <c r="H24" s="1"/>
    </row>
    <row r="25" spans="2:9" ht="12.75" customHeight="1">
      <c r="B25" s="1" t="e">
        <f>SUMIF(#REF!,#REF!,#REF!)</f>
        <v>#REF!</v>
      </c>
      <c r="F25" s="3">
        <v>45930</v>
      </c>
      <c r="G25" s="1"/>
      <c r="H25" s="1"/>
    </row>
    <row r="26" spans="2:9" ht="12.75" customHeight="1">
      <c r="B26" s="1" t="e">
        <f>SUMIF(#REF!,#REF!,#REF!)</f>
        <v>#REF!</v>
      </c>
      <c r="F26" s="3">
        <v>45929</v>
      </c>
      <c r="G26" s="1"/>
      <c r="H26" s="1"/>
    </row>
    <row r="27" spans="2:9" ht="12.75" customHeight="1">
      <c r="B27" s="1" t="e">
        <f>SUMIF(#REF!,#REF!,#REF!)</f>
        <v>#REF!</v>
      </c>
      <c r="F27" s="3">
        <v>45923</v>
      </c>
      <c r="G27" s="1"/>
      <c r="H27" s="1"/>
    </row>
    <row r="28" spans="2:9" ht="12.75" customHeight="1">
      <c r="B28" s="1" t="e">
        <f>SUMIF(#REF!,#REF!,#REF!)</f>
        <v>#REF!</v>
      </c>
      <c r="F28" s="3">
        <v>45922</v>
      </c>
      <c r="G28" s="1"/>
      <c r="H28" s="1"/>
    </row>
    <row r="29" spans="2:9" ht="12.75" customHeight="1">
      <c r="B29" s="1" t="e">
        <f>SUMIF(#REF!,#REF!,#REF!)</f>
        <v>#REF!</v>
      </c>
      <c r="F29" s="3">
        <v>45897</v>
      </c>
      <c r="G29" s="1"/>
      <c r="H29" s="1"/>
    </row>
    <row r="30" spans="2:9" ht="12.75" customHeight="1">
      <c r="B30" s="1" t="e">
        <f>SUMIF(#REF!,#REF!,#REF!)</f>
        <v>#REF!</v>
      </c>
      <c r="F30" s="3">
        <v>45895</v>
      </c>
      <c r="G30" s="1"/>
      <c r="H30" s="1"/>
    </row>
    <row r="31" spans="2:9" ht="12.75" customHeight="1">
      <c r="B31" s="1" t="e">
        <f>SUMIF(#REF!,#REF!,#REF!)</f>
        <v>#REF!</v>
      </c>
      <c r="F31" s="3">
        <v>45894</v>
      </c>
      <c r="G31" s="1"/>
      <c r="H31" s="1"/>
    </row>
    <row r="32" spans="2:9" ht="12.75" customHeight="1">
      <c r="B32" s="1" t="e">
        <f>SUMIF(#REF!,#REF!,#REF!)</f>
        <v>#REF!</v>
      </c>
      <c r="F32" s="3">
        <v>45891</v>
      </c>
      <c r="G32" s="1"/>
      <c r="H32" s="1"/>
    </row>
    <row r="33" spans="2:8" ht="12.75" customHeight="1">
      <c r="B33" s="1" t="e">
        <f>SUMIF(#REF!,#REF!,#REF!)</f>
        <v>#REF!</v>
      </c>
      <c r="F33" s="3">
        <v>45890</v>
      </c>
      <c r="G33" s="1"/>
      <c r="H33" s="1"/>
    </row>
    <row r="34" spans="2:8" ht="12.75" customHeight="1">
      <c r="B34" s="1" t="e">
        <f>SUMIF(#REF!,#REF!,#REF!)</f>
        <v>#REF!</v>
      </c>
      <c r="F34" s="3">
        <v>45889</v>
      </c>
      <c r="G34" s="1"/>
      <c r="H34" s="1"/>
    </row>
    <row r="35" spans="2:8" ht="12.75" customHeight="1">
      <c r="B35" s="1" t="e">
        <f>SUMIF(#REF!,#REF!,#REF!)</f>
        <v>#REF!</v>
      </c>
      <c r="F35" s="3">
        <v>45888</v>
      </c>
      <c r="G35" s="1"/>
      <c r="H35" s="1"/>
    </row>
    <row r="36" spans="2:8" ht="12.75" customHeight="1">
      <c r="B36" s="1" t="e">
        <f>SUMIF(#REF!,#REF!,#REF!)</f>
        <v>#REF!</v>
      </c>
      <c r="F36" s="3">
        <v>45870</v>
      </c>
      <c r="G36" s="1"/>
      <c r="H36" s="1"/>
    </row>
    <row r="37" spans="2:8" ht="12.75" customHeight="1">
      <c r="B37" s="1" t="e">
        <f>SUMIF(#REF!,#REF!,#REF!)</f>
        <v>#REF!</v>
      </c>
      <c r="F37" s="3">
        <v>45869</v>
      </c>
      <c r="G37" s="1"/>
      <c r="H37" s="1"/>
    </row>
    <row r="38" spans="2:8" ht="12.75" customHeight="1">
      <c r="B38" s="1" t="e">
        <f>SUMIF(#REF!,#REF!,#REF!)</f>
        <v>#REF!</v>
      </c>
      <c r="F38" s="3">
        <v>45866</v>
      </c>
      <c r="G38" s="1"/>
      <c r="H38" s="1"/>
    </row>
    <row r="39" spans="2:8" ht="12.75" customHeight="1">
      <c r="B39" s="1" t="e">
        <f>SUMIF(#REF!,#REF!,#REF!)</f>
        <v>#REF!</v>
      </c>
      <c r="F39" s="3">
        <v>45862</v>
      </c>
      <c r="G39" s="1"/>
      <c r="H39" s="1"/>
    </row>
    <row r="40" spans="2:8" ht="12.75" customHeight="1">
      <c r="B40" s="1" t="e">
        <f>SUMIF(#REF!,#REF!,#REF!)</f>
        <v>#REF!</v>
      </c>
      <c r="F40" s="3">
        <v>45861</v>
      </c>
      <c r="G40" s="1"/>
      <c r="H40" s="1"/>
    </row>
    <row r="41" spans="2:8" ht="12.75" customHeight="1">
      <c r="B41" s="1" t="e">
        <f>SUMIF(#REF!,#REF!,#REF!)</f>
        <v>#REF!</v>
      </c>
      <c r="F41" s="3">
        <v>45860</v>
      </c>
      <c r="G41" s="1"/>
      <c r="H41" s="1"/>
    </row>
    <row r="42" spans="2:8" ht="12.75" customHeight="1">
      <c r="B42" s="1" t="e">
        <f>SUMIF(#REF!,#REF!,#REF!)</f>
        <v>#REF!</v>
      </c>
      <c r="F42" s="3">
        <v>45852</v>
      </c>
      <c r="G42" s="1"/>
      <c r="H42" s="1"/>
    </row>
    <row r="43" spans="2:8" ht="12.75" customHeight="1">
      <c r="F43" s="3">
        <v>45835</v>
      </c>
      <c r="G43" s="1"/>
      <c r="H43" s="1"/>
    </row>
    <row r="44" spans="2:8" ht="12.75" customHeight="1">
      <c r="F44" s="3">
        <v>45834</v>
      </c>
      <c r="G44" s="1"/>
      <c r="H44" s="1"/>
    </row>
    <row r="45" spans="2:8" ht="12.75" customHeight="1">
      <c r="F45" s="3">
        <v>45832</v>
      </c>
      <c r="G45" s="1"/>
      <c r="H45" s="1"/>
    </row>
    <row r="46" spans="2:8" ht="12.75" customHeight="1">
      <c r="F46" s="3">
        <v>45831</v>
      </c>
      <c r="G46" s="1"/>
      <c r="H46" s="1"/>
    </row>
    <row r="47" spans="2:8" ht="12.75" customHeight="1">
      <c r="F47" s="3">
        <v>45828</v>
      </c>
      <c r="G47" s="1"/>
      <c r="H47" s="1"/>
    </row>
    <row r="48" spans="2:8" ht="12.75" customHeight="1">
      <c r="F48" s="3">
        <v>45824</v>
      </c>
      <c r="G48" s="1"/>
      <c r="H48" s="1"/>
    </row>
    <row r="49" spans="6:8" ht="12.75" customHeight="1">
      <c r="F49" s="3">
        <v>45821</v>
      </c>
      <c r="G49" s="1"/>
      <c r="H49" s="1"/>
    </row>
    <row r="50" spans="6:8" ht="12.75" customHeight="1">
      <c r="F50" s="3">
        <v>45819</v>
      </c>
      <c r="G50" s="1"/>
      <c r="H50" s="1"/>
    </row>
    <row r="51" spans="6:8" ht="12.75" customHeight="1">
      <c r="F51" s="3">
        <v>45817</v>
      </c>
      <c r="G51" s="1"/>
      <c r="H51" s="1"/>
    </row>
    <row r="52" spans="6:8" ht="12.75" customHeight="1">
      <c r="F52" s="3">
        <v>45814</v>
      </c>
      <c r="G52" s="1"/>
      <c r="H52" s="1"/>
    </row>
    <row r="53" spans="6:8" ht="12.75" customHeight="1">
      <c r="F53" s="3">
        <v>45804</v>
      </c>
      <c r="G53" s="1"/>
      <c r="H53" s="1"/>
    </row>
    <row r="54" spans="6:8" ht="12.75" customHeight="1">
      <c r="F54" s="3">
        <v>45799</v>
      </c>
      <c r="G54" s="1"/>
      <c r="H54" s="1"/>
    </row>
    <row r="55" spans="6:8" ht="12.75" customHeight="1">
      <c r="F55" s="3">
        <v>45776</v>
      </c>
      <c r="G55" s="1"/>
      <c r="H55" s="1"/>
    </row>
    <row r="56" spans="6:8" ht="12.75" customHeight="1">
      <c r="F56" s="3">
        <v>45771</v>
      </c>
      <c r="G56" s="1"/>
      <c r="H56" s="1"/>
    </row>
    <row r="57" spans="6:8" ht="12.75" customHeight="1">
      <c r="F57" s="3">
        <v>45769</v>
      </c>
      <c r="G57" s="1"/>
      <c r="H57" s="1"/>
    </row>
    <row r="58" spans="6:8" ht="12.75" customHeight="1">
      <c r="F58" s="3">
        <v>45768</v>
      </c>
      <c r="G58" s="1"/>
      <c r="H58" s="1"/>
    </row>
    <row r="59" spans="6:8" ht="12.75" customHeight="1">
      <c r="F59" s="3">
        <v>45761</v>
      </c>
      <c r="G59" s="1"/>
      <c r="H59" s="1"/>
    </row>
    <row r="60" spans="6:8" ht="12.75" customHeight="1">
      <c r="F60" s="3">
        <v>45754</v>
      </c>
      <c r="G60" s="1"/>
      <c r="H60" s="1"/>
    </row>
    <row r="61" spans="6:8" ht="12.75" customHeight="1">
      <c r="F61" s="3">
        <v>45748</v>
      </c>
      <c r="G61" s="1"/>
      <c r="H61" s="1"/>
    </row>
    <row r="62" spans="6:8" ht="12.75" customHeight="1">
      <c r="F62" s="3">
        <v>45744</v>
      </c>
      <c r="G62" s="1"/>
      <c r="H62" s="1"/>
    </row>
    <row r="63" spans="6:8" ht="12.75" customHeight="1">
      <c r="F63" s="3">
        <v>45743</v>
      </c>
      <c r="G63" s="1"/>
    </row>
    <row r="64" spans="6:8" ht="12.75" customHeight="1">
      <c r="F64" s="3">
        <v>45742</v>
      </c>
      <c r="G64" s="1"/>
    </row>
    <row r="65" spans="6:7" ht="12.75" customHeight="1">
      <c r="F65" s="3">
        <v>45741</v>
      </c>
      <c r="G65" s="1"/>
    </row>
    <row r="66" spans="6:7" ht="12.75" customHeight="1">
      <c r="F66" s="3">
        <v>45740</v>
      </c>
      <c r="G66" s="1"/>
    </row>
    <row r="67" spans="6:7" ht="12.75" customHeight="1">
      <c r="F67" s="3">
        <v>45737</v>
      </c>
      <c r="G67" s="1"/>
    </row>
    <row r="68" spans="6:7" ht="12.75" customHeight="1">
      <c r="F68" s="3">
        <v>45736</v>
      </c>
      <c r="G68" s="1"/>
    </row>
    <row r="69" spans="6:7" ht="12.75" customHeight="1">
      <c r="F69" s="3">
        <v>45719</v>
      </c>
      <c r="G69" s="1"/>
    </row>
    <row r="70" spans="6:7" ht="12.75" customHeight="1">
      <c r="F70" s="3">
        <v>45716</v>
      </c>
      <c r="G70" s="1"/>
    </row>
    <row r="71" spans="6:7" ht="12.75" customHeight="1">
      <c r="F71" s="3">
        <v>45714</v>
      </c>
      <c r="G71" s="1"/>
    </row>
    <row r="72" spans="6:7" ht="12.75" customHeight="1">
      <c r="F72" s="3">
        <v>45713</v>
      </c>
      <c r="G72" s="1"/>
    </row>
    <row r="73" spans="6:7" ht="12.75" customHeight="1">
      <c r="F73" s="3">
        <v>45712</v>
      </c>
      <c r="G73" s="1"/>
    </row>
    <row r="74" spans="6:7" ht="12.75" customHeight="1">
      <c r="F74" s="3">
        <v>45709</v>
      </c>
      <c r="G74" s="1"/>
    </row>
    <row r="75" spans="6:7" ht="12.75" customHeight="1">
      <c r="F75" s="3">
        <v>45708</v>
      </c>
      <c r="G75" s="1"/>
    </row>
    <row r="76" spans="6:7" ht="12.75" customHeight="1">
      <c r="F76" s="3">
        <v>45707</v>
      </c>
      <c r="G76" s="1"/>
    </row>
    <row r="77" spans="6:7" ht="12.75" customHeight="1">
      <c r="F77" s="3">
        <v>45706</v>
      </c>
      <c r="G77" s="1"/>
    </row>
    <row r="78" spans="6:7" ht="12.75" customHeight="1">
      <c r="F78" s="3">
        <v>45698</v>
      </c>
      <c r="G78" s="1"/>
    </row>
    <row r="79" spans="6:7" ht="12.75" customHeight="1">
      <c r="F79" s="3">
        <v>45694</v>
      </c>
      <c r="G79" s="1"/>
    </row>
    <row r="80" spans="6:7" ht="12.75" customHeight="1">
      <c r="F80" s="3">
        <v>45691</v>
      </c>
      <c r="G80" s="1"/>
    </row>
    <row r="81" spans="6:7" ht="12.75" customHeight="1">
      <c r="F81" s="3">
        <v>45684</v>
      </c>
      <c r="G81" s="1"/>
    </row>
    <row r="82" spans="6:7" ht="12.75" customHeight="1">
      <c r="F82" s="3">
        <v>45680</v>
      </c>
      <c r="G82" s="1"/>
    </row>
    <row r="83" spans="6:7" ht="12.75" customHeight="1">
      <c r="F83" s="3">
        <v>45679</v>
      </c>
      <c r="G83" s="1"/>
    </row>
    <row r="84" spans="6:7" ht="12.75" customHeight="1">
      <c r="F84" s="3">
        <v>45678</v>
      </c>
      <c r="G84" s="1"/>
    </row>
    <row r="85" spans="6:7" ht="12.75" customHeight="1">
      <c r="F85" s="3">
        <v>45664</v>
      </c>
      <c r="G85" s="1"/>
    </row>
    <row r="86" spans="6:7" ht="12.75" customHeight="1">
      <c r="F86" s="3">
        <v>45657</v>
      </c>
      <c r="G86" s="1"/>
    </row>
    <row r="87" spans="6:7" ht="12.75" customHeight="1">
      <c r="F87" s="3">
        <v>45653</v>
      </c>
      <c r="G87" s="1"/>
    </row>
    <row r="88" spans="6:7" ht="12.75" customHeight="1">
      <c r="F88" s="3">
        <v>45652</v>
      </c>
      <c r="G88" s="1"/>
    </row>
    <row r="89" spans="6:7" ht="12.75" customHeight="1">
      <c r="F89" s="3">
        <v>45644</v>
      </c>
      <c r="G89" s="1"/>
    </row>
    <row r="90" spans="6:7" ht="12.75" customHeight="1">
      <c r="F90" s="3">
        <v>45637</v>
      </c>
      <c r="G90" s="1"/>
    </row>
    <row r="91" spans="6:7" ht="12.75" customHeight="1">
      <c r="F91" s="3">
        <v>45630</v>
      </c>
      <c r="G91" s="1"/>
    </row>
    <row r="92" spans="6:7" ht="12.75" customHeight="1">
      <c r="F92" s="3">
        <v>45621</v>
      </c>
      <c r="G92" s="1"/>
    </row>
    <row r="93" spans="6:7" ht="12.75" customHeight="1">
      <c r="F93" s="3">
        <v>45615</v>
      </c>
      <c r="G93" s="1"/>
    </row>
    <row r="94" spans="6:7" ht="12.75" customHeight="1">
      <c r="F94" s="3">
        <v>45597</v>
      </c>
      <c r="G94" s="1"/>
    </row>
    <row r="95" spans="6:7" ht="12.75" customHeight="1">
      <c r="F95" s="3">
        <v>45595</v>
      </c>
      <c r="G95" s="1"/>
    </row>
    <row r="96" spans="6:7" ht="12.75" customHeight="1">
      <c r="F96" s="3">
        <v>45594</v>
      </c>
      <c r="G96" s="1"/>
    </row>
    <row r="97" spans="6:7" ht="12.75" customHeight="1">
      <c r="F97" s="3">
        <v>45590</v>
      </c>
      <c r="G97" s="1"/>
    </row>
    <row r="98" spans="6:7" ht="12.75" customHeight="1">
      <c r="F98" s="3">
        <v>45588</v>
      </c>
      <c r="G98" s="1"/>
    </row>
    <row r="99" spans="6:7" ht="12.75" customHeight="1">
      <c r="F99" s="3">
        <v>45572</v>
      </c>
      <c r="G99" s="1"/>
    </row>
    <row r="100" spans="6:7" ht="12.75" customHeight="1">
      <c r="F100" s="3">
        <v>0</v>
      </c>
      <c r="G100" s="1"/>
    </row>
    <row r="101" spans="6:7" ht="12.75" customHeight="1">
      <c r="G101" s="1"/>
    </row>
    <row r="102" spans="6:7" ht="12.75" customHeight="1">
      <c r="G102" s="1"/>
    </row>
    <row r="103" spans="6:7" ht="12.75" customHeight="1"/>
    <row r="104" spans="6:7" ht="12.75" customHeight="1"/>
    <row r="105" spans="6:7" ht="12.75" customHeight="1"/>
    <row r="106" spans="6:7" ht="12.75" customHeight="1"/>
    <row r="107" spans="6:7" ht="12.75" customHeight="1"/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576</v>
      </c>
      <c r="D1" s="51" t="s">
        <v>577</v>
      </c>
      <c r="E1" s="52" t="s">
        <v>578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2" sqref="E2:E4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579</v>
      </c>
      <c r="B1" s="55" t="s">
        <v>580</v>
      </c>
      <c r="C1" s="56" t="s">
        <v>581</v>
      </c>
      <c r="D1" s="55" t="s">
        <v>582</v>
      </c>
      <c r="E1" s="56" t="s">
        <v>140</v>
      </c>
      <c r="F1" s="57" t="s">
        <v>583</v>
      </c>
      <c r="G1" s="62" t="s">
        <v>584</v>
      </c>
      <c r="H1" s="62" t="s">
        <v>585</v>
      </c>
      <c r="I1" s="62" t="s">
        <v>586</v>
      </c>
      <c r="K1" s="62" t="s">
        <v>587</v>
      </c>
      <c r="L1">
        <v>751709</v>
      </c>
    </row>
    <row r="2" spans="1:12" ht="15">
      <c r="A2" s="61">
        <v>2024</v>
      </c>
      <c r="B2" s="58"/>
      <c r="C2" s="59">
        <v>33494.01</v>
      </c>
      <c r="D2" s="60">
        <f>B2*C2</f>
        <v>0</v>
      </c>
      <c r="E2" s="59"/>
      <c r="F2" s="59">
        <f>D2-E2</f>
        <v>0</v>
      </c>
    </row>
    <row r="3" spans="1:12" ht="15">
      <c r="A3" s="61">
        <v>2025</v>
      </c>
      <c r="B3" s="58"/>
      <c r="C3" s="59">
        <v>34465.339999999997</v>
      </c>
      <c r="D3" s="60">
        <f t="shared" ref="D3:D4" si="0">B3*C3</f>
        <v>0</v>
      </c>
      <c r="E3" s="59"/>
      <c r="F3" s="59">
        <f t="shared" ref="F3:F4" si="1">D3-E3</f>
        <v>0</v>
      </c>
    </row>
    <row r="4" spans="1:12" ht="15">
      <c r="A4" s="61">
        <v>2026</v>
      </c>
      <c r="B4" s="58"/>
      <c r="C4" s="59">
        <v>35361.440000000002</v>
      </c>
      <c r="D4" s="60">
        <f t="shared" si="0"/>
        <v>0</v>
      </c>
      <c r="E4" s="59"/>
      <c r="F4" s="59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2026-03-28T17:48:15Z</dcterms:modified>
</cp:coreProperties>
</file>