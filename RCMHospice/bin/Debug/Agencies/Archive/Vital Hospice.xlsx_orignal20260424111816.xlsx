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Automation\Files\AgenciesHospice\"/>
    </mc:Choice>
  </mc:AlternateContent>
  <xr:revisionPtr revIDLastSave="0" documentId="13_ncr:1_{5E978E2A-4DDA-444B-9ACE-E6666D33432C}" xr6:coauthVersionLast="47" xr6:coauthVersionMax="47" xr10:uidLastSave="{00000000-0000-0000-0000-000000000000}"/>
  <bookViews>
    <workbookView showHorizontalScroll="0" showVerticalScroll="0" xWindow="390" yWindow="390" windowWidth="28800" windowHeight="11295" activeTab="5" xr2:uid="{00000000-000D-0000-FFFF-FFFF00000000}"/>
  </bookViews>
  <sheets>
    <sheet name="Claims" sheetId="1" r:id="rId1"/>
    <sheet name="PAYMENTS" sheetId="2" r:id="rId2"/>
    <sheet name="Payment Summary" sheetId="11" r:id="rId3"/>
    <sheet name="Future payment" sheetId="4" r:id="rId4"/>
    <sheet name="Future Summary" sheetId="5" r:id="rId5"/>
    <sheet name="In Process" sheetId="12" r:id="rId6"/>
    <sheet name="Cap" sheetId="13" r:id="rId7"/>
  </sheets>
  <definedNames>
    <definedName name="Z_A0CAE20E_9122_4930_BCDD_9DF555004942_.wvu.FilterData" localSheetId="0" hidden="1">Claims!$A$1:$T$351</definedName>
  </definedNames>
  <calcPr calcId="191029"/>
  <customWorkbookViews>
    <customWorkbookView name="Filter 1" guid="{A0CAE20E-9122-4930-BCDD-9DF55500494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3" l="1"/>
  <c r="F4" i="13" s="1"/>
  <c r="D3" i="13"/>
  <c r="F3" i="13" s="1"/>
  <c r="D2" i="13"/>
  <c r="F2" i="13" s="1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C17" i="5"/>
  <c r="D17" i="5" s="1"/>
  <c r="B17" i="5"/>
  <c r="C16" i="5"/>
  <c r="D16" i="5" s="1"/>
  <c r="B16" i="5"/>
  <c r="C15" i="5"/>
  <c r="D15" i="5" s="1"/>
  <c r="B15" i="5"/>
  <c r="C14" i="5"/>
  <c r="D14" i="5" s="1"/>
  <c r="B14" i="5"/>
  <c r="C13" i="5"/>
  <c r="D13" i="5" s="1"/>
  <c r="B13" i="5"/>
  <c r="C12" i="5"/>
  <c r="D12" i="5" s="1"/>
  <c r="B12" i="5"/>
  <c r="D11" i="5"/>
  <c r="C11" i="5"/>
  <c r="B11" i="5"/>
  <c r="C10" i="5"/>
  <c r="D10" i="5" s="1"/>
  <c r="B10" i="5"/>
  <c r="C9" i="5"/>
  <c r="D9" i="5" s="1"/>
  <c r="B9" i="5"/>
  <c r="C8" i="5"/>
  <c r="D8" i="5" s="1"/>
  <c r="B8" i="5"/>
  <c r="C7" i="5"/>
  <c r="D7" i="5" s="1"/>
  <c r="B7" i="5"/>
  <c r="C6" i="5"/>
  <c r="D6" i="5" s="1"/>
  <c r="B6" i="5"/>
  <c r="C5" i="5"/>
  <c r="D5" i="5" s="1"/>
  <c r="B5" i="5"/>
  <c r="C4" i="5"/>
  <c r="D4" i="5" s="1"/>
  <c r="B4" i="5"/>
  <c r="F1" i="5" a="1"/>
  <c r="H17" i="5" s="1"/>
  <c r="A1" i="5" a="1"/>
  <c r="B3" i="5" s="1"/>
  <c r="C573" i="2"/>
  <c r="C552" i="2"/>
  <c r="C533" i="2"/>
  <c r="C511" i="2"/>
  <c r="C489" i="2"/>
  <c r="C467" i="2"/>
  <c r="C444" i="2"/>
  <c r="C422" i="2"/>
  <c r="C401" i="2"/>
  <c r="C378" i="2"/>
  <c r="C355" i="2"/>
  <c r="C335" i="2"/>
  <c r="C314" i="2"/>
  <c r="C292" i="2"/>
  <c r="C273" i="2"/>
  <c r="C249" i="2"/>
  <c r="C227" i="2"/>
  <c r="C205" i="2"/>
  <c r="C182" i="2"/>
  <c r="C160" i="2"/>
  <c r="C138" i="2"/>
  <c r="C115" i="2"/>
  <c r="C93" i="2"/>
  <c r="C72" i="2"/>
  <c r="C49" i="2"/>
  <c r="C24" i="2"/>
  <c r="U352" i="1"/>
  <c r="T351" i="1"/>
  <c r="U351" i="1" s="1"/>
  <c r="T350" i="1"/>
  <c r="U350" i="1" s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C3" i="5" l="1"/>
  <c r="D3" i="5" s="1"/>
  <c r="B2" i="5"/>
  <c r="A1" i="5"/>
  <c r="C2" i="5"/>
  <c r="D2" i="5" s="1"/>
  <c r="G2" i="5"/>
  <c r="G4" i="5"/>
  <c r="G6" i="5"/>
  <c r="G8" i="5"/>
  <c r="G10" i="5"/>
  <c r="G12" i="5"/>
  <c r="G14" i="5"/>
  <c r="G16" i="5"/>
  <c r="G3" i="5"/>
  <c r="G5" i="5"/>
  <c r="G7" i="5"/>
  <c r="G9" i="5"/>
  <c r="G11" i="5"/>
  <c r="G13" i="5"/>
  <c r="G15" i="5"/>
  <c r="G17" i="5"/>
  <c r="I17" i="5" s="1"/>
  <c r="H2" i="5"/>
  <c r="H4" i="5"/>
  <c r="H6" i="5"/>
  <c r="H8" i="5"/>
  <c r="H10" i="5"/>
  <c r="H12" i="5"/>
  <c r="H14" i="5"/>
  <c r="H16" i="5"/>
  <c r="F1" i="5"/>
  <c r="H3" i="5"/>
  <c r="H5" i="5"/>
  <c r="H7" i="5"/>
  <c r="H9" i="5"/>
  <c r="H11" i="5"/>
  <c r="H13" i="5"/>
  <c r="H15" i="5"/>
  <c r="I9" i="5" l="1"/>
  <c r="I11" i="5"/>
  <c r="I3" i="5"/>
  <c r="I10" i="5"/>
  <c r="I2" i="5"/>
  <c r="I16" i="5"/>
  <c r="I8" i="5"/>
  <c r="I15" i="5"/>
  <c r="I7" i="5"/>
  <c r="I14" i="5"/>
  <c r="I6" i="5"/>
  <c r="I13" i="5"/>
  <c r="I5" i="5"/>
  <c r="I12" i="5"/>
  <c r="I4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<sst xmlns="http://schemas.openxmlformats.org/spreadsheetml/2006/main" count="1143" uniqueCount="370">
  <si>
    <t>PATIENTS NAME</t>
  </si>
  <si>
    <t>Status</t>
  </si>
  <si>
    <t>SOC</t>
  </si>
  <si>
    <t>Paid 1</t>
  </si>
  <si>
    <t>Status 1</t>
  </si>
  <si>
    <t>Start 2</t>
  </si>
  <si>
    <t>Paid 2</t>
  </si>
  <si>
    <t>Status 2</t>
  </si>
  <si>
    <t>Start 3</t>
  </si>
  <si>
    <t>Paid 3</t>
  </si>
  <si>
    <t>Status 3</t>
  </si>
  <si>
    <t>Start 4</t>
  </si>
  <si>
    <t>Paid 4</t>
  </si>
  <si>
    <t>Status 4</t>
  </si>
  <si>
    <t>Start 5</t>
  </si>
  <si>
    <t>Paid 5</t>
  </si>
  <si>
    <t>Status 5</t>
  </si>
  <si>
    <t>Start 6</t>
  </si>
  <si>
    <t>Paid 6</t>
  </si>
  <si>
    <t>Status 6</t>
  </si>
  <si>
    <t>Status 7</t>
  </si>
  <si>
    <t>HIC/MBI</t>
  </si>
  <si>
    <t>6HT8V20PN53</t>
  </si>
  <si>
    <t>4AT4DA6NP03</t>
  </si>
  <si>
    <t>2QP0MH8FH36</t>
  </si>
  <si>
    <t>7WQ8WM6AX49</t>
  </si>
  <si>
    <t>7QW1VQ9PE20</t>
  </si>
  <si>
    <t>7J80R09CK35</t>
  </si>
  <si>
    <t>3QQ1MT8ER94</t>
  </si>
  <si>
    <t>1F79Y75CU31</t>
  </si>
  <si>
    <t>8YT0CT2EC44</t>
  </si>
  <si>
    <t>5MP2Y03CX88</t>
  </si>
  <si>
    <t>3UW4KQ0NN76</t>
  </si>
  <si>
    <t>5QV1A74DK93</t>
  </si>
  <si>
    <t>1K89WC2ED58</t>
  </si>
  <si>
    <t>2Y04YK7TV95</t>
  </si>
  <si>
    <t>5NW5C90XC77</t>
  </si>
  <si>
    <t>7PQ3U45XW88</t>
  </si>
  <si>
    <t>5CH3FQ0QD87</t>
  </si>
  <si>
    <t>5KH8Y32WW42</t>
  </si>
  <si>
    <t>8PF2G64RA83</t>
  </si>
  <si>
    <t>7KR8D90YQ24</t>
  </si>
  <si>
    <t>5J41EQ3QQ25</t>
  </si>
  <si>
    <t>7TU2YQ3KM92</t>
  </si>
  <si>
    <t>4C35Y75XP73</t>
  </si>
  <si>
    <t>8QH9HY3NV21</t>
  </si>
  <si>
    <t>1CX8G04WU32</t>
  </si>
  <si>
    <t>2H36FU8MV60</t>
  </si>
  <si>
    <t>5CC9XH2CH26</t>
  </si>
  <si>
    <t>4K57PJ5XY53</t>
  </si>
  <si>
    <t>4FY8KP2WA47</t>
  </si>
  <si>
    <t>4AP0GF3AF44</t>
  </si>
  <si>
    <t>3EX8RH4WW54</t>
  </si>
  <si>
    <t>2DF6V66GX61</t>
  </si>
  <si>
    <t>4XC4G77GU95</t>
  </si>
  <si>
    <t>7NF0HH4WQ25</t>
  </si>
  <si>
    <t>5E15CM8AW57</t>
  </si>
  <si>
    <t>4NF8QQ3YT27</t>
  </si>
  <si>
    <t>4TP4RD2CH06</t>
  </si>
  <si>
    <t>5MK1MM9MY16</t>
  </si>
  <si>
    <t>5UX3NX4VQ00</t>
  </si>
  <si>
    <t>4D24HF4QX09</t>
  </si>
  <si>
    <t>2KD6C85TX59</t>
  </si>
  <si>
    <t>5GF1EP2DH00</t>
  </si>
  <si>
    <t>8M44KA2NR86</t>
  </si>
  <si>
    <t>3WA6JG4MK77</t>
  </si>
  <si>
    <t>5J13CE4DU95</t>
  </si>
  <si>
    <t>2D39NH5KD34</t>
  </si>
  <si>
    <t>2FP7HR1FG74</t>
  </si>
  <si>
    <t>6Q33AJ5ED14</t>
  </si>
  <si>
    <t>3XF4P81UQ85</t>
  </si>
  <si>
    <t>2EN5QC8XW76</t>
  </si>
  <si>
    <t>6X31CY7XW19</t>
  </si>
  <si>
    <t>9HG3N48DP75</t>
  </si>
  <si>
    <t>2KX9TX5YJ14</t>
  </si>
  <si>
    <t>9CJ4A03MY74</t>
  </si>
  <si>
    <t>7TY8AY8NH44</t>
  </si>
  <si>
    <t>8DD0TM7YT45</t>
  </si>
  <si>
    <t>5UF6D59HY42</t>
  </si>
  <si>
    <t>9ND1PW1PY39</t>
  </si>
  <si>
    <t>5ET7VV7TU20</t>
  </si>
  <si>
    <t>1W25HN2YJ88</t>
  </si>
  <si>
    <t>2J04R58JQ91</t>
  </si>
  <si>
    <t>3A91K33JT01</t>
  </si>
  <si>
    <t>8P83FC5QG72</t>
  </si>
  <si>
    <t>6P38FQ6RP43</t>
  </si>
  <si>
    <t>4PR3P66XV88</t>
  </si>
  <si>
    <t>6A50EY4XT90</t>
  </si>
  <si>
    <t>5MF3KU3VA73</t>
  </si>
  <si>
    <t>5VY5XR5XK85</t>
  </si>
  <si>
    <t>9GK3YX1VA77</t>
  </si>
  <si>
    <t>5KX4Y66PA87</t>
  </si>
  <si>
    <t>8FH3VQ3MR08</t>
  </si>
  <si>
    <t>6F19N46QC21</t>
  </si>
  <si>
    <t>7EN3E00VG03</t>
  </si>
  <si>
    <t>4RR9Y84AA42</t>
  </si>
  <si>
    <t>2PA2EM0QE82</t>
  </si>
  <si>
    <t>7UP3V56HC81</t>
  </si>
  <si>
    <t>5R09Q56TX56</t>
  </si>
  <si>
    <t>9T09WQ9XE42</t>
  </si>
  <si>
    <t>8W35WM8QM61</t>
  </si>
  <si>
    <t>6Y73CD3RM15</t>
  </si>
  <si>
    <t>5E42X63KQ25</t>
  </si>
  <si>
    <t>7AA1W89TX27</t>
  </si>
  <si>
    <t>1PX0WX9HX25</t>
  </si>
  <si>
    <t>7FE4DK5KU77</t>
  </si>
  <si>
    <t>9M38RY5UH10</t>
  </si>
  <si>
    <t>8EU5YJ9MR97</t>
  </si>
  <si>
    <t>8RJ0K80FC17</t>
  </si>
  <si>
    <t>1FE5D97MV88</t>
  </si>
  <si>
    <t>8HM8VE9YR31</t>
  </si>
  <si>
    <t>8C74U77VG91</t>
  </si>
  <si>
    <t>8TG4MC5RR07</t>
  </si>
  <si>
    <t>7AP9M23XP51</t>
  </si>
  <si>
    <t>3E06E28KV55</t>
  </si>
  <si>
    <t>1TW1G19CM95</t>
  </si>
  <si>
    <t>4TH6PF2KW62</t>
  </si>
  <si>
    <t>7ED4CU0CJ88</t>
  </si>
  <si>
    <t>7AR9EC8AP33</t>
  </si>
  <si>
    <t>7FX5MF5KC68</t>
  </si>
  <si>
    <t>7AK7P77HQ39</t>
  </si>
  <si>
    <t>4TH6PH2KW62</t>
  </si>
  <si>
    <t>8C01UD5AU24</t>
  </si>
  <si>
    <t>8XE8CD1RQ34</t>
  </si>
  <si>
    <t>3M16TF0TP81</t>
  </si>
  <si>
    <t>9EA3KM7WH85</t>
  </si>
  <si>
    <t>6F60WM2TX43</t>
  </si>
  <si>
    <t>6YW3TY6QX03</t>
  </si>
  <si>
    <t>9DG8PN7VT50</t>
  </si>
  <si>
    <t>3QX4G53TK85</t>
  </si>
  <si>
    <t>2WX1PP2UV03</t>
  </si>
  <si>
    <t>1N14KW1RX50</t>
  </si>
  <si>
    <t>DATE</t>
  </si>
  <si>
    <t>DEPOSIT</t>
  </si>
  <si>
    <t>AMOUNT</t>
  </si>
  <si>
    <t>SUSPENSE</t>
  </si>
  <si>
    <t>TOTAL</t>
  </si>
  <si>
    <t>NOTES</t>
  </si>
  <si>
    <t>PAST DUE</t>
  </si>
  <si>
    <t>November</t>
  </si>
  <si>
    <t/>
  </si>
  <si>
    <t>Total</t>
  </si>
  <si>
    <t>December</t>
  </si>
  <si>
    <t>Projected</t>
  </si>
  <si>
    <t>Start Date</t>
  </si>
  <si>
    <t>Reimb</t>
  </si>
  <si>
    <t>Paid Date</t>
  </si>
  <si>
    <t>Notes</t>
  </si>
  <si>
    <t>Mai, Benhong</t>
  </si>
  <si>
    <t>10/8/2025</t>
  </si>
  <si>
    <t>7CM1XX9MV14</t>
  </si>
  <si>
    <t>Tang, Ya</t>
  </si>
  <si>
    <t>2/1/2026</t>
  </si>
  <si>
    <t>1X44QC7VE76</t>
  </si>
  <si>
    <t>Ng, Kit</t>
  </si>
  <si>
    <t>1/1/2026</t>
  </si>
  <si>
    <t>8U79K00UG21</t>
  </si>
  <si>
    <t>Voong-looc, Chieng</t>
  </si>
  <si>
    <t>1/26/2026</t>
  </si>
  <si>
    <t>5H54KT5FD86</t>
  </si>
  <si>
    <t>Cheng, Sam-mui</t>
  </si>
  <si>
    <t>11/4/2025</t>
  </si>
  <si>
    <t>5VX3R83UD00</t>
  </si>
  <si>
    <t>Guan, Rongqiang</t>
  </si>
  <si>
    <t>1J20RG4RU26</t>
  </si>
  <si>
    <t>12/8/2025</t>
  </si>
  <si>
    <t>Hung, Lin</t>
  </si>
  <si>
    <t>9VD8YY7PX58</t>
  </si>
  <si>
    <t>Yang, Fusheng</t>
  </si>
  <si>
    <t>6GP0Q62CY00</t>
  </si>
  <si>
    <t>12/1/2025</t>
  </si>
  <si>
    <t>Huynh, Chuc</t>
  </si>
  <si>
    <t>9/28/2025</t>
  </si>
  <si>
    <t>5CD5R66PG86</t>
  </si>
  <si>
    <t>Xie, Longnuan</t>
  </si>
  <si>
    <t>10/5/2025</t>
  </si>
  <si>
    <t>Adjustment</t>
  </si>
  <si>
    <t>2GC6C47XK48</t>
  </si>
  <si>
    <t>11/1/2025</t>
  </si>
  <si>
    <t>Phung, Pau</t>
  </si>
  <si>
    <t>4CH3CQ2CC86</t>
  </si>
  <si>
    <t>10/1/2025</t>
  </si>
  <si>
    <t>Lao, Mei</t>
  </si>
  <si>
    <t>5AF7FP9VV39</t>
  </si>
  <si>
    <t>12/15/2025</t>
  </si>
  <si>
    <t>9/1/2025</t>
  </si>
  <si>
    <t>7/21/2025</t>
  </si>
  <si>
    <t>Lee, Ling</t>
  </si>
  <si>
    <t>10/13/2025</t>
  </si>
  <si>
    <t>2A46XQ7GV59</t>
  </si>
  <si>
    <t>8/1/2025</t>
  </si>
  <si>
    <t>Chao, Lien</t>
  </si>
  <si>
    <t>9R07AM3DU64</t>
  </si>
  <si>
    <t>Cheng Sam-Mui</t>
  </si>
  <si>
    <t>De Leon, Jorge</t>
  </si>
  <si>
    <t>1NG5V55YR67</t>
  </si>
  <si>
    <t>10/7/2025</t>
  </si>
  <si>
    <t>Tang, Shou Yee</t>
  </si>
  <si>
    <t>11/2/2025</t>
  </si>
  <si>
    <t>8PP5W64DC51</t>
  </si>
  <si>
    <t>11/21/2025</t>
  </si>
  <si>
    <t>Chiu, Mo</t>
  </si>
  <si>
    <t>8WE5QT4KG57</t>
  </si>
  <si>
    <t>Wang, Mei</t>
  </si>
  <si>
    <t>6C60VU7JJ02</t>
  </si>
  <si>
    <t>Sun, Hanzhang</t>
  </si>
  <si>
    <t>7/1/2025</t>
  </si>
  <si>
    <t>8Y00Q02YQ11</t>
  </si>
  <si>
    <t>6/1/2025</t>
  </si>
  <si>
    <t>8/18/2025</t>
  </si>
  <si>
    <t>Ettinger, Stanley</t>
  </si>
  <si>
    <t>2/5/2025</t>
  </si>
  <si>
    <t>5DR0K31VN42</t>
  </si>
  <si>
    <t>5/1/2025</t>
  </si>
  <si>
    <t>Olachea, John</t>
  </si>
  <si>
    <t>3/9/2025</t>
  </si>
  <si>
    <t>8C94AF7YJ84</t>
  </si>
  <si>
    <t>9/11/2025</t>
  </si>
  <si>
    <t>Hammond, Robert</t>
  </si>
  <si>
    <t>5AA7QN4RW36</t>
  </si>
  <si>
    <t>Kuang, Man</t>
  </si>
  <si>
    <t>7NN6HP3UG64</t>
  </si>
  <si>
    <t>Lam, Cheuk</t>
  </si>
  <si>
    <t>6H71U51TA16</t>
  </si>
  <si>
    <t>Kaur, Jagdish</t>
  </si>
  <si>
    <t>6/9/2025</t>
  </si>
  <si>
    <t>1G48QT6WT27</t>
  </si>
  <si>
    <t>Wong, So Kuen</t>
  </si>
  <si>
    <t>6/13/2025</t>
  </si>
  <si>
    <t>4A25MR8TW58</t>
  </si>
  <si>
    <t>7/26/2025</t>
  </si>
  <si>
    <t>Chan, Lai</t>
  </si>
  <si>
    <t>2X67G37EX53</t>
  </si>
  <si>
    <t>4/1/2025</t>
  </si>
  <si>
    <t>3/1/2025</t>
  </si>
  <si>
    <t>Ou, Muzhen</t>
  </si>
  <si>
    <t>7C17PH8HP71</t>
  </si>
  <si>
    <t>Zhang, Yue Lan</t>
  </si>
  <si>
    <t>5GM2FF8QG92</t>
  </si>
  <si>
    <t>Ng, Beatrice</t>
  </si>
  <si>
    <t>6/8/2025</t>
  </si>
  <si>
    <t>7AG1DP7UT18</t>
  </si>
  <si>
    <t>Wong, Patrick</t>
  </si>
  <si>
    <t>7UH7CT6QE38</t>
  </si>
  <si>
    <t>Ling, Huiz</t>
  </si>
  <si>
    <t>2QW8G60RK64</t>
  </si>
  <si>
    <t>3/31/2025</t>
  </si>
  <si>
    <t>5/15/2025</t>
  </si>
  <si>
    <t>4/17/2025</t>
  </si>
  <si>
    <t>Shen, Liqun</t>
  </si>
  <si>
    <t>1K73Q11VV72</t>
  </si>
  <si>
    <t>5/23/2025</t>
  </si>
  <si>
    <t>Wu, Xuechan</t>
  </si>
  <si>
    <t>7CC8NQ1KK30</t>
  </si>
  <si>
    <t>Li, Xiuzhen</t>
  </si>
  <si>
    <t>4V88GF8NA27</t>
  </si>
  <si>
    <t>3/7/2025</t>
  </si>
  <si>
    <t>2/1/2025</t>
  </si>
  <si>
    <t>Matsunaga, George</t>
  </si>
  <si>
    <t>2/6/2025</t>
  </si>
  <si>
    <t>8UX9EK9CY36</t>
  </si>
  <si>
    <t>King, Rebecca</t>
  </si>
  <si>
    <t>9UQ4TF6DW98</t>
  </si>
  <si>
    <t>Smith, Elsie</t>
  </si>
  <si>
    <t>3/4/2025</t>
  </si>
  <si>
    <t>6PY4W52QT62</t>
  </si>
  <si>
    <t>4/29/2025</t>
  </si>
  <si>
    <t>2/14/2025</t>
  </si>
  <si>
    <t>1/1/2025</t>
  </si>
  <si>
    <t>Krist, Patricia</t>
  </si>
  <si>
    <t>2VR0QD3UN12</t>
  </si>
  <si>
    <t>Holton, Karen</t>
  </si>
  <si>
    <t>2XV0UP4DJ12</t>
  </si>
  <si>
    <t>12/1/2024</t>
  </si>
  <si>
    <t>11/9/2024</t>
  </si>
  <si>
    <t>Nayak, Vijay</t>
  </si>
  <si>
    <t>12/26/2024</t>
  </si>
  <si>
    <t>1TD3RH7FW08</t>
  </si>
  <si>
    <t>1/13/2025</t>
  </si>
  <si>
    <t>12/10/2024</t>
  </si>
  <si>
    <t>Lee, Jean</t>
  </si>
  <si>
    <t>3VV4DG1WM64</t>
  </si>
  <si>
    <t>Mussen, Ethel</t>
  </si>
  <si>
    <t>11/1/2024</t>
  </si>
  <si>
    <t>9PA8MU8YN48</t>
  </si>
  <si>
    <t>12/21/2024</t>
  </si>
  <si>
    <t>2/11/2025</t>
  </si>
  <si>
    <t>Tasini, Miriam</t>
  </si>
  <si>
    <t>7R61V23FP96</t>
  </si>
  <si>
    <t>10/1/2024</t>
  </si>
  <si>
    <t>12/5/2024</t>
  </si>
  <si>
    <t>Chan, Kwok</t>
  </si>
  <si>
    <t>12/27/2024</t>
  </si>
  <si>
    <t>7C14P39WK60</t>
  </si>
  <si>
    <t>9/1/2024</t>
  </si>
  <si>
    <t>Kok, Fung</t>
  </si>
  <si>
    <t>7/24/2024</t>
  </si>
  <si>
    <t>7V63TC5XA85</t>
  </si>
  <si>
    <t>Liu, Mantang</t>
  </si>
  <si>
    <t>9TX0UN0PK35</t>
  </si>
  <si>
    <t>Gong, Jing</t>
  </si>
  <si>
    <t>11/21/2024</t>
  </si>
  <si>
    <t>1T35CP8KA72</t>
  </si>
  <si>
    <t>8/1/2024</t>
  </si>
  <si>
    <t>Harano, Yasuko</t>
  </si>
  <si>
    <t>7/1/2024</t>
  </si>
  <si>
    <t>4Q51HH3QY13</t>
  </si>
  <si>
    <t>Woo, Kam Oi</t>
  </si>
  <si>
    <t>9CP0Q66WY20</t>
  </si>
  <si>
    <t>11/5/2024</t>
  </si>
  <si>
    <t>11/26/2024</t>
  </si>
  <si>
    <t>11/8/2024</t>
  </si>
  <si>
    <t>Roland, Doris</t>
  </si>
  <si>
    <t>6C09DH7VQ41</t>
  </si>
  <si>
    <t>Shao, Yuezhang</t>
  </si>
  <si>
    <t>9/6/2024</t>
  </si>
  <si>
    <t>4UJ5GV3DD58</t>
  </si>
  <si>
    <t>Wong, Luk</t>
  </si>
  <si>
    <t>1HR6X61CQ83</t>
  </si>
  <si>
    <t>Lee, Koyao</t>
  </si>
  <si>
    <t>9/12/2024</t>
  </si>
  <si>
    <t>4X57VM2EY53</t>
  </si>
  <si>
    <t>6/1/2024</t>
  </si>
  <si>
    <t>Chen, Caichang</t>
  </si>
  <si>
    <t>9/11/2024</t>
  </si>
  <si>
    <t>3DT1NE9YE06</t>
  </si>
  <si>
    <t>9/14/2024</t>
  </si>
  <si>
    <t>Ma, Fangtai</t>
  </si>
  <si>
    <t>1/1/2024</t>
  </si>
  <si>
    <t>2A22W90TW88</t>
  </si>
  <si>
    <t>Jew, Sally</t>
  </si>
  <si>
    <t>4J72Q18TP07</t>
  </si>
  <si>
    <t>12/1/2023</t>
  </si>
  <si>
    <t>Chow, Henry</t>
  </si>
  <si>
    <t>5PH1JM6NG29</t>
  </si>
  <si>
    <t>Chan, Fiona</t>
  </si>
  <si>
    <t>7/19/2024</t>
  </si>
  <si>
    <t>4U53GA3XN04</t>
  </si>
  <si>
    <t>9/19/2024</t>
  </si>
  <si>
    <t>Tam, Sun</t>
  </si>
  <si>
    <t>9/9/2024</t>
  </si>
  <si>
    <t>4DG0UX6KP35</t>
  </si>
  <si>
    <t>6/4/2024</t>
  </si>
  <si>
    <t>7/23/2024</t>
  </si>
  <si>
    <t>9/18/2024</t>
  </si>
  <si>
    <t>Chen, Shert Kum</t>
  </si>
  <si>
    <t>8/6/2024</t>
  </si>
  <si>
    <t>7EE3CQ2UD83</t>
  </si>
  <si>
    <t>Cho, May</t>
  </si>
  <si>
    <t>7/22/2024</t>
  </si>
  <si>
    <t>3CG1WN7XF80</t>
  </si>
  <si>
    <t>Chang, Beihun</t>
  </si>
  <si>
    <t>2/2/2026</t>
  </si>
  <si>
    <t>2J66JM0EQ56</t>
  </si>
  <si>
    <t> </t>
  </si>
  <si>
    <t>Submit Date</t>
  </si>
  <si>
    <t>Projected Reimb</t>
  </si>
  <si>
    <t>Projected Paid Date</t>
  </si>
  <si>
    <t>Voong-looc, Chieng M</t>
  </si>
  <si>
    <t>03/01/2026</t>
  </si>
  <si>
    <t>Year</t>
  </si>
  <si>
    <t>PS&amp;R</t>
  </si>
  <si>
    <t>Annual Cap</t>
  </si>
  <si>
    <t>Cap Amount</t>
  </si>
  <si>
    <t>Actual Cap</t>
  </si>
  <si>
    <t>Projected Count</t>
  </si>
  <si>
    <t>Projected Total</t>
  </si>
  <si>
    <t>Projected Cap</t>
  </si>
  <si>
    <t>CCN</t>
  </si>
  <si>
    <t>A11742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</si>
</sst>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mm/dd/yyyy"/>
  </numFmts>
  <fonts count="17">
    <font>
      <sz val="10"/>
      <color rgb="FF000000"/>
      <name val="Arial"/>
    </font>
    <font>
      <b/>
      <sz val="1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</font>
    <font>
      <b/>
      <sz val="11"/>
      <color indexed="9"/>
      <name val="Calibri"/>
      <family val="2"/>
    </font>
    <font>
      <b/>
      <sz val="10"/>
      <color theme="0"/>
      <name val="Arial"/>
      <family val="2"/>
    </font>
    <font>
      <b/>
      <sz val="12"/>
      <color theme="1"/>
      <name val="Arial"/>
      <family val="2"/>
    </font>
    <font>
      <sz val="11"/>
      <color rgb="FF000000"/>
      <name val="Lucida Console"/>
      <family val="3"/>
    </font>
    <font>
      <b/>
      <sz val="10"/>
      <color rgb="FF000000"/>
      <name val="Cmmp-Source-Sans-Pro"/>
    </font>
    <font>
      <b/>
      <sz val="11"/>
      <color theme="1"/>
      <name val="Aptos Narrow"/>
      <family val="2"/>
      <scheme val="minor"/>
    </font>
    <font>
      <b/>
      <u/>
      <sz val="11"/>
      <color rgb="FF000000"/>
      <name val="Calibri"/>
      <family val="2"/>
    </font>
    <font>
      <b/>
      <u/>
      <sz val="11"/>
      <color rgb="FF0000FF"/>
      <name val="Calibri"/>
      <family val="2"/>
    </font>
    <font>
      <sz val="10"/>
      <color rgb="FF0000FF"/>
      <name val="Arial"/>
      <family val="2"/>
    </font>
    <font>
      <sz val="11"/>
      <color rgb="FF000000"/>
      <name val="Calibri"/>
      <family val="2"/>
    </font>
    <font>
      <b/>
      <sz val="1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indexed="64"/>
      </patternFill>
    </fill>
    <fill>
      <patternFill patternType="solid">
        <fgColor indexed="23"/>
      </patternFill>
    </fill>
    <fill>
      <patternFill patternType="solid">
        <fgColor rgb="FFC00000"/>
        <bgColor rgb="FFCC4125"/>
      </patternFill>
    </fill>
    <fill>
      <patternFill patternType="solid">
        <fgColor theme="1"/>
        <bgColor theme="1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4" fillId="0" borderId="0"/>
  </cellStyleXfs>
  <cellXfs count="72">
    <xf numFmtId="0" fontId="0" fillId="0" borderId="0" xfId="0"/>
    <xf numFmtId="44" fontId="0" fillId="0" borderId="0" xfId="1" applyFont="1"/>
    <xf numFmtId="0" fontId="3" fillId="0" borderId="0" xfId="0" applyFont="1" applyAlignment="1">
      <alignment horizontal="center" vertical="center"/>
    </xf>
    <xf numFmtId="14" fontId="0" fillId="0" borderId="0" xfId="0" applyNumberFormat="1"/>
    <xf numFmtId="0" fontId="0" fillId="0" borderId="1" xfId="0" applyBorder="1"/>
    <xf numFmtId="14" fontId="0" fillId="0" borderId="1" xfId="0" applyNumberFormat="1" applyBorder="1" applyAlignment="1">
      <alignment horizontal="center"/>
    </xf>
    <xf numFmtId="44" fontId="0" fillId="0" borderId="0" xfId="1" applyFont="1" applyAlignment="1">
      <alignment horizontal="right"/>
    </xf>
    <xf numFmtId="14" fontId="0" fillId="0" borderId="0" xfId="0" applyNumberFormat="1" applyAlignment="1">
      <alignment horizontal="right"/>
    </xf>
    <xf numFmtId="14" fontId="8" fillId="0" borderId="3" xfId="0" applyNumberFormat="1" applyFont="1" applyBorder="1"/>
    <xf numFmtId="0" fontId="9" fillId="0" borderId="0" xfId="0" applyFont="1"/>
    <xf numFmtId="44" fontId="2" fillId="0" borderId="0" xfId="1" applyFont="1" applyAlignment="1">
      <alignment horizontal="center" vertical="center"/>
    </xf>
    <xf numFmtId="44" fontId="2" fillId="0" borderId="0" xfId="1" applyFont="1"/>
    <xf numFmtId="0" fontId="0" fillId="0" borderId="0" xfId="0" applyAlignment="1">
      <alignment horizontal="center"/>
    </xf>
    <xf numFmtId="0" fontId="10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164" fontId="8" fillId="0" borderId="4" xfId="0" applyNumberFormat="1" applyFont="1" applyBorder="1"/>
    <xf numFmtId="0" fontId="8" fillId="0" borderId="0" xfId="0" applyFont="1"/>
    <xf numFmtId="0" fontId="11" fillId="0" borderId="0" xfId="0" applyFont="1"/>
    <xf numFmtId="14" fontId="8" fillId="0" borderId="0" xfId="0" applyNumberFormat="1" applyFont="1"/>
    <xf numFmtId="164" fontId="8" fillId="0" borderId="5" xfId="0" applyNumberFormat="1" applyFont="1" applyBorder="1"/>
    <xf numFmtId="164" fontId="8" fillId="0" borderId="0" xfId="0" applyNumberFormat="1" applyFont="1"/>
    <xf numFmtId="14" fontId="8" fillId="0" borderId="3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right"/>
    </xf>
    <xf numFmtId="14" fontId="2" fillId="0" borderId="3" xfId="0" applyNumberFormat="1" applyFont="1" applyBorder="1" applyAlignment="1">
      <alignment horizontal="right"/>
    </xf>
    <xf numFmtId="0" fontId="5" fillId="2" borderId="2" xfId="0" applyFont="1" applyFill="1" applyBorder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14" fontId="1" fillId="3" borderId="3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44" fontId="1" fillId="4" borderId="1" xfId="0" applyNumberFormat="1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7" fillId="9" borderId="4" xfId="0" applyFont="1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8" fontId="0" fillId="4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44" fontId="0" fillId="4" borderId="1" xfId="0" applyNumberFormat="1" applyFill="1" applyBorder="1" applyAlignment="1">
      <alignment horizontal="center"/>
    </xf>
    <xf numFmtId="164" fontId="0" fillId="8" borderId="0" xfId="0" applyNumberFormat="1" applyFill="1" applyAlignment="1">
      <alignment horizontal="center"/>
    </xf>
    <xf numFmtId="164" fontId="0" fillId="8" borderId="0" xfId="0" applyNumberFormat="1" applyFill="1"/>
    <xf numFmtId="14" fontId="8" fillId="5" borderId="6" xfId="0" applyNumberFormat="1" applyFont="1" applyFill="1" applyBorder="1" applyAlignment="1">
      <alignment horizontal="center"/>
    </xf>
    <xf numFmtId="14" fontId="8" fillId="5" borderId="7" xfId="0" applyNumberFormat="1" applyFont="1" applyFill="1" applyBorder="1" applyAlignment="1">
      <alignment horizontal="center"/>
    </xf>
    <xf numFmtId="44" fontId="2" fillId="5" borderId="5" xfId="0" applyNumberFormat="1" applyFont="1" applyFill="1" applyBorder="1" applyAlignment="1">
      <alignment horizontal="center"/>
    </xf>
    <xf numFmtId="14" fontId="2" fillId="5" borderId="2" xfId="0" applyNumberFormat="1" applyFont="1" applyFill="1" applyBorder="1" applyAlignment="1">
      <alignment horizontal="center"/>
    </xf>
    <xf numFmtId="14" fontId="2" fillId="5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0" fontId="6" fillId="7" borderId="2" xfId="0" applyFont="1" applyFill="1" applyBorder="1"/>
    <xf numFmtId="14" fontId="6" fillId="7" borderId="3" xfId="0" applyNumberFormat="1" applyFont="1" applyFill="1" applyBorder="1" applyAlignment="1">
      <alignment horizontal="center"/>
    </xf>
    <xf numFmtId="44" fontId="6" fillId="7" borderId="3" xfId="0" applyNumberFormat="1" applyFont="1" applyFill="1" applyBorder="1"/>
    <xf numFmtId="14" fontId="6" fillId="7" borderId="3" xfId="0" applyNumberFormat="1" applyFont="1" applyFill="1" applyBorder="1" applyAlignment="1">
      <alignment horizontal="center" vertical="center"/>
    </xf>
    <xf numFmtId="0" fontId="6" fillId="7" borderId="4" xfId="0" applyFont="1" applyFill="1" applyBorder="1"/>
    <xf numFmtId="0" fontId="12" fillId="0" borderId="8" xfId="0" applyFont="1" applyBorder="1" applyAlignment="1">
      <alignment wrapText="1"/>
    </xf>
    <xf numFmtId="0" fontId="13" fillId="0" borderId="8" xfId="0" applyFont="1" applyBorder="1" applyAlignment="1">
      <alignment horizontal="center" wrapText="1"/>
    </xf>
    <xf numFmtId="0" fontId="12" fillId="0" borderId="8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4" fillId="0" borderId="8" xfId="0" applyFont="1" applyBorder="1" applyAlignment="1">
      <alignment horizontal="right" wrapText="1"/>
    </xf>
    <xf numFmtId="8" fontId="4" fillId="0" borderId="8" xfId="0" applyNumberFormat="1" applyFont="1" applyBorder="1" applyAlignment="1">
      <alignment horizontal="right" wrapText="1"/>
    </xf>
    <xf numFmtId="8" fontId="14" fillId="0" borderId="8" xfId="0" applyNumberFormat="1" applyFont="1" applyBorder="1" applyAlignment="1">
      <alignment horizontal="right" wrapText="1"/>
    </xf>
    <xf numFmtId="0" fontId="15" fillId="0" borderId="8" xfId="0" applyFont="1" applyBorder="1" applyAlignment="1">
      <alignment horizontal="right" wrapText="1"/>
    </xf>
    <xf numFmtId="0" fontId="4" fillId="0" borderId="0" xfId="0" applyFont="1"/>
    <xf numFmtId="14" fontId="8" fillId="0" borderId="2" xfId="0" applyNumberFormat="1" applyFont="1" applyBorder="1"/>
    <xf numFmtId="44" fontId="2" fillId="0" borderId="4" xfId="1" applyFont="1" applyBorder="1"/>
    <xf numFmtId="14" fontId="16" fillId="5" borderId="2" xfId="0" applyNumberFormat="1" applyFont="1" applyFill="1" applyBorder="1" applyAlignment="1">
      <alignment horizontal="center"/>
    </xf>
    <xf numFmtId="14" fontId="16" fillId="5" borderId="3" xfId="0" applyNumberFormat="1" applyFont="1" applyFill="1" applyBorder="1" applyAlignment="1">
      <alignment horizontal="center"/>
    </xf>
    <xf numFmtId="44" fontId="2" fillId="5" borderId="4" xfId="0" applyNumberFormat="1" applyFont="1" applyFill="1" applyBorder="1" applyAlignment="1">
      <alignment horizontal="center"/>
    </xf>
    <xf numFmtId="44" fontId="2" fillId="0" borderId="5" xfId="1" applyFont="1" applyBorder="1"/>
    <xf numFmtId="165" fontId="0" fillId="0" borderId="0" xfId="0" applyNumberFormat="1"/>
    <xf numFmtId="164" fontId="2" fillId="0" borderId="6" xfId="2" applyNumberFormat="1" applyFont="1" applyBorder="1" applyAlignment="1">
      <alignment horizontal="center"/>
    </xf>
    <xf numFmtId="164" fontId="2" fillId="0" borderId="7" xfId="2" applyNumberFormat="1" applyFont="1" applyBorder="1" applyAlignment="1">
      <alignment horizontal="center"/>
    </xf>
    <xf numFmtId="164" fontId="2" fillId="0" borderId="5" xfId="2" applyNumberFormat="1" applyFont="1" applyBorder="1" applyAlignment="1">
      <alignment horizontal="center"/>
    </xf>
  </cellXfs>
  <cellStyles count="3">
    <cellStyle name="Currency" xfId="1" builtinId="4"/>
    <cellStyle name="Normal" xfId="0" builtinId="0"/>
    <cellStyle name="Normal 4" xfId="2" xr:uid="{3D73CD8E-42D3-4B5E-AE52-6F70ACBCEA7E}"/>
  </cellStyles>
  <dxfs count="5">
    <dxf>
      <fill>
        <patternFill patternType="solid">
          <fgColor auto="1"/>
          <bgColor rgb="FF92D050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352" totalsRowShown="0">
  <autoFilter ref="A1:V352" xr:uid="{00000000-0009-0000-0100-000001000000}"/>
  <tableColumns count="22">
    <tableColumn id="1" xr3:uid="{00000000-0010-0000-0000-000001000000}" name="PATIENTS NAME"/>
    <tableColumn id="2" xr3:uid="{00000000-0010-0000-0000-000002000000}" name="Status"/>
    <tableColumn id="3" xr3:uid="{00000000-0010-0000-0000-000003000000}" name="SOC"/>
    <tableColumn id="4" xr3:uid="{00000000-0010-0000-0000-000004000000}" name="Paid 1"/>
    <tableColumn id="5" xr3:uid="{00000000-0010-0000-0000-000005000000}" name="Status 1"/>
    <tableColumn id="6" xr3:uid="{00000000-0010-0000-0000-000006000000}" name="Start 2"/>
    <tableColumn id="7" xr3:uid="{00000000-0010-0000-0000-000007000000}" name="Paid 2"/>
    <tableColumn id="8" xr3:uid="{00000000-0010-0000-0000-000008000000}" name="Status 2"/>
    <tableColumn id="9" xr3:uid="{00000000-0010-0000-0000-000009000000}" name="Start 3"/>
    <tableColumn id="10" xr3:uid="{00000000-0010-0000-0000-00000A000000}" name="Paid 3"/>
    <tableColumn id="11" xr3:uid="{00000000-0010-0000-0000-00000B000000}" name="Status 3"/>
    <tableColumn id="12" xr3:uid="{00000000-0010-0000-0000-00000C000000}" name="Start 4"/>
    <tableColumn id="13" xr3:uid="{00000000-0010-0000-0000-00000D000000}" name="Paid 4"/>
    <tableColumn id="14" xr3:uid="{00000000-0010-0000-0000-00000E000000}" name="Status 4"/>
    <tableColumn id="15" xr3:uid="{00000000-0010-0000-0000-00000F000000}" name="Start 5"/>
    <tableColumn id="16" xr3:uid="{00000000-0010-0000-0000-000010000000}" name="Paid 5"/>
    <tableColumn id="17" xr3:uid="{00000000-0010-0000-0000-000011000000}" name="Status 5"/>
    <tableColumn id="18" xr3:uid="{00000000-0010-0000-0000-000012000000}" name="Start 6"/>
    <tableColumn id="19" xr3:uid="{00000000-0010-0000-0000-000013000000}" name="Paid 6"/>
    <tableColumn id="20" xr3:uid="{00000000-0010-0000-0000-000014000000}" name="Status 6"/>
    <tableColumn id="21" xr3:uid="{00000000-0010-0000-0000-000015000000}" name="Status 7"/>
    <tableColumn id="22" xr3:uid="{00000000-0010-0000-0000-000016000000}" name="HIC/MBI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352"/>
  <sheetViews>
    <sheetView workbookViewId="0">
      <pane ySplit="1" topLeftCell="A311" activePane="bottomLeft" state="frozenSplit"/>
      <selection activeCell="F261" sqref="F261"/>
      <selection pane="bottomLeft" activeCell="B2" sqref="B2:T349"/>
    </sheetView>
  </sheetViews>
  <sheetFormatPr defaultColWidth="15.140625" defaultRowHeight="15.75" customHeight="1"/>
  <cols>
    <col min="1" max="1" width="27.5703125" bestFit="1" customWidth="1"/>
    <col min="2" max="2" width="10.140625" bestFit="1" customWidth="1"/>
    <col min="3" max="3" width="10.140625" style="3" bestFit="1" customWidth="1"/>
    <col min="4" max="4" width="15.140625" customWidth="1"/>
    <col min="5" max="5" width="9.85546875" bestFit="1" customWidth="1"/>
    <col min="6" max="6" width="11.42578125" bestFit="1" customWidth="1"/>
    <col min="7" max="7" width="10.42578125" style="1" customWidth="1"/>
    <col min="8" max="8" width="10.140625" bestFit="1" customWidth="1"/>
    <col min="9" max="9" width="11.42578125" bestFit="1" customWidth="1"/>
    <col min="10" max="10" width="10.42578125" style="1" customWidth="1"/>
    <col min="11" max="11" width="10.140625" bestFit="1" customWidth="1"/>
    <col min="12" max="12" width="11.42578125" bestFit="1" customWidth="1"/>
    <col min="13" max="13" width="10.42578125" style="1" customWidth="1"/>
    <col min="14" max="14" width="10.140625" bestFit="1" customWidth="1"/>
    <col min="15" max="15" width="11.42578125" bestFit="1" customWidth="1"/>
    <col min="16" max="16" width="10.5703125" style="1" bestFit="1" customWidth="1"/>
    <col min="17" max="17" width="12.5703125" bestFit="1" customWidth="1"/>
    <col min="18" max="18" width="11.42578125" bestFit="1" customWidth="1"/>
    <col min="19" max="19" width="10.42578125" customWidth="1"/>
    <col min="20" max="21" width="10.140625" customWidth="1"/>
    <col min="22" max="22" width="15.140625" hidden="1" customWidth="1"/>
    <col min="23" max="23" width="15.140625" customWidth="1"/>
  </cols>
  <sheetData>
    <row r="1" spans="1:23" ht="15.75" customHeight="1">
      <c r="A1" s="25" t="s">
        <v>0</v>
      </c>
      <c r="B1" s="26" t="s">
        <v>1</v>
      </c>
      <c r="C1" s="27" t="s">
        <v>2</v>
      </c>
      <c r="D1" s="28" t="s">
        <v>3</v>
      </c>
      <c r="E1" s="29" t="s">
        <v>4</v>
      </c>
      <c r="F1" s="30" t="s">
        <v>5</v>
      </c>
      <c r="G1" s="31" t="s">
        <v>6</v>
      </c>
      <c r="H1" s="29" t="s">
        <v>7</v>
      </c>
      <c r="I1" s="30" t="s">
        <v>8</v>
      </c>
      <c r="J1" s="31" t="s">
        <v>9</v>
      </c>
      <c r="K1" s="29" t="s">
        <v>10</v>
      </c>
      <c r="L1" s="30" t="s">
        <v>11</v>
      </c>
      <c r="M1" s="31" t="s">
        <v>12</v>
      </c>
      <c r="N1" s="29" t="s">
        <v>13</v>
      </c>
      <c r="O1" s="30" t="s">
        <v>14</v>
      </c>
      <c r="P1" s="31" t="s">
        <v>15</v>
      </c>
      <c r="Q1" s="29" t="s">
        <v>16</v>
      </c>
      <c r="R1" s="30" t="s">
        <v>17</v>
      </c>
      <c r="S1" s="28" t="s">
        <v>18</v>
      </c>
      <c r="T1" s="29" t="s">
        <v>19</v>
      </c>
      <c r="U1" s="32" t="s">
        <v>20</v>
      </c>
      <c r="V1" s="33" t="s">
        <v>21</v>
      </c>
      <c r="W1" s="33"/>
    </row>
    <row r="2" spans="1:23" ht="12.75" customHeight="1">
      <c r="A2" s="4"/>
      <c r="B2" s="34"/>
      <c r="C2" s="5"/>
      <c r="D2" s="35"/>
      <c r="E2" s="34"/>
      <c r="F2" s="36"/>
      <c r="G2" s="37"/>
      <c r="H2" s="34"/>
      <c r="I2" s="36"/>
      <c r="J2" s="37"/>
      <c r="K2" s="34"/>
      <c r="L2" s="36"/>
      <c r="M2" s="37"/>
      <c r="N2" s="38"/>
      <c r="O2" s="36"/>
      <c r="P2" s="39"/>
      <c r="Q2" s="34"/>
      <c r="R2" s="36"/>
      <c r="S2" s="35"/>
      <c r="T2" s="34"/>
      <c r="U2" s="40" t="str">
        <f t="shared" ref="U2:U49" si="0">IF(OR(E2="a",H2="a",K2="a",N2="a",Q2="a",T2="a"),"a",IF(OR(E2="In Process",H2="In Process",K2="In PRocess",N2="In Process",Q2="In Process",T2="In Process"),"X",""))</f>
        <v/>
      </c>
      <c r="V2" t="s">
        <v>22</v>
      </c>
    </row>
    <row r="3" spans="1:23" ht="12.75" customHeight="1">
      <c r="A3" s="4"/>
      <c r="B3" s="34"/>
      <c r="C3" s="5"/>
      <c r="D3" s="35"/>
      <c r="E3" s="34"/>
      <c r="F3" s="36"/>
      <c r="G3" s="37"/>
      <c r="H3" s="34"/>
      <c r="I3" s="36"/>
      <c r="J3" s="39"/>
      <c r="K3" s="38"/>
      <c r="L3" s="36"/>
      <c r="M3" s="39"/>
      <c r="N3" s="38"/>
      <c r="O3" s="36"/>
      <c r="P3" s="39"/>
      <c r="Q3" s="38"/>
      <c r="R3" s="36"/>
      <c r="S3" s="35"/>
      <c r="T3" s="34"/>
      <c r="U3" s="40" t="str">
        <f t="shared" si="0"/>
        <v/>
      </c>
      <c r="V3" t="s">
        <v>23</v>
      </c>
    </row>
    <row r="4" spans="1:23" ht="12.75" customHeight="1">
      <c r="A4" s="4"/>
      <c r="B4" s="34"/>
      <c r="C4" s="5"/>
      <c r="D4" s="35"/>
      <c r="E4" s="34"/>
      <c r="F4" s="36"/>
      <c r="G4" s="37"/>
      <c r="H4" s="34"/>
      <c r="I4" s="36"/>
      <c r="J4" s="39"/>
      <c r="K4" s="38"/>
      <c r="L4" s="36"/>
      <c r="M4" s="39"/>
      <c r="N4" s="38"/>
      <c r="O4" s="36"/>
      <c r="P4" s="39"/>
      <c r="Q4" s="38"/>
      <c r="R4" s="36"/>
      <c r="S4" s="39"/>
      <c r="T4" s="38"/>
      <c r="U4" s="40" t="str">
        <f t="shared" si="0"/>
        <v/>
      </c>
      <c r="V4" s="13" t="s">
        <v>24</v>
      </c>
    </row>
    <row r="5" spans="1:23" ht="12.75" customHeight="1">
      <c r="A5" s="4"/>
      <c r="B5" s="34"/>
      <c r="C5" s="5"/>
      <c r="D5" s="35"/>
      <c r="E5" s="38"/>
      <c r="F5" s="36"/>
      <c r="G5" s="37"/>
      <c r="H5" s="38"/>
      <c r="I5" s="36"/>
      <c r="J5" s="37"/>
      <c r="K5" s="38"/>
      <c r="L5" s="36"/>
      <c r="M5" s="37"/>
      <c r="N5" s="38"/>
      <c r="O5" s="36"/>
      <c r="P5" s="39"/>
      <c r="Q5" s="34"/>
      <c r="R5" s="36"/>
      <c r="S5" s="35"/>
      <c r="T5" s="34"/>
      <c r="U5" s="40" t="str">
        <f t="shared" si="0"/>
        <v/>
      </c>
      <c r="V5" t="s">
        <v>25</v>
      </c>
    </row>
    <row r="6" spans="1:23" ht="12.75" customHeight="1">
      <c r="A6" s="4"/>
      <c r="B6" s="34"/>
      <c r="C6" s="5"/>
      <c r="D6" s="35"/>
      <c r="E6" s="34"/>
      <c r="F6" s="36"/>
      <c r="G6" s="37"/>
      <c r="H6" s="34"/>
      <c r="I6" s="36"/>
      <c r="J6" s="37"/>
      <c r="K6" s="38"/>
      <c r="L6" s="36"/>
      <c r="M6" s="37"/>
      <c r="N6" s="38"/>
      <c r="O6" s="36"/>
      <c r="P6" s="37"/>
      <c r="Q6" s="34"/>
      <c r="R6" s="36"/>
      <c r="S6" s="35"/>
      <c r="T6" s="34"/>
      <c r="U6" s="40" t="str">
        <f t="shared" si="0"/>
        <v/>
      </c>
      <c r="V6" t="s">
        <v>26</v>
      </c>
    </row>
    <row r="7" spans="1:23" ht="12.75" customHeight="1">
      <c r="A7" s="4"/>
      <c r="B7" s="34"/>
      <c r="C7" s="5"/>
      <c r="D7" s="35"/>
      <c r="E7" s="34"/>
      <c r="F7" s="36"/>
      <c r="G7" s="37"/>
      <c r="H7" s="34"/>
      <c r="I7" s="36"/>
      <c r="J7" s="39"/>
      <c r="K7" s="38"/>
      <c r="L7" s="36"/>
      <c r="M7" s="39"/>
      <c r="N7" s="38"/>
      <c r="O7" s="36"/>
      <c r="P7" s="39"/>
      <c r="Q7" s="34"/>
      <c r="R7" s="36"/>
      <c r="S7" s="35"/>
      <c r="T7" s="34"/>
      <c r="U7" s="40" t="str">
        <f t="shared" si="0"/>
        <v/>
      </c>
      <c r="V7" t="s">
        <v>27</v>
      </c>
    </row>
    <row r="8" spans="1:23" ht="12.75" customHeight="1">
      <c r="A8" s="4"/>
      <c r="B8" s="34"/>
      <c r="C8" s="5"/>
      <c r="D8" s="35"/>
      <c r="E8" s="34"/>
      <c r="F8" s="36"/>
      <c r="G8" s="37"/>
      <c r="H8" s="34"/>
      <c r="I8" s="36"/>
      <c r="J8" s="37"/>
      <c r="K8" s="38"/>
      <c r="L8" s="36"/>
      <c r="M8" s="37"/>
      <c r="N8" s="38"/>
      <c r="O8" s="36"/>
      <c r="P8" s="37"/>
      <c r="Q8" s="34"/>
      <c r="R8" s="36"/>
      <c r="S8" s="35"/>
      <c r="T8" s="34"/>
      <c r="U8" s="40" t="str">
        <f t="shared" si="0"/>
        <v/>
      </c>
      <c r="V8" t="s">
        <v>28</v>
      </c>
    </row>
    <row r="9" spans="1:23" ht="12.75" customHeight="1">
      <c r="A9" s="4"/>
      <c r="B9" s="34"/>
      <c r="C9" s="5"/>
      <c r="D9" s="35"/>
      <c r="E9" s="34"/>
      <c r="F9" s="36"/>
      <c r="G9" s="37"/>
      <c r="H9" s="34"/>
      <c r="I9" s="36"/>
      <c r="J9" s="37"/>
      <c r="K9" s="38"/>
      <c r="L9" s="36"/>
      <c r="M9" s="37"/>
      <c r="N9" s="38"/>
      <c r="O9" s="36"/>
      <c r="P9" s="39"/>
      <c r="Q9" s="34"/>
      <c r="R9" s="36"/>
      <c r="S9" s="35"/>
      <c r="T9" s="34"/>
      <c r="U9" s="40" t="str">
        <f t="shared" si="0"/>
        <v/>
      </c>
      <c r="V9" t="s">
        <v>29</v>
      </c>
    </row>
    <row r="10" spans="1:23" ht="12.75" customHeight="1">
      <c r="A10" s="4"/>
      <c r="B10" s="34"/>
      <c r="C10" s="5"/>
      <c r="D10" s="35"/>
      <c r="E10" s="34"/>
      <c r="F10" s="36"/>
      <c r="G10" s="37"/>
      <c r="H10" s="34"/>
      <c r="I10" s="36"/>
      <c r="J10" s="37"/>
      <c r="K10" s="38"/>
      <c r="L10" s="36"/>
      <c r="M10" s="37"/>
      <c r="N10" s="38"/>
      <c r="O10" s="36"/>
      <c r="P10" s="37"/>
      <c r="Q10" s="34"/>
      <c r="R10" s="36"/>
      <c r="S10" s="35"/>
      <c r="T10" s="34"/>
      <c r="U10" s="40" t="str">
        <f t="shared" si="0"/>
        <v/>
      </c>
      <c r="V10" t="s">
        <v>30</v>
      </c>
    </row>
    <row r="11" spans="1:23" ht="12.75" customHeight="1">
      <c r="A11" s="4"/>
      <c r="B11" s="34"/>
      <c r="C11" s="5"/>
      <c r="D11" s="35"/>
      <c r="E11" s="34"/>
      <c r="F11" s="36"/>
      <c r="G11" s="37"/>
      <c r="H11" s="34"/>
      <c r="I11" s="36"/>
      <c r="J11" s="37"/>
      <c r="K11" s="38"/>
      <c r="L11" s="36"/>
      <c r="M11" s="37"/>
      <c r="N11" s="38"/>
      <c r="O11" s="36"/>
      <c r="P11" s="39"/>
      <c r="Q11" s="34"/>
      <c r="R11" s="36"/>
      <c r="S11" s="35"/>
      <c r="T11" s="34"/>
      <c r="U11" s="40" t="str">
        <f t="shared" si="0"/>
        <v/>
      </c>
      <c r="V11" t="s">
        <v>31</v>
      </c>
    </row>
    <row r="12" spans="1:23" ht="12.75" customHeight="1">
      <c r="A12" s="4"/>
      <c r="B12" s="34"/>
      <c r="C12" s="5"/>
      <c r="D12" s="35"/>
      <c r="E12" s="34"/>
      <c r="F12" s="36"/>
      <c r="G12" s="37"/>
      <c r="H12" s="34"/>
      <c r="I12" s="36"/>
      <c r="J12" s="39"/>
      <c r="K12" s="38"/>
      <c r="L12" s="36"/>
      <c r="M12" s="39"/>
      <c r="N12" s="38"/>
      <c r="O12" s="36"/>
      <c r="P12" s="39"/>
      <c r="Q12" s="34"/>
      <c r="R12" s="36"/>
      <c r="S12" s="35"/>
      <c r="T12" s="34"/>
      <c r="U12" s="40" t="str">
        <f t="shared" si="0"/>
        <v/>
      </c>
      <c r="V12" t="s">
        <v>32</v>
      </c>
    </row>
    <row r="13" spans="1:23" ht="12.75" customHeight="1">
      <c r="A13" s="4"/>
      <c r="B13" s="34"/>
      <c r="C13" s="5"/>
      <c r="D13" s="35"/>
      <c r="E13" s="34"/>
      <c r="F13" s="36"/>
      <c r="G13" s="37"/>
      <c r="H13" s="34"/>
      <c r="I13" s="36"/>
      <c r="J13" s="39"/>
      <c r="K13" s="38"/>
      <c r="L13" s="36"/>
      <c r="M13" s="39"/>
      <c r="N13" s="38"/>
      <c r="O13" s="36"/>
      <c r="P13" s="39"/>
      <c r="Q13" s="34"/>
      <c r="R13" s="36"/>
      <c r="S13" s="35"/>
      <c r="T13" s="34"/>
      <c r="U13" s="40" t="str">
        <f t="shared" si="0"/>
        <v/>
      </c>
      <c r="V13" t="s">
        <v>33</v>
      </c>
    </row>
    <row r="14" spans="1:23" ht="12.75" customHeight="1">
      <c r="A14" s="4"/>
      <c r="B14" s="34"/>
      <c r="C14" s="5"/>
      <c r="D14" s="35"/>
      <c r="E14" s="34"/>
      <c r="F14" s="36"/>
      <c r="G14" s="37"/>
      <c r="H14" s="34"/>
      <c r="I14" s="36"/>
      <c r="J14" s="37"/>
      <c r="K14" s="38"/>
      <c r="L14" s="36"/>
      <c r="M14" s="37"/>
      <c r="N14" s="38"/>
      <c r="O14" s="36"/>
      <c r="P14" s="39"/>
      <c r="Q14" s="34"/>
      <c r="R14" s="36"/>
      <c r="S14" s="35"/>
      <c r="T14" s="34"/>
      <c r="U14" s="40" t="str">
        <f t="shared" si="0"/>
        <v/>
      </c>
      <c r="V14" t="s">
        <v>34</v>
      </c>
    </row>
    <row r="15" spans="1:23" ht="12.75" customHeight="1">
      <c r="A15" s="4"/>
      <c r="B15" s="34"/>
      <c r="C15" s="5"/>
      <c r="D15" s="35"/>
      <c r="E15" s="34"/>
      <c r="F15" s="36"/>
      <c r="G15" s="37"/>
      <c r="H15" s="34"/>
      <c r="I15" s="36"/>
      <c r="J15" s="37"/>
      <c r="K15" s="38"/>
      <c r="L15" s="36"/>
      <c r="M15" s="37"/>
      <c r="N15" s="38"/>
      <c r="O15" s="36"/>
      <c r="P15" s="39"/>
      <c r="Q15" s="34"/>
      <c r="R15" s="36"/>
      <c r="S15" s="35"/>
      <c r="T15" s="34"/>
      <c r="U15" s="40" t="str">
        <f t="shared" si="0"/>
        <v/>
      </c>
      <c r="V15" t="s">
        <v>35</v>
      </c>
    </row>
    <row r="16" spans="1:23" ht="12.75" customHeight="1">
      <c r="A16" s="4"/>
      <c r="B16" s="34"/>
      <c r="C16" s="5"/>
      <c r="D16" s="35"/>
      <c r="E16" s="34"/>
      <c r="F16" s="36"/>
      <c r="G16" s="37"/>
      <c r="H16" s="34"/>
      <c r="I16" s="36"/>
      <c r="J16" s="39"/>
      <c r="K16" s="38"/>
      <c r="L16" s="36"/>
      <c r="M16" s="39"/>
      <c r="N16" s="38"/>
      <c r="O16" s="36"/>
      <c r="P16" s="39"/>
      <c r="Q16" s="34"/>
      <c r="R16" s="36"/>
      <c r="S16" s="35"/>
      <c r="T16" s="34"/>
      <c r="U16" s="40" t="str">
        <f t="shared" si="0"/>
        <v/>
      </c>
      <c r="V16" t="s">
        <v>36</v>
      </c>
    </row>
    <row r="17" spans="1:22" ht="12.75" customHeight="1">
      <c r="A17" s="4"/>
      <c r="B17" s="34"/>
      <c r="C17" s="5"/>
      <c r="D17" s="35"/>
      <c r="E17" s="34"/>
      <c r="F17" s="36"/>
      <c r="G17" s="39"/>
      <c r="H17" s="34"/>
      <c r="I17" s="36"/>
      <c r="J17" s="39"/>
      <c r="K17" s="38"/>
      <c r="L17" s="36"/>
      <c r="M17" s="39"/>
      <c r="N17" s="38"/>
      <c r="O17" s="36"/>
      <c r="P17" s="39"/>
      <c r="Q17" s="34"/>
      <c r="R17" s="36"/>
      <c r="S17" s="35"/>
      <c r="T17" s="34"/>
      <c r="U17" s="40" t="str">
        <f t="shared" si="0"/>
        <v/>
      </c>
      <c r="V17" t="s">
        <v>37</v>
      </c>
    </row>
    <row r="18" spans="1:22" ht="12.75" customHeight="1">
      <c r="A18" s="4"/>
      <c r="B18" s="34"/>
      <c r="C18" s="5"/>
      <c r="D18" s="35"/>
      <c r="E18" s="34"/>
      <c r="F18" s="36"/>
      <c r="G18" s="37"/>
      <c r="H18" s="34"/>
      <c r="I18" s="36"/>
      <c r="J18" s="37"/>
      <c r="K18" s="38"/>
      <c r="L18" s="36"/>
      <c r="M18" s="37"/>
      <c r="N18" s="38"/>
      <c r="O18" s="36"/>
      <c r="P18" s="39"/>
      <c r="Q18" s="34"/>
      <c r="R18" s="36"/>
      <c r="S18" s="35"/>
      <c r="T18" s="34"/>
      <c r="U18" s="40" t="str">
        <f t="shared" si="0"/>
        <v/>
      </c>
      <c r="V18" t="s">
        <v>38</v>
      </c>
    </row>
    <row r="19" spans="1:22" ht="12.75" customHeight="1">
      <c r="A19" s="4"/>
      <c r="B19" s="34"/>
      <c r="C19" s="5"/>
      <c r="D19" s="35"/>
      <c r="E19" s="34"/>
      <c r="F19" s="36"/>
      <c r="G19" s="37"/>
      <c r="H19" s="34"/>
      <c r="I19" s="36"/>
      <c r="J19" s="39"/>
      <c r="K19" s="38"/>
      <c r="L19" s="36"/>
      <c r="M19" s="39"/>
      <c r="N19" s="38"/>
      <c r="O19" s="36"/>
      <c r="P19" s="39"/>
      <c r="Q19" s="34"/>
      <c r="R19" s="36"/>
      <c r="S19" s="35"/>
      <c r="T19" s="34"/>
      <c r="U19" s="40" t="str">
        <f t="shared" si="0"/>
        <v/>
      </c>
      <c r="V19" t="s">
        <v>39</v>
      </c>
    </row>
    <row r="20" spans="1:22" ht="12.75" customHeight="1">
      <c r="A20" s="4"/>
      <c r="B20" s="34"/>
      <c r="C20" s="5"/>
      <c r="D20" s="35"/>
      <c r="E20" s="34"/>
      <c r="F20" s="36"/>
      <c r="G20" s="37"/>
      <c r="H20" s="34"/>
      <c r="I20" s="36"/>
      <c r="J20" s="39"/>
      <c r="K20" s="38"/>
      <c r="L20" s="36"/>
      <c r="M20" s="39"/>
      <c r="N20" s="38"/>
      <c r="O20" s="36"/>
      <c r="P20" s="39"/>
      <c r="Q20" s="34"/>
      <c r="R20" s="36"/>
      <c r="S20" s="35"/>
      <c r="T20" s="34"/>
      <c r="U20" s="40" t="str">
        <f t="shared" si="0"/>
        <v/>
      </c>
      <c r="V20" t="s">
        <v>40</v>
      </c>
    </row>
    <row r="21" spans="1:22" ht="12.75" customHeight="1">
      <c r="A21" s="4"/>
      <c r="B21" s="34"/>
      <c r="C21" s="5"/>
      <c r="D21" s="35"/>
      <c r="E21" s="34"/>
      <c r="F21" s="36"/>
      <c r="G21" s="37"/>
      <c r="H21" s="34"/>
      <c r="I21" s="36"/>
      <c r="J21" s="39"/>
      <c r="K21" s="38"/>
      <c r="L21" s="36"/>
      <c r="M21" s="39"/>
      <c r="N21" s="38"/>
      <c r="O21" s="36"/>
      <c r="P21" s="39"/>
      <c r="Q21" s="34"/>
      <c r="R21" s="36"/>
      <c r="S21" s="35"/>
      <c r="T21" s="34"/>
      <c r="U21" s="40" t="str">
        <f t="shared" si="0"/>
        <v/>
      </c>
      <c r="V21" t="s">
        <v>41</v>
      </c>
    </row>
    <row r="22" spans="1:22" ht="12.75" customHeight="1">
      <c r="A22" s="4"/>
      <c r="B22" s="34"/>
      <c r="C22" s="5"/>
      <c r="D22" s="35"/>
      <c r="E22" s="34"/>
      <c r="F22" s="36"/>
      <c r="G22" s="37"/>
      <c r="H22" s="34"/>
      <c r="I22" s="36"/>
      <c r="J22" s="37"/>
      <c r="K22" s="38"/>
      <c r="L22" s="36"/>
      <c r="M22" s="37"/>
      <c r="N22" s="38"/>
      <c r="O22" s="36"/>
      <c r="P22" s="39"/>
      <c r="Q22" s="34"/>
      <c r="R22" s="36"/>
      <c r="S22" s="35"/>
      <c r="T22" s="34"/>
      <c r="U22" s="40" t="str">
        <f t="shared" si="0"/>
        <v/>
      </c>
      <c r="V22" t="s">
        <v>42</v>
      </c>
    </row>
    <row r="23" spans="1:22" ht="12.75" customHeight="1">
      <c r="A23" s="4"/>
      <c r="B23" s="34"/>
      <c r="C23" s="5"/>
      <c r="D23" s="35"/>
      <c r="E23" s="34"/>
      <c r="F23" s="36"/>
      <c r="G23" s="37"/>
      <c r="H23" s="34"/>
      <c r="I23" s="36"/>
      <c r="J23" s="37"/>
      <c r="K23" s="38"/>
      <c r="L23" s="36"/>
      <c r="M23" s="37"/>
      <c r="N23" s="38"/>
      <c r="O23" s="36"/>
      <c r="P23" s="39"/>
      <c r="Q23" s="34"/>
      <c r="R23" s="36"/>
      <c r="S23" s="35"/>
      <c r="T23" s="34"/>
      <c r="U23" s="40" t="str">
        <f t="shared" si="0"/>
        <v/>
      </c>
      <c r="V23" t="s">
        <v>43</v>
      </c>
    </row>
    <row r="24" spans="1:22" ht="12.75" customHeight="1">
      <c r="A24" s="4"/>
      <c r="B24" s="34"/>
      <c r="C24" s="5"/>
      <c r="D24" s="35"/>
      <c r="E24" s="34"/>
      <c r="F24" s="36"/>
      <c r="G24" s="37"/>
      <c r="H24" s="34"/>
      <c r="I24" s="36"/>
      <c r="J24" s="37"/>
      <c r="K24" s="38"/>
      <c r="L24" s="36"/>
      <c r="M24" s="37"/>
      <c r="N24" s="38"/>
      <c r="O24" s="36"/>
      <c r="P24" s="39"/>
      <c r="Q24" s="34"/>
      <c r="R24" s="36"/>
      <c r="S24" s="35"/>
      <c r="T24" s="34"/>
      <c r="U24" s="40" t="str">
        <f t="shared" si="0"/>
        <v/>
      </c>
      <c r="V24" t="s">
        <v>44</v>
      </c>
    </row>
    <row r="25" spans="1:22" ht="12.75" customHeight="1">
      <c r="A25" s="4"/>
      <c r="B25" s="34"/>
      <c r="C25" s="5"/>
      <c r="D25" s="35"/>
      <c r="E25" s="34"/>
      <c r="F25" s="36"/>
      <c r="G25" s="37"/>
      <c r="H25" s="34"/>
      <c r="I25" s="36"/>
      <c r="J25" s="37"/>
      <c r="K25" s="38"/>
      <c r="L25" s="36"/>
      <c r="M25" s="37"/>
      <c r="N25" s="38"/>
      <c r="O25" s="36"/>
      <c r="P25" s="39"/>
      <c r="Q25" s="34"/>
      <c r="R25" s="36"/>
      <c r="S25" s="35"/>
      <c r="T25" s="34"/>
      <c r="U25" s="40" t="str">
        <f t="shared" si="0"/>
        <v/>
      </c>
      <c r="V25" t="s">
        <v>45</v>
      </c>
    </row>
    <row r="26" spans="1:22" ht="12.75" customHeight="1">
      <c r="A26" s="4"/>
      <c r="B26" s="34"/>
      <c r="C26" s="5"/>
      <c r="D26" s="35"/>
      <c r="E26" s="34"/>
      <c r="F26" s="36"/>
      <c r="G26" s="37"/>
      <c r="H26" s="34"/>
      <c r="I26" s="36"/>
      <c r="J26" s="37"/>
      <c r="K26" s="38"/>
      <c r="L26" s="36"/>
      <c r="M26" s="37"/>
      <c r="N26" s="38"/>
      <c r="O26" s="36"/>
      <c r="P26" s="39"/>
      <c r="Q26" s="34"/>
      <c r="R26" s="36"/>
      <c r="S26" s="35"/>
      <c r="T26" s="34"/>
      <c r="U26" s="40" t="str">
        <f t="shared" si="0"/>
        <v/>
      </c>
      <c r="V26" t="s">
        <v>46</v>
      </c>
    </row>
    <row r="27" spans="1:22" ht="12.75" customHeight="1">
      <c r="A27" s="4"/>
      <c r="B27" s="34"/>
      <c r="C27" s="5"/>
      <c r="D27" s="35"/>
      <c r="E27" s="34"/>
      <c r="F27" s="36"/>
      <c r="G27" s="37"/>
      <c r="H27" s="34"/>
      <c r="I27" s="36"/>
      <c r="J27" s="37"/>
      <c r="K27" s="38"/>
      <c r="L27" s="36"/>
      <c r="M27" s="37"/>
      <c r="N27" s="38"/>
      <c r="O27" s="36"/>
      <c r="P27" s="37"/>
      <c r="Q27" s="38"/>
      <c r="R27" s="36"/>
      <c r="S27" s="35"/>
      <c r="T27" s="34"/>
      <c r="U27" s="40" t="str">
        <f t="shared" si="0"/>
        <v/>
      </c>
      <c r="V27" t="s">
        <v>47</v>
      </c>
    </row>
    <row r="28" spans="1:22" ht="12.75" customHeight="1">
      <c r="A28" s="4"/>
      <c r="B28" s="34"/>
      <c r="C28" s="5"/>
      <c r="D28" s="35"/>
      <c r="E28" s="34"/>
      <c r="F28" s="36"/>
      <c r="G28" s="37"/>
      <c r="H28" s="34"/>
      <c r="I28" s="36"/>
      <c r="J28" s="37"/>
      <c r="K28" s="38"/>
      <c r="L28" s="36"/>
      <c r="M28" s="37"/>
      <c r="N28" s="38"/>
      <c r="O28" s="36"/>
      <c r="P28" s="37"/>
      <c r="Q28" s="34"/>
      <c r="R28" s="36"/>
      <c r="S28" s="35"/>
      <c r="T28" s="34"/>
      <c r="U28" s="40" t="str">
        <f t="shared" si="0"/>
        <v/>
      </c>
      <c r="V28" t="s">
        <v>48</v>
      </c>
    </row>
    <row r="29" spans="1:22" ht="12.75" customHeight="1">
      <c r="A29" s="4"/>
      <c r="B29" s="34"/>
      <c r="C29" s="5"/>
      <c r="D29" s="35"/>
      <c r="E29" s="34"/>
      <c r="F29" s="36"/>
      <c r="G29" s="37"/>
      <c r="H29" s="34"/>
      <c r="I29" s="36"/>
      <c r="J29" s="39"/>
      <c r="K29" s="38"/>
      <c r="L29" s="36"/>
      <c r="M29" s="39"/>
      <c r="N29" s="38"/>
      <c r="O29" s="36"/>
      <c r="P29" s="39"/>
      <c r="Q29" s="34"/>
      <c r="R29" s="36"/>
      <c r="S29" s="35"/>
      <c r="T29" s="34"/>
      <c r="U29" s="40" t="str">
        <f t="shared" si="0"/>
        <v/>
      </c>
      <c r="V29" t="s">
        <v>49</v>
      </c>
    </row>
    <row r="30" spans="1:22" ht="12.75" customHeight="1">
      <c r="A30" s="4"/>
      <c r="B30" s="34"/>
      <c r="C30" s="5"/>
      <c r="D30" s="35"/>
      <c r="E30" s="34"/>
      <c r="F30" s="36"/>
      <c r="G30" s="37"/>
      <c r="H30" s="34"/>
      <c r="I30" s="36"/>
      <c r="J30" s="37"/>
      <c r="K30" s="38"/>
      <c r="L30" s="36"/>
      <c r="M30" s="37"/>
      <c r="N30" s="38"/>
      <c r="O30" s="36"/>
      <c r="P30" s="39"/>
      <c r="Q30" s="34"/>
      <c r="R30" s="36"/>
      <c r="S30" s="35"/>
      <c r="T30" s="34"/>
      <c r="U30" s="40" t="str">
        <f t="shared" si="0"/>
        <v/>
      </c>
      <c r="V30" t="s">
        <v>50</v>
      </c>
    </row>
    <row r="31" spans="1:22" ht="12.75" customHeight="1">
      <c r="A31" s="4"/>
      <c r="B31" s="34"/>
      <c r="C31" s="5"/>
      <c r="D31" s="35"/>
      <c r="E31" s="34"/>
      <c r="F31" s="36"/>
      <c r="G31" s="37"/>
      <c r="H31" s="34"/>
      <c r="I31" s="36"/>
      <c r="J31" s="37"/>
      <c r="K31" s="38"/>
      <c r="L31" s="36"/>
      <c r="M31" s="37"/>
      <c r="N31" s="38"/>
      <c r="O31" s="36"/>
      <c r="P31" s="39"/>
      <c r="Q31" s="34"/>
      <c r="R31" s="36"/>
      <c r="S31" s="35"/>
      <c r="T31" s="34"/>
      <c r="U31" s="40" t="str">
        <f t="shared" si="0"/>
        <v/>
      </c>
      <c r="V31" t="s">
        <v>51</v>
      </c>
    </row>
    <row r="32" spans="1:22" ht="12.75" customHeight="1">
      <c r="A32" s="4"/>
      <c r="B32" s="34"/>
      <c r="C32" s="5"/>
      <c r="D32" s="35"/>
      <c r="E32" s="34"/>
      <c r="F32" s="36"/>
      <c r="G32" s="37"/>
      <c r="H32" s="34"/>
      <c r="I32" s="36"/>
      <c r="J32" s="37"/>
      <c r="K32" s="38"/>
      <c r="L32" s="36"/>
      <c r="M32" s="39"/>
      <c r="N32" s="38"/>
      <c r="O32" s="36"/>
      <c r="P32" s="39"/>
      <c r="Q32" s="34"/>
      <c r="R32" s="36"/>
      <c r="S32" s="35"/>
      <c r="T32" s="34"/>
      <c r="U32" s="40" t="str">
        <f t="shared" si="0"/>
        <v/>
      </c>
      <c r="V32" t="s">
        <v>52</v>
      </c>
    </row>
    <row r="33" spans="1:22" ht="12.75" customHeight="1">
      <c r="A33" s="4"/>
      <c r="B33" s="34"/>
      <c r="C33" s="5"/>
      <c r="D33" s="35"/>
      <c r="E33" s="34"/>
      <c r="F33" s="36"/>
      <c r="G33" s="37"/>
      <c r="H33" s="34"/>
      <c r="I33" s="36"/>
      <c r="J33" s="37"/>
      <c r="K33" s="38"/>
      <c r="L33" s="36"/>
      <c r="M33" s="37"/>
      <c r="N33" s="38"/>
      <c r="O33" s="36"/>
      <c r="P33" s="37"/>
      <c r="Q33" s="34"/>
      <c r="R33" s="36"/>
      <c r="S33" s="35"/>
      <c r="T33" s="34"/>
      <c r="U33" s="40" t="str">
        <f t="shared" si="0"/>
        <v/>
      </c>
      <c r="V33" t="s">
        <v>53</v>
      </c>
    </row>
    <row r="34" spans="1:22" ht="12.75" customHeight="1">
      <c r="A34" s="4"/>
      <c r="B34" s="34"/>
      <c r="C34" s="5"/>
      <c r="D34" s="35"/>
      <c r="E34" s="34"/>
      <c r="F34" s="36"/>
      <c r="G34" s="37"/>
      <c r="H34" s="34"/>
      <c r="I34" s="36"/>
      <c r="J34" s="37"/>
      <c r="K34" s="38"/>
      <c r="L34" s="36"/>
      <c r="M34" s="37"/>
      <c r="N34" s="38"/>
      <c r="O34" s="36"/>
      <c r="P34" s="37"/>
      <c r="Q34" s="34"/>
      <c r="R34" s="36"/>
      <c r="S34" s="35"/>
      <c r="T34" s="34"/>
      <c r="U34" s="40" t="str">
        <f t="shared" si="0"/>
        <v/>
      </c>
      <c r="V34" t="s">
        <v>54</v>
      </c>
    </row>
    <row r="35" spans="1:22" ht="12.75" customHeight="1">
      <c r="A35" s="4"/>
      <c r="B35" s="34"/>
      <c r="C35" s="5"/>
      <c r="D35" s="35"/>
      <c r="E35" s="34"/>
      <c r="F35" s="36"/>
      <c r="G35" s="37"/>
      <c r="H35" s="34"/>
      <c r="I35" s="36"/>
      <c r="J35" s="37"/>
      <c r="K35" s="38"/>
      <c r="L35" s="36"/>
      <c r="M35" s="37"/>
      <c r="N35" s="38"/>
      <c r="O35" s="36"/>
      <c r="P35" s="37"/>
      <c r="Q35" s="34"/>
      <c r="R35" s="36"/>
      <c r="S35" s="35"/>
      <c r="T35" s="34"/>
      <c r="U35" s="40" t="str">
        <f t="shared" si="0"/>
        <v/>
      </c>
      <c r="V35" t="s">
        <v>55</v>
      </c>
    </row>
    <row r="36" spans="1:22" ht="12.75" customHeight="1">
      <c r="A36" s="4"/>
      <c r="B36" s="34"/>
      <c r="C36" s="5"/>
      <c r="D36" s="35"/>
      <c r="E36" s="34"/>
      <c r="F36" s="36"/>
      <c r="G36" s="37"/>
      <c r="H36" s="34"/>
      <c r="I36" s="36"/>
      <c r="J36" s="37"/>
      <c r="K36" s="38"/>
      <c r="L36" s="36"/>
      <c r="M36" s="37"/>
      <c r="N36" s="38"/>
      <c r="O36" s="36"/>
      <c r="P36" s="37"/>
      <c r="Q36" s="34"/>
      <c r="R36" s="36"/>
      <c r="S36" s="35"/>
      <c r="T36" s="34"/>
      <c r="U36" s="40" t="str">
        <f t="shared" si="0"/>
        <v/>
      </c>
      <c r="V36" t="s">
        <v>56</v>
      </c>
    </row>
    <row r="37" spans="1:22" ht="12.75" customHeight="1">
      <c r="A37" s="4"/>
      <c r="B37" s="34"/>
      <c r="C37" s="5"/>
      <c r="D37" s="35"/>
      <c r="E37" s="34"/>
      <c r="F37" s="36"/>
      <c r="G37" s="37"/>
      <c r="H37" s="34"/>
      <c r="I37" s="36"/>
      <c r="J37" s="37"/>
      <c r="K37" s="38"/>
      <c r="L37" s="36"/>
      <c r="M37" s="37"/>
      <c r="N37" s="38"/>
      <c r="O37" s="36"/>
      <c r="P37" s="37"/>
      <c r="Q37" s="34"/>
      <c r="R37" s="36"/>
      <c r="S37" s="35"/>
      <c r="T37" s="34"/>
      <c r="U37" s="40" t="str">
        <f t="shared" si="0"/>
        <v/>
      </c>
      <c r="V37" t="s">
        <v>57</v>
      </c>
    </row>
    <row r="38" spans="1:22" ht="12.75" customHeight="1">
      <c r="A38" s="4"/>
      <c r="B38" s="34"/>
      <c r="C38" s="5"/>
      <c r="D38" s="35"/>
      <c r="E38" s="34"/>
      <c r="F38" s="36"/>
      <c r="G38" s="37"/>
      <c r="H38" s="34"/>
      <c r="I38" s="36"/>
      <c r="J38" s="37"/>
      <c r="K38" s="38"/>
      <c r="L38" s="36"/>
      <c r="M38" s="37"/>
      <c r="N38" s="38"/>
      <c r="O38" s="36"/>
      <c r="P38" s="37"/>
      <c r="Q38" s="34"/>
      <c r="R38" s="36"/>
      <c r="S38" s="35"/>
      <c r="T38" s="34"/>
      <c r="U38" s="40" t="str">
        <f t="shared" si="0"/>
        <v/>
      </c>
      <c r="V38" t="s">
        <v>58</v>
      </c>
    </row>
    <row r="39" spans="1:22" ht="12.75" customHeight="1">
      <c r="A39" s="4"/>
      <c r="B39" s="34"/>
      <c r="C39" s="5"/>
      <c r="D39" s="35"/>
      <c r="E39" s="34"/>
      <c r="F39" s="36"/>
      <c r="G39" s="37"/>
      <c r="H39" s="34"/>
      <c r="I39" s="36"/>
      <c r="J39" s="37"/>
      <c r="K39" s="38"/>
      <c r="L39" s="36"/>
      <c r="M39" s="37"/>
      <c r="N39" s="38"/>
      <c r="O39" s="36"/>
      <c r="P39" s="39"/>
      <c r="Q39" s="34"/>
      <c r="R39" s="36"/>
      <c r="S39" s="35"/>
      <c r="T39" s="34"/>
      <c r="U39" s="40" t="str">
        <f t="shared" si="0"/>
        <v/>
      </c>
      <c r="V39" t="s">
        <v>35</v>
      </c>
    </row>
    <row r="40" spans="1:22" ht="12.75" customHeight="1">
      <c r="A40" s="4"/>
      <c r="B40" s="34"/>
      <c r="C40" s="5"/>
      <c r="D40" s="35"/>
      <c r="E40" s="34"/>
      <c r="F40" s="36"/>
      <c r="G40" s="37"/>
      <c r="H40" s="34"/>
      <c r="I40" s="36"/>
      <c r="J40" s="37"/>
      <c r="K40" s="38"/>
      <c r="L40" s="36"/>
      <c r="M40" s="37"/>
      <c r="N40" s="38"/>
      <c r="O40" s="36"/>
      <c r="P40" s="39"/>
      <c r="Q40" s="34"/>
      <c r="R40" s="36"/>
      <c r="S40" s="35"/>
      <c r="T40" s="34"/>
      <c r="U40" s="40" t="str">
        <f t="shared" si="0"/>
        <v/>
      </c>
      <c r="V40" t="s">
        <v>59</v>
      </c>
    </row>
    <row r="41" spans="1:22" ht="12.75" customHeight="1">
      <c r="A41" s="4"/>
      <c r="B41" s="34"/>
      <c r="C41" s="5"/>
      <c r="D41" s="35"/>
      <c r="E41" s="34"/>
      <c r="F41" s="36"/>
      <c r="G41" s="37"/>
      <c r="H41" s="34"/>
      <c r="I41" s="36"/>
      <c r="J41" s="37"/>
      <c r="K41" s="38"/>
      <c r="L41" s="36"/>
      <c r="M41" s="37"/>
      <c r="N41" s="38"/>
      <c r="O41" s="36"/>
      <c r="P41" s="39"/>
      <c r="Q41" s="34"/>
      <c r="R41" s="36"/>
      <c r="S41" s="35"/>
      <c r="T41" s="34"/>
      <c r="U41" s="40" t="str">
        <f t="shared" si="0"/>
        <v/>
      </c>
      <c r="V41" t="s">
        <v>60</v>
      </c>
    </row>
    <row r="42" spans="1:22" ht="12.75" customHeight="1">
      <c r="A42" s="4"/>
      <c r="B42" s="34"/>
      <c r="C42" s="5"/>
      <c r="D42" s="35"/>
      <c r="E42" s="34"/>
      <c r="F42" s="36"/>
      <c r="G42" s="37"/>
      <c r="H42" s="34"/>
      <c r="I42" s="36"/>
      <c r="J42" s="37"/>
      <c r="K42" s="38"/>
      <c r="L42" s="36"/>
      <c r="M42" s="37"/>
      <c r="N42" s="38"/>
      <c r="O42" s="36"/>
      <c r="P42" s="39"/>
      <c r="Q42" s="34"/>
      <c r="R42" s="36"/>
      <c r="S42" s="35"/>
      <c r="T42" s="34"/>
      <c r="U42" s="40" t="str">
        <f t="shared" si="0"/>
        <v/>
      </c>
      <c r="V42" t="s">
        <v>61</v>
      </c>
    </row>
    <row r="43" spans="1:22" ht="12.75" customHeight="1">
      <c r="A43" s="4"/>
      <c r="B43" s="34"/>
      <c r="C43" s="5"/>
      <c r="D43" s="35"/>
      <c r="E43" s="34"/>
      <c r="F43" s="36"/>
      <c r="G43" s="37"/>
      <c r="H43" s="34"/>
      <c r="I43" s="36"/>
      <c r="J43" s="39"/>
      <c r="K43" s="38"/>
      <c r="L43" s="36"/>
      <c r="M43" s="39"/>
      <c r="N43" s="38"/>
      <c r="O43" s="36"/>
      <c r="P43" s="39"/>
      <c r="Q43" s="34"/>
      <c r="R43" s="36"/>
      <c r="S43" s="35"/>
      <c r="T43" s="34"/>
      <c r="U43" s="40" t="str">
        <f t="shared" si="0"/>
        <v/>
      </c>
      <c r="V43" t="s">
        <v>62</v>
      </c>
    </row>
    <row r="44" spans="1:22" ht="12.75" customHeight="1">
      <c r="A44" s="4"/>
      <c r="B44" s="34"/>
      <c r="C44" s="5"/>
      <c r="D44" s="35"/>
      <c r="E44" s="34"/>
      <c r="F44" s="36"/>
      <c r="G44" s="37"/>
      <c r="H44" s="34"/>
      <c r="I44" s="36"/>
      <c r="J44" s="37"/>
      <c r="K44" s="38"/>
      <c r="L44" s="36"/>
      <c r="M44" s="37"/>
      <c r="N44" s="38"/>
      <c r="O44" s="36"/>
      <c r="P44" s="39"/>
      <c r="Q44" s="34"/>
      <c r="R44" s="36"/>
      <c r="S44" s="35"/>
      <c r="T44" s="34"/>
      <c r="U44" s="40" t="str">
        <f t="shared" si="0"/>
        <v/>
      </c>
      <c r="V44" t="s">
        <v>63</v>
      </c>
    </row>
    <row r="45" spans="1:22" ht="12.75" customHeight="1">
      <c r="A45" s="4"/>
      <c r="B45" s="34"/>
      <c r="C45" s="5"/>
      <c r="D45" s="35"/>
      <c r="E45" s="34"/>
      <c r="F45" s="36"/>
      <c r="G45" s="37"/>
      <c r="H45" s="34"/>
      <c r="I45" s="36"/>
      <c r="J45" s="37"/>
      <c r="K45" s="38"/>
      <c r="L45" s="36"/>
      <c r="M45" s="37"/>
      <c r="N45" s="38"/>
      <c r="O45" s="36"/>
      <c r="P45" s="39"/>
      <c r="Q45" s="34"/>
      <c r="R45" s="36"/>
      <c r="S45" s="35"/>
      <c r="T45" s="34"/>
      <c r="U45" s="40" t="str">
        <f t="shared" si="0"/>
        <v/>
      </c>
      <c r="V45" t="s">
        <v>64</v>
      </c>
    </row>
    <row r="46" spans="1:22" ht="12.75" customHeight="1">
      <c r="A46" s="4"/>
      <c r="B46" s="34"/>
      <c r="C46" s="5"/>
      <c r="D46" s="35"/>
      <c r="E46" s="34"/>
      <c r="F46" s="36"/>
      <c r="G46" s="37"/>
      <c r="H46" s="34"/>
      <c r="I46" s="36"/>
      <c r="J46" s="39"/>
      <c r="K46" s="38"/>
      <c r="L46" s="36"/>
      <c r="M46" s="39"/>
      <c r="N46" s="38"/>
      <c r="O46" s="36"/>
      <c r="P46" s="39"/>
      <c r="Q46" s="34"/>
      <c r="R46" s="36"/>
      <c r="S46" s="35"/>
      <c r="T46" s="34"/>
      <c r="U46" s="40" t="str">
        <f t="shared" si="0"/>
        <v/>
      </c>
      <c r="V46" t="s">
        <v>65</v>
      </c>
    </row>
    <row r="47" spans="1:22" ht="12.75" customHeight="1">
      <c r="A47" s="4"/>
      <c r="B47" s="34"/>
      <c r="C47" s="5"/>
      <c r="D47" s="35"/>
      <c r="E47" s="34"/>
      <c r="F47" s="36"/>
      <c r="G47" s="37"/>
      <c r="H47" s="34"/>
      <c r="I47" s="36"/>
      <c r="J47" s="39"/>
      <c r="K47" s="38"/>
      <c r="L47" s="36"/>
      <c r="M47" s="39"/>
      <c r="N47" s="38"/>
      <c r="O47" s="36"/>
      <c r="P47" s="39"/>
      <c r="Q47" s="34"/>
      <c r="R47" s="36"/>
      <c r="S47" s="35"/>
      <c r="T47" s="34"/>
      <c r="U47" s="40" t="str">
        <f t="shared" si="0"/>
        <v/>
      </c>
      <c r="V47" t="s">
        <v>27</v>
      </c>
    </row>
    <row r="48" spans="1:22" ht="12.75" customHeight="1">
      <c r="A48" s="4"/>
      <c r="B48" s="34"/>
      <c r="C48" s="5"/>
      <c r="D48" s="35"/>
      <c r="E48" s="34"/>
      <c r="F48" s="36"/>
      <c r="G48" s="37"/>
      <c r="H48" s="34"/>
      <c r="I48" s="36"/>
      <c r="J48" s="37"/>
      <c r="K48" s="38"/>
      <c r="L48" s="36"/>
      <c r="M48" s="37"/>
      <c r="N48" s="38"/>
      <c r="O48" s="36"/>
      <c r="P48" s="39"/>
      <c r="Q48" s="34"/>
      <c r="R48" s="36"/>
      <c r="S48" s="35"/>
      <c r="T48" s="34"/>
      <c r="U48" s="40" t="str">
        <f t="shared" si="0"/>
        <v/>
      </c>
      <c r="V48" t="s">
        <v>66</v>
      </c>
    </row>
    <row r="49" spans="1:22" ht="12.75" customHeight="1">
      <c r="A49" s="4"/>
      <c r="B49" s="34"/>
      <c r="C49" s="5"/>
      <c r="D49" s="35"/>
      <c r="E49" s="34"/>
      <c r="F49" s="36"/>
      <c r="G49" s="37"/>
      <c r="H49" s="34"/>
      <c r="I49" s="36"/>
      <c r="J49" s="37"/>
      <c r="K49" s="38"/>
      <c r="L49" s="36"/>
      <c r="M49" s="37"/>
      <c r="N49" s="38"/>
      <c r="O49" s="36"/>
      <c r="P49" s="39"/>
      <c r="Q49" s="34"/>
      <c r="R49" s="36"/>
      <c r="S49" s="35"/>
      <c r="T49" s="34"/>
      <c r="U49" s="40" t="str">
        <f t="shared" si="0"/>
        <v/>
      </c>
      <c r="V49" t="s">
        <v>67</v>
      </c>
    </row>
    <row r="50" spans="1:22" ht="12.75" customHeight="1">
      <c r="A50" s="4"/>
      <c r="B50" s="34"/>
      <c r="C50" s="5"/>
      <c r="D50" s="35"/>
      <c r="E50" s="34"/>
      <c r="F50" s="36"/>
      <c r="G50" s="37"/>
      <c r="H50" s="34"/>
      <c r="I50" s="36"/>
      <c r="J50" s="37"/>
      <c r="K50" s="38"/>
      <c r="L50" s="36"/>
      <c r="M50" s="37"/>
      <c r="N50" s="38"/>
      <c r="O50" s="36"/>
      <c r="P50" s="39"/>
      <c r="Q50" s="34"/>
      <c r="R50" s="36"/>
      <c r="S50" s="35"/>
      <c r="T50" s="34"/>
      <c r="U50" s="40"/>
      <c r="V50" t="s">
        <v>68</v>
      </c>
    </row>
    <row r="51" spans="1:22" ht="12.75" customHeight="1">
      <c r="A51" s="4"/>
      <c r="B51" s="34"/>
      <c r="C51" s="5"/>
      <c r="D51" s="35"/>
      <c r="E51" s="34"/>
      <c r="F51" s="36"/>
      <c r="G51" s="37"/>
      <c r="H51" s="34"/>
      <c r="I51" s="36"/>
      <c r="J51" s="37"/>
      <c r="K51" s="38"/>
      <c r="L51" s="36"/>
      <c r="M51" s="37"/>
      <c r="N51" s="38"/>
      <c r="O51" s="36"/>
      <c r="P51" s="39"/>
      <c r="Q51" s="34"/>
      <c r="R51" s="36"/>
      <c r="S51" s="35"/>
      <c r="T51" s="34"/>
      <c r="U51" s="40"/>
      <c r="V51" t="s">
        <v>69</v>
      </c>
    </row>
    <row r="52" spans="1:22" ht="12.75" customHeight="1">
      <c r="A52" s="4"/>
      <c r="B52" s="34"/>
      <c r="C52" s="5"/>
      <c r="D52" s="35"/>
      <c r="E52" s="34"/>
      <c r="F52" s="36"/>
      <c r="G52" s="37"/>
      <c r="H52" s="34"/>
      <c r="I52" s="36"/>
      <c r="J52" s="37"/>
      <c r="K52" s="38"/>
      <c r="L52" s="36"/>
      <c r="M52" s="37"/>
      <c r="N52" s="38"/>
      <c r="O52" s="36"/>
      <c r="P52" s="39"/>
      <c r="Q52" s="34"/>
      <c r="R52" s="36"/>
      <c r="S52" s="35"/>
      <c r="T52" s="34"/>
      <c r="U52" s="40"/>
      <c r="V52" t="s">
        <v>70</v>
      </c>
    </row>
    <row r="53" spans="1:22" ht="12.75" customHeight="1">
      <c r="A53" s="4"/>
      <c r="B53" s="34"/>
      <c r="C53" s="5"/>
      <c r="D53" s="35"/>
      <c r="E53" s="34"/>
      <c r="F53" s="36"/>
      <c r="G53" s="39"/>
      <c r="H53" s="34"/>
      <c r="I53" s="36"/>
      <c r="J53" s="39"/>
      <c r="K53" s="38"/>
      <c r="L53" s="36"/>
      <c r="M53" s="39"/>
      <c r="N53" s="38"/>
      <c r="O53" s="36"/>
      <c r="P53" s="39"/>
      <c r="Q53" s="34"/>
      <c r="R53" s="36"/>
      <c r="S53" s="35"/>
      <c r="T53" s="34"/>
      <c r="U53" s="40"/>
      <c r="V53" t="s">
        <v>71</v>
      </c>
    </row>
    <row r="54" spans="1:22" ht="12.75" customHeight="1">
      <c r="A54" s="4"/>
      <c r="B54" s="34"/>
      <c r="C54" s="5"/>
      <c r="D54" s="35"/>
      <c r="E54" s="34"/>
      <c r="F54" s="36"/>
      <c r="G54" s="37"/>
      <c r="H54" s="34"/>
      <c r="I54" s="36"/>
      <c r="J54" s="37"/>
      <c r="K54" s="38"/>
      <c r="L54" s="36"/>
      <c r="M54" s="37"/>
      <c r="N54" s="38"/>
      <c r="O54" s="36"/>
      <c r="P54" s="39"/>
      <c r="Q54" s="34"/>
      <c r="R54" s="36"/>
      <c r="S54" s="35"/>
      <c r="T54" s="34"/>
      <c r="U54" s="40"/>
      <c r="V54" t="s">
        <v>72</v>
      </c>
    </row>
    <row r="55" spans="1:22" ht="12.75" customHeight="1">
      <c r="A55" s="4"/>
      <c r="B55" s="34"/>
      <c r="C55" s="5"/>
      <c r="D55" s="35"/>
      <c r="E55" s="34"/>
      <c r="F55" s="36"/>
      <c r="G55" s="39"/>
      <c r="H55" s="34"/>
      <c r="I55" s="36"/>
      <c r="J55" s="39"/>
      <c r="K55" s="38"/>
      <c r="L55" s="36"/>
      <c r="M55" s="39"/>
      <c r="N55" s="38"/>
      <c r="O55" s="36"/>
      <c r="P55" s="39"/>
      <c r="Q55" s="34"/>
      <c r="R55" s="36"/>
      <c r="S55" s="35"/>
      <c r="T55" s="34"/>
      <c r="U55" s="40"/>
      <c r="V55" t="s">
        <v>73</v>
      </c>
    </row>
    <row r="56" spans="1:22" ht="12.75" customHeight="1">
      <c r="A56" s="4"/>
      <c r="B56" s="34"/>
      <c r="C56" s="5"/>
      <c r="D56" s="35"/>
      <c r="E56" s="34"/>
      <c r="F56" s="36"/>
      <c r="G56" s="37"/>
      <c r="H56" s="34"/>
      <c r="I56" s="36"/>
      <c r="J56" s="39"/>
      <c r="K56" s="38"/>
      <c r="L56" s="36"/>
      <c r="M56" s="39"/>
      <c r="N56" s="38"/>
      <c r="O56" s="36"/>
      <c r="P56" s="39"/>
      <c r="Q56" s="34"/>
      <c r="R56" s="36"/>
      <c r="S56" s="35"/>
      <c r="T56" s="34"/>
      <c r="U56" s="40"/>
      <c r="V56" t="s">
        <v>74</v>
      </c>
    </row>
    <row r="57" spans="1:22" ht="12.75" customHeight="1">
      <c r="A57" s="4"/>
      <c r="B57" s="34"/>
      <c r="C57" s="5"/>
      <c r="D57" s="35"/>
      <c r="E57" s="34"/>
      <c r="F57" s="36"/>
      <c r="G57" s="37"/>
      <c r="H57" s="34"/>
      <c r="I57" s="36"/>
      <c r="J57" s="37"/>
      <c r="K57" s="38"/>
      <c r="L57" s="36"/>
      <c r="M57" s="37"/>
      <c r="N57" s="38"/>
      <c r="O57" s="36"/>
      <c r="P57" s="39"/>
      <c r="Q57" s="34"/>
      <c r="R57" s="36"/>
      <c r="S57" s="35"/>
      <c r="T57" s="34"/>
      <c r="U57" s="40"/>
      <c r="V57" t="s">
        <v>75</v>
      </c>
    </row>
    <row r="58" spans="1:22" ht="12.75" customHeight="1">
      <c r="A58" s="4"/>
      <c r="B58" s="34"/>
      <c r="C58" s="5"/>
      <c r="D58" s="35"/>
      <c r="E58" s="34"/>
      <c r="F58" s="36"/>
      <c r="G58" s="37"/>
      <c r="H58" s="34"/>
      <c r="I58" s="36"/>
      <c r="J58" s="37"/>
      <c r="K58" s="38"/>
      <c r="L58" s="36"/>
      <c r="M58" s="39"/>
      <c r="N58" s="38"/>
      <c r="O58" s="36"/>
      <c r="P58" s="39"/>
      <c r="Q58" s="34"/>
      <c r="R58" s="36"/>
      <c r="S58" s="35"/>
      <c r="T58" s="34"/>
      <c r="U58" s="40"/>
      <c r="V58" t="s">
        <v>76</v>
      </c>
    </row>
    <row r="59" spans="1:22" ht="12.75" customHeight="1">
      <c r="A59" s="4"/>
      <c r="B59" s="34"/>
      <c r="C59" s="5"/>
      <c r="D59" s="35"/>
      <c r="E59" s="34"/>
      <c r="F59" s="36"/>
      <c r="G59" s="37"/>
      <c r="H59" s="34"/>
      <c r="I59" s="36"/>
      <c r="J59" s="37"/>
      <c r="K59" s="38"/>
      <c r="L59" s="36"/>
      <c r="M59" s="39"/>
      <c r="N59" s="38"/>
      <c r="O59" s="36"/>
      <c r="P59" s="39"/>
      <c r="Q59" s="34"/>
      <c r="R59" s="36"/>
      <c r="S59" s="35"/>
      <c r="T59" s="34"/>
      <c r="U59" s="40"/>
      <c r="V59" t="s">
        <v>77</v>
      </c>
    </row>
    <row r="60" spans="1:22" ht="12.75" customHeight="1">
      <c r="A60" s="4"/>
      <c r="B60" s="34"/>
      <c r="C60" s="5"/>
      <c r="D60" s="35"/>
      <c r="E60" s="34"/>
      <c r="F60" s="36"/>
      <c r="G60" s="37"/>
      <c r="H60" s="34"/>
      <c r="I60" s="36"/>
      <c r="J60" s="37"/>
      <c r="K60" s="38"/>
      <c r="L60" s="36"/>
      <c r="M60" s="39"/>
      <c r="N60" s="38"/>
      <c r="O60" s="36"/>
      <c r="P60" s="39"/>
      <c r="Q60" s="34"/>
      <c r="R60" s="36"/>
      <c r="S60" s="35"/>
      <c r="T60" s="34"/>
      <c r="U60" s="40"/>
      <c r="V60" t="s">
        <v>28</v>
      </c>
    </row>
    <row r="61" spans="1:22" ht="12.75" customHeight="1">
      <c r="A61" s="4"/>
      <c r="B61" s="34"/>
      <c r="C61" s="5"/>
      <c r="D61" s="35"/>
      <c r="E61" s="34"/>
      <c r="F61" s="36"/>
      <c r="G61" s="37"/>
      <c r="H61" s="34"/>
      <c r="I61" s="36"/>
      <c r="J61" s="39"/>
      <c r="K61" s="38"/>
      <c r="L61" s="36"/>
      <c r="M61" s="39"/>
      <c r="N61" s="38"/>
      <c r="O61" s="36"/>
      <c r="P61" s="39"/>
      <c r="Q61" s="34"/>
      <c r="R61" s="36"/>
      <c r="S61" s="35"/>
      <c r="T61" s="34"/>
      <c r="U61" s="40"/>
      <c r="V61" t="s">
        <v>78</v>
      </c>
    </row>
    <row r="62" spans="1:22" ht="12.75" customHeight="1">
      <c r="A62" s="4"/>
      <c r="B62" s="34"/>
      <c r="C62" s="5"/>
      <c r="D62" s="35"/>
      <c r="E62" s="34"/>
      <c r="F62" s="36"/>
      <c r="G62" s="37"/>
      <c r="H62" s="34"/>
      <c r="I62" s="36"/>
      <c r="J62" s="39"/>
      <c r="K62" s="38"/>
      <c r="L62" s="36"/>
      <c r="M62" s="39"/>
      <c r="N62" s="38"/>
      <c r="O62" s="36"/>
      <c r="P62" s="39"/>
      <c r="Q62" s="34"/>
      <c r="R62" s="36"/>
      <c r="S62" s="35"/>
      <c r="T62" s="34"/>
      <c r="U62" s="40"/>
      <c r="V62" t="s">
        <v>31</v>
      </c>
    </row>
    <row r="63" spans="1:22" ht="12.75" customHeight="1">
      <c r="A63" s="4"/>
      <c r="B63" s="34"/>
      <c r="C63" s="5"/>
      <c r="D63" s="35"/>
      <c r="E63" s="34"/>
      <c r="F63" s="36"/>
      <c r="G63" s="37"/>
      <c r="H63" s="34"/>
      <c r="I63" s="36"/>
      <c r="J63" s="39"/>
      <c r="K63" s="38"/>
      <c r="L63" s="36"/>
      <c r="M63" s="39"/>
      <c r="N63" s="38"/>
      <c r="O63" s="36"/>
      <c r="P63" s="39"/>
      <c r="Q63" s="34"/>
      <c r="R63" s="36"/>
      <c r="S63" s="35"/>
      <c r="T63" s="34"/>
      <c r="U63" s="40"/>
      <c r="V63" t="s">
        <v>79</v>
      </c>
    </row>
    <row r="64" spans="1:22" ht="12.75" customHeight="1">
      <c r="A64" s="4"/>
      <c r="B64" s="34"/>
      <c r="C64" s="5"/>
      <c r="D64" s="35"/>
      <c r="E64" s="34"/>
      <c r="F64" s="36"/>
      <c r="G64" s="37"/>
      <c r="H64" s="34"/>
      <c r="I64" s="36"/>
      <c r="J64" s="39"/>
      <c r="K64" s="38"/>
      <c r="L64" s="36"/>
      <c r="M64" s="39"/>
      <c r="N64" s="38"/>
      <c r="O64" s="36"/>
      <c r="P64" s="39"/>
      <c r="Q64" s="34"/>
      <c r="R64" s="36"/>
      <c r="S64" s="35"/>
      <c r="T64" s="34"/>
      <c r="U64" s="40"/>
      <c r="V64" t="s">
        <v>80</v>
      </c>
    </row>
    <row r="65" spans="1:22" ht="12.75" customHeight="1">
      <c r="A65" s="4"/>
      <c r="B65" s="34"/>
      <c r="C65" s="5"/>
      <c r="D65" s="35"/>
      <c r="E65" s="34"/>
      <c r="F65" s="36"/>
      <c r="G65" s="37"/>
      <c r="H65" s="34"/>
      <c r="I65" s="36"/>
      <c r="J65" s="39"/>
      <c r="K65" s="38"/>
      <c r="L65" s="36"/>
      <c r="M65" s="39"/>
      <c r="N65" s="38"/>
      <c r="O65" s="36"/>
      <c r="P65" s="39"/>
      <c r="Q65" s="34"/>
      <c r="R65" s="36"/>
      <c r="S65" s="35"/>
      <c r="T65" s="34"/>
      <c r="U65" s="40"/>
      <c r="V65" t="s">
        <v>81</v>
      </c>
    </row>
    <row r="66" spans="1:22" ht="12.75" customHeight="1">
      <c r="A66" s="4"/>
      <c r="B66" s="34"/>
      <c r="C66" s="5"/>
      <c r="D66" s="35"/>
      <c r="E66" s="34"/>
      <c r="F66" s="36"/>
      <c r="G66" s="37"/>
      <c r="H66" s="34"/>
      <c r="I66" s="36"/>
      <c r="J66" s="39"/>
      <c r="K66" s="38"/>
      <c r="L66" s="36"/>
      <c r="M66" s="39"/>
      <c r="N66" s="38"/>
      <c r="O66" s="36"/>
      <c r="P66" s="39"/>
      <c r="Q66" s="34"/>
      <c r="R66" s="36"/>
      <c r="S66" s="35"/>
      <c r="T66" s="34"/>
      <c r="U66" s="40"/>
      <c r="V66" t="s">
        <v>82</v>
      </c>
    </row>
    <row r="67" spans="1:22" ht="12.75" customHeight="1">
      <c r="A67" s="4"/>
      <c r="B67" s="34"/>
      <c r="C67" s="5"/>
      <c r="D67" s="35"/>
      <c r="E67" s="34"/>
      <c r="F67" s="36"/>
      <c r="G67" s="37"/>
      <c r="H67" s="34"/>
      <c r="I67" s="36"/>
      <c r="J67" s="37"/>
      <c r="K67" s="38"/>
      <c r="L67" s="36"/>
      <c r="M67" s="39"/>
      <c r="N67" s="38"/>
      <c r="O67" s="36"/>
      <c r="P67" s="39"/>
      <c r="Q67" s="34"/>
      <c r="R67" s="36"/>
      <c r="S67" s="35"/>
      <c r="T67" s="34"/>
      <c r="U67" s="40"/>
      <c r="V67" t="s">
        <v>26</v>
      </c>
    </row>
    <row r="68" spans="1:22" ht="12.75" customHeight="1">
      <c r="A68" s="4"/>
      <c r="B68" s="34"/>
      <c r="C68" s="5"/>
      <c r="D68" s="35"/>
      <c r="E68" s="34"/>
      <c r="F68" s="36"/>
      <c r="G68" s="37"/>
      <c r="H68" s="34"/>
      <c r="I68" s="36"/>
      <c r="J68" s="39"/>
      <c r="K68" s="38"/>
      <c r="L68" s="36"/>
      <c r="M68" s="39"/>
      <c r="N68" s="38"/>
      <c r="O68" s="36"/>
      <c r="P68" s="39"/>
      <c r="Q68" s="34"/>
      <c r="R68" s="36"/>
      <c r="S68" s="35"/>
      <c r="T68" s="34"/>
      <c r="U68" s="40"/>
      <c r="V68" t="s">
        <v>30</v>
      </c>
    </row>
    <row r="69" spans="1:22" ht="12.75" customHeight="1">
      <c r="A69" s="4"/>
      <c r="B69" s="34"/>
      <c r="C69" s="5"/>
      <c r="D69" s="35"/>
      <c r="E69" s="34"/>
      <c r="F69" s="36"/>
      <c r="G69" s="37"/>
      <c r="H69" s="34"/>
      <c r="I69" s="36"/>
      <c r="J69" s="37"/>
      <c r="K69" s="38"/>
      <c r="L69" s="36"/>
      <c r="M69" s="39"/>
      <c r="N69" s="38"/>
      <c r="O69" s="36"/>
      <c r="P69" s="39"/>
      <c r="Q69" s="34"/>
      <c r="R69" s="36"/>
      <c r="S69" s="35"/>
      <c r="T69" s="34"/>
      <c r="U69" s="40"/>
      <c r="V69" t="s">
        <v>83</v>
      </c>
    </row>
    <row r="70" spans="1:22" ht="12.75" customHeight="1">
      <c r="A70" s="4"/>
      <c r="B70" s="34"/>
      <c r="C70" s="5"/>
      <c r="D70" s="35"/>
      <c r="E70" s="34"/>
      <c r="F70" s="36"/>
      <c r="G70" s="39"/>
      <c r="H70" s="34"/>
      <c r="I70" s="36"/>
      <c r="J70" s="39"/>
      <c r="K70" s="38"/>
      <c r="L70" s="36"/>
      <c r="M70" s="39"/>
      <c r="N70" s="38"/>
      <c r="O70" s="36"/>
      <c r="P70" s="39"/>
      <c r="Q70" s="34"/>
      <c r="R70" s="36"/>
      <c r="S70" s="35"/>
      <c r="T70" s="34"/>
      <c r="U70" s="40"/>
      <c r="V70" t="s">
        <v>84</v>
      </c>
    </row>
    <row r="71" spans="1:22" ht="12.75" customHeight="1">
      <c r="A71" s="4"/>
      <c r="B71" s="34"/>
      <c r="C71" s="5"/>
      <c r="D71" s="35"/>
      <c r="E71" s="34"/>
      <c r="F71" s="36"/>
      <c r="G71" s="37"/>
      <c r="H71" s="34"/>
      <c r="I71" s="36"/>
      <c r="J71" s="39"/>
      <c r="K71" s="38"/>
      <c r="L71" s="36"/>
      <c r="M71" s="39"/>
      <c r="N71" s="38"/>
      <c r="O71" s="36"/>
      <c r="P71" s="39"/>
      <c r="Q71" s="34"/>
      <c r="R71" s="36"/>
      <c r="S71" s="35"/>
      <c r="T71" s="34"/>
      <c r="U71" s="40"/>
    </row>
    <row r="72" spans="1:22" ht="12.75" customHeight="1">
      <c r="A72" s="4"/>
      <c r="B72" s="34"/>
      <c r="C72" s="5"/>
      <c r="D72" s="35"/>
      <c r="E72" s="34"/>
      <c r="F72" s="36"/>
      <c r="G72" s="37"/>
      <c r="H72" s="34"/>
      <c r="I72" s="36"/>
      <c r="J72" s="39"/>
      <c r="K72" s="38"/>
      <c r="L72" s="36"/>
      <c r="M72" s="39"/>
      <c r="N72" s="38"/>
      <c r="O72" s="36"/>
      <c r="P72" s="39"/>
      <c r="Q72" s="34"/>
      <c r="R72" s="36"/>
      <c r="S72" s="35"/>
      <c r="T72" s="34"/>
      <c r="U72" s="40"/>
      <c r="V72" t="s">
        <v>85</v>
      </c>
    </row>
    <row r="73" spans="1:22" ht="12.75" customHeight="1">
      <c r="A73" s="4"/>
      <c r="B73" s="34"/>
      <c r="C73" s="5"/>
      <c r="D73" s="35"/>
      <c r="E73" s="34"/>
      <c r="F73" s="36"/>
      <c r="G73" s="37"/>
      <c r="H73" s="34"/>
      <c r="I73" s="36"/>
      <c r="J73" s="39"/>
      <c r="K73" s="38"/>
      <c r="L73" s="36"/>
      <c r="M73" s="39"/>
      <c r="N73" s="38"/>
      <c r="O73" s="36"/>
      <c r="P73" s="39"/>
      <c r="Q73" s="34"/>
      <c r="R73" s="36"/>
      <c r="S73" s="35"/>
      <c r="T73" s="34"/>
      <c r="U73" s="40"/>
    </row>
    <row r="74" spans="1:22" ht="12.75" customHeight="1">
      <c r="A74" s="4"/>
      <c r="B74" s="34"/>
      <c r="C74" s="5"/>
      <c r="D74" s="35"/>
      <c r="E74" s="34"/>
      <c r="F74" s="36"/>
      <c r="G74" s="37"/>
      <c r="H74" s="34"/>
      <c r="I74" s="36"/>
      <c r="J74" s="39"/>
      <c r="K74" s="38"/>
      <c r="L74" s="36"/>
      <c r="M74" s="39"/>
      <c r="N74" s="38"/>
      <c r="O74" s="36"/>
      <c r="P74" s="39"/>
      <c r="Q74" s="34"/>
      <c r="R74" s="36"/>
      <c r="S74" s="35"/>
      <c r="T74" s="34"/>
      <c r="U74" s="40"/>
    </row>
    <row r="75" spans="1:22" ht="12.75" customHeight="1">
      <c r="A75" s="4"/>
      <c r="B75" s="34"/>
      <c r="C75" s="5"/>
      <c r="D75" s="35"/>
      <c r="E75" s="34"/>
      <c r="F75" s="36"/>
      <c r="G75" s="39"/>
      <c r="H75" s="34"/>
      <c r="I75" s="36"/>
      <c r="J75" s="39"/>
      <c r="K75" s="38"/>
      <c r="L75" s="36"/>
      <c r="M75" s="39"/>
      <c r="N75" s="38"/>
      <c r="O75" s="36"/>
      <c r="P75" s="39"/>
      <c r="Q75" s="34"/>
      <c r="R75" s="36"/>
      <c r="S75" s="35"/>
      <c r="T75" s="34"/>
      <c r="U75" s="40"/>
    </row>
    <row r="76" spans="1:22" ht="12.75" customHeight="1">
      <c r="A76" s="4"/>
      <c r="B76" s="34"/>
      <c r="C76" s="5"/>
      <c r="D76" s="35"/>
      <c r="E76" s="34"/>
      <c r="F76" s="36"/>
      <c r="G76" s="39"/>
      <c r="H76" s="34"/>
      <c r="I76" s="36"/>
      <c r="J76" s="39"/>
      <c r="K76" s="38"/>
      <c r="L76" s="36"/>
      <c r="M76" s="39"/>
      <c r="N76" s="38"/>
      <c r="O76" s="36"/>
      <c r="P76" s="39"/>
      <c r="Q76" s="34"/>
      <c r="R76" s="36"/>
      <c r="S76" s="35"/>
      <c r="T76" s="34"/>
      <c r="U76" s="40"/>
    </row>
    <row r="77" spans="1:22" ht="12.75" customHeight="1">
      <c r="A77" s="4"/>
      <c r="B77" s="34"/>
      <c r="C77" s="5"/>
      <c r="D77" s="35"/>
      <c r="E77" s="34"/>
      <c r="F77" s="36"/>
      <c r="G77" s="39"/>
      <c r="H77" s="34"/>
      <c r="I77" s="36"/>
      <c r="J77" s="39"/>
      <c r="K77" s="38"/>
      <c r="L77" s="36"/>
      <c r="M77" s="39"/>
      <c r="N77" s="38"/>
      <c r="O77" s="36"/>
      <c r="P77" s="39"/>
      <c r="Q77" s="34"/>
      <c r="R77" s="36"/>
      <c r="S77" s="35"/>
      <c r="T77" s="34"/>
      <c r="U77" s="40"/>
      <c r="V77" t="s">
        <v>38</v>
      </c>
    </row>
    <row r="78" spans="1:22" ht="12.75" customHeight="1">
      <c r="A78" s="4"/>
      <c r="B78" s="34"/>
      <c r="C78" s="5"/>
      <c r="D78" s="35"/>
      <c r="E78" s="34"/>
      <c r="F78" s="36"/>
      <c r="G78" s="39"/>
      <c r="H78" s="34"/>
      <c r="I78" s="36"/>
      <c r="J78" s="39"/>
      <c r="K78" s="38"/>
      <c r="L78" s="36"/>
      <c r="M78" s="39"/>
      <c r="N78" s="38"/>
      <c r="O78" s="36"/>
      <c r="P78" s="39"/>
      <c r="Q78" s="34"/>
      <c r="R78" s="36"/>
      <c r="S78" s="35"/>
      <c r="T78" s="34"/>
      <c r="U78" s="40"/>
      <c r="V78" t="s">
        <v>40</v>
      </c>
    </row>
    <row r="79" spans="1:22" ht="12.75" customHeight="1">
      <c r="A79" s="4"/>
      <c r="B79" s="34"/>
      <c r="C79" s="5"/>
      <c r="D79" s="35"/>
      <c r="E79" s="34"/>
      <c r="F79" s="36"/>
      <c r="G79" s="39"/>
      <c r="H79" s="34"/>
      <c r="I79" s="36"/>
      <c r="J79" s="39"/>
      <c r="K79" s="38"/>
      <c r="L79" s="36"/>
      <c r="M79" s="39"/>
      <c r="N79" s="38"/>
      <c r="O79" s="36"/>
      <c r="P79" s="39"/>
      <c r="Q79" s="34"/>
      <c r="R79" s="36"/>
      <c r="S79" s="35"/>
      <c r="T79" s="34"/>
      <c r="U79" s="40"/>
    </row>
    <row r="80" spans="1:22" ht="12.75" customHeight="1">
      <c r="A80" s="4"/>
      <c r="B80" s="34"/>
      <c r="C80" s="5"/>
      <c r="D80" s="35"/>
      <c r="E80" s="34"/>
      <c r="F80" s="36"/>
      <c r="G80" s="39"/>
      <c r="H80" s="34"/>
      <c r="I80" s="36"/>
      <c r="J80" s="39"/>
      <c r="K80" s="38"/>
      <c r="L80" s="36"/>
      <c r="M80" s="39"/>
      <c r="N80" s="38"/>
      <c r="O80" s="36"/>
      <c r="P80" s="39"/>
      <c r="Q80" s="34"/>
      <c r="R80" s="36"/>
      <c r="S80" s="35"/>
      <c r="T80" s="34"/>
      <c r="U80" s="40"/>
    </row>
    <row r="81" spans="1:22" ht="12.75" customHeight="1">
      <c r="A81" s="4"/>
      <c r="B81" s="34"/>
      <c r="C81" s="5"/>
      <c r="D81" s="35"/>
      <c r="E81" s="34"/>
      <c r="F81" s="36"/>
      <c r="G81" s="39"/>
      <c r="H81" s="34"/>
      <c r="I81" s="36"/>
      <c r="J81" s="39"/>
      <c r="K81" s="38"/>
      <c r="L81" s="36"/>
      <c r="M81" s="39"/>
      <c r="N81" s="38"/>
      <c r="O81" s="36"/>
      <c r="P81" s="39"/>
      <c r="Q81" s="34"/>
      <c r="R81" s="36"/>
      <c r="S81" s="35"/>
      <c r="T81" s="34"/>
      <c r="U81" s="40"/>
      <c r="V81" t="s">
        <v>86</v>
      </c>
    </row>
    <row r="82" spans="1:22" ht="12.75" customHeight="1">
      <c r="A82" s="4"/>
      <c r="B82" s="34"/>
      <c r="C82" s="5"/>
      <c r="D82" s="35"/>
      <c r="E82" s="34"/>
      <c r="F82" s="36"/>
      <c r="G82" s="39"/>
      <c r="H82" s="34"/>
      <c r="I82" s="36"/>
      <c r="J82" s="39"/>
      <c r="K82" s="38"/>
      <c r="L82" s="36"/>
      <c r="M82" s="39"/>
      <c r="N82" s="38"/>
      <c r="O82" s="36"/>
      <c r="P82" s="39"/>
      <c r="Q82" s="34"/>
      <c r="R82" s="36"/>
      <c r="S82" s="35"/>
      <c r="T82" s="34"/>
      <c r="U82" s="40"/>
    </row>
    <row r="83" spans="1:22" ht="12.75" customHeight="1">
      <c r="A83" s="4"/>
      <c r="B83" s="34"/>
      <c r="C83" s="5"/>
      <c r="D83" s="35"/>
      <c r="E83" s="34"/>
      <c r="F83" s="36"/>
      <c r="G83" s="39"/>
      <c r="H83" s="34"/>
      <c r="I83" s="36"/>
      <c r="J83" s="39"/>
      <c r="K83" s="38"/>
      <c r="L83" s="36"/>
      <c r="M83" s="39"/>
      <c r="N83" s="38"/>
      <c r="O83" s="36"/>
      <c r="P83" s="39"/>
      <c r="Q83" s="34"/>
      <c r="R83" s="36"/>
      <c r="S83" s="35"/>
      <c r="T83" s="34"/>
      <c r="U83" s="40"/>
    </row>
    <row r="84" spans="1:22" ht="12.75" customHeight="1">
      <c r="A84" s="4"/>
      <c r="B84" s="34"/>
      <c r="C84" s="5"/>
      <c r="D84" s="35"/>
      <c r="E84" s="34"/>
      <c r="F84" s="36"/>
      <c r="G84" s="39"/>
      <c r="H84" s="34"/>
      <c r="I84" s="36"/>
      <c r="J84" s="39"/>
      <c r="K84" s="38"/>
      <c r="L84" s="36"/>
      <c r="M84" s="39"/>
      <c r="N84" s="38"/>
      <c r="O84" s="36"/>
      <c r="P84" s="39"/>
      <c r="Q84" s="34"/>
      <c r="R84" s="36"/>
      <c r="S84" s="35"/>
      <c r="T84" s="34"/>
      <c r="U84" s="40"/>
    </row>
    <row r="85" spans="1:22" ht="12.75" customHeight="1">
      <c r="A85" s="4"/>
      <c r="B85" s="34"/>
      <c r="C85" s="5"/>
      <c r="D85" s="35"/>
      <c r="E85" s="34"/>
      <c r="F85" s="36"/>
      <c r="G85" s="37"/>
      <c r="H85" s="34"/>
      <c r="I85" s="36"/>
      <c r="J85" s="39"/>
      <c r="K85" s="38"/>
      <c r="L85" s="36"/>
      <c r="M85" s="39"/>
      <c r="N85" s="38"/>
      <c r="O85" s="36"/>
      <c r="P85" s="39"/>
      <c r="Q85" s="34"/>
      <c r="R85" s="36"/>
      <c r="S85" s="35"/>
      <c r="T85" s="34"/>
      <c r="U85" s="40"/>
    </row>
    <row r="86" spans="1:22" ht="12.75" customHeight="1">
      <c r="A86" s="4"/>
      <c r="B86" s="34"/>
      <c r="C86" s="5"/>
      <c r="D86" s="35"/>
      <c r="E86" s="34"/>
      <c r="F86" s="36"/>
      <c r="G86" s="39"/>
      <c r="H86" s="34"/>
      <c r="I86" s="36"/>
      <c r="J86" s="39"/>
      <c r="K86" s="38"/>
      <c r="L86" s="36"/>
      <c r="M86" s="39"/>
      <c r="N86" s="38"/>
      <c r="O86" s="36"/>
      <c r="P86" s="39"/>
      <c r="Q86" s="34"/>
      <c r="R86" s="36"/>
      <c r="S86" s="35"/>
      <c r="T86" s="34"/>
      <c r="U86" s="40"/>
    </row>
    <row r="87" spans="1:22" ht="12.75" customHeight="1">
      <c r="A87" s="4"/>
      <c r="B87" s="34"/>
      <c r="C87" s="5"/>
      <c r="D87" s="35"/>
      <c r="E87" s="34"/>
      <c r="F87" s="36"/>
      <c r="G87" s="39"/>
      <c r="H87" s="34"/>
      <c r="I87" s="36"/>
      <c r="J87" s="39"/>
      <c r="K87" s="38"/>
      <c r="L87" s="36"/>
      <c r="M87" s="39"/>
      <c r="N87" s="38"/>
      <c r="O87" s="36"/>
      <c r="P87" s="39"/>
      <c r="Q87" s="34"/>
      <c r="R87" s="36"/>
      <c r="S87" s="35"/>
      <c r="T87" s="34"/>
      <c r="U87" s="40"/>
      <c r="V87" t="s">
        <v>87</v>
      </c>
    </row>
    <row r="88" spans="1:22" ht="12.75" customHeight="1">
      <c r="A88" s="4"/>
      <c r="B88" s="34"/>
      <c r="C88" s="5"/>
      <c r="D88" s="35"/>
      <c r="E88" s="34"/>
      <c r="F88" s="36"/>
      <c r="G88" s="39"/>
      <c r="H88" s="34"/>
      <c r="I88" s="36"/>
      <c r="J88" s="39"/>
      <c r="K88" s="38"/>
      <c r="L88" s="36"/>
      <c r="M88" s="39"/>
      <c r="N88" s="38"/>
      <c r="O88" s="36"/>
      <c r="P88" s="39"/>
      <c r="Q88" s="34"/>
      <c r="R88" s="36"/>
      <c r="S88" s="35"/>
      <c r="T88" s="34"/>
      <c r="U88" s="40"/>
      <c r="V88" t="s">
        <v>44</v>
      </c>
    </row>
    <row r="89" spans="1:22" ht="12.75" customHeight="1">
      <c r="A89" s="4"/>
      <c r="B89" s="34"/>
      <c r="C89" s="5"/>
      <c r="D89" s="35"/>
      <c r="E89" s="34"/>
      <c r="F89" s="36"/>
      <c r="G89" s="39"/>
      <c r="H89" s="34"/>
      <c r="I89" s="36"/>
      <c r="J89" s="39"/>
      <c r="K89" s="38"/>
      <c r="L89" s="36"/>
      <c r="M89" s="39"/>
      <c r="N89" s="38"/>
      <c r="O89" s="36"/>
      <c r="P89" s="39"/>
      <c r="Q89" s="34"/>
      <c r="R89" s="36"/>
      <c r="S89" s="35"/>
      <c r="T89" s="34"/>
      <c r="U89" s="40"/>
      <c r="V89" t="s">
        <v>43</v>
      </c>
    </row>
    <row r="90" spans="1:22" ht="12.75" customHeight="1">
      <c r="A90" s="4"/>
      <c r="B90" s="34"/>
      <c r="C90" s="5"/>
      <c r="D90" s="35"/>
      <c r="E90" s="34"/>
      <c r="F90" s="36"/>
      <c r="G90" s="39"/>
      <c r="H90" s="34"/>
      <c r="I90" s="36"/>
      <c r="J90" s="39"/>
      <c r="K90" s="38"/>
      <c r="L90" s="36"/>
      <c r="M90" s="39"/>
      <c r="N90" s="38"/>
      <c r="O90" s="36"/>
      <c r="P90" s="39"/>
      <c r="Q90" s="34"/>
      <c r="R90" s="36"/>
      <c r="S90" s="35"/>
      <c r="T90" s="34"/>
      <c r="U90" s="40"/>
      <c r="V90" t="s">
        <v>88</v>
      </c>
    </row>
    <row r="91" spans="1:22" ht="12.75" customHeight="1">
      <c r="A91" s="4"/>
      <c r="B91" s="34"/>
      <c r="C91" s="5"/>
      <c r="D91" s="35"/>
      <c r="E91" s="34"/>
      <c r="F91" s="36"/>
      <c r="G91" s="39"/>
      <c r="H91" s="34"/>
      <c r="I91" s="36"/>
      <c r="J91" s="39"/>
      <c r="K91" s="38"/>
      <c r="L91" s="36"/>
      <c r="M91" s="39"/>
      <c r="N91" s="38"/>
      <c r="O91" s="36"/>
      <c r="P91" s="39"/>
      <c r="Q91" s="34"/>
      <c r="R91" s="36"/>
      <c r="S91" s="35"/>
      <c r="T91" s="34"/>
      <c r="U91" s="40"/>
      <c r="V91" t="s">
        <v>51</v>
      </c>
    </row>
    <row r="92" spans="1:22" ht="12.75" customHeight="1">
      <c r="A92" s="4"/>
      <c r="B92" s="34"/>
      <c r="C92" s="5"/>
      <c r="D92" s="35"/>
      <c r="E92" s="34"/>
      <c r="F92" s="36"/>
      <c r="G92" s="39"/>
      <c r="H92" s="34"/>
      <c r="I92" s="36"/>
      <c r="J92" s="39"/>
      <c r="K92" s="38"/>
      <c r="L92" s="36"/>
      <c r="M92" s="39"/>
      <c r="N92" s="38"/>
      <c r="O92" s="36"/>
      <c r="P92" s="39"/>
      <c r="Q92" s="34"/>
      <c r="R92" s="36"/>
      <c r="S92" s="35"/>
      <c r="T92" s="34"/>
      <c r="U92" s="40"/>
      <c r="V92" t="s">
        <v>53</v>
      </c>
    </row>
    <row r="93" spans="1:22" ht="12.75" customHeight="1">
      <c r="A93" s="4"/>
      <c r="B93" s="34"/>
      <c r="C93" s="5"/>
      <c r="D93" s="35"/>
      <c r="E93" s="34"/>
      <c r="F93" s="36"/>
      <c r="G93" s="39"/>
      <c r="H93" s="34"/>
      <c r="I93" s="36"/>
      <c r="J93" s="39"/>
      <c r="K93" s="38"/>
      <c r="L93" s="36"/>
      <c r="M93" s="39"/>
      <c r="N93" s="38"/>
      <c r="O93" s="36"/>
      <c r="P93" s="39"/>
      <c r="Q93" s="34"/>
      <c r="R93" s="36"/>
      <c r="S93" s="35"/>
      <c r="T93" s="34"/>
      <c r="U93" s="40"/>
      <c r="V93" t="s">
        <v>22</v>
      </c>
    </row>
    <row r="94" spans="1:22" ht="12.75" customHeight="1">
      <c r="A94" s="4"/>
      <c r="B94" s="34"/>
      <c r="C94" s="5"/>
      <c r="D94" s="35"/>
      <c r="E94" s="34"/>
      <c r="F94" s="36"/>
      <c r="G94" s="39"/>
      <c r="H94" s="34"/>
      <c r="I94" s="36"/>
      <c r="J94" s="39"/>
      <c r="K94" s="38"/>
      <c r="L94" s="36"/>
      <c r="M94" s="39"/>
      <c r="N94" s="38"/>
      <c r="O94" s="36"/>
      <c r="P94" s="39"/>
      <c r="Q94" s="34"/>
      <c r="R94" s="36"/>
      <c r="S94" s="35"/>
      <c r="T94" s="34"/>
      <c r="U94" s="40"/>
      <c r="V94" t="s">
        <v>25</v>
      </c>
    </row>
    <row r="95" spans="1:22" ht="12.75" customHeight="1">
      <c r="A95" s="4"/>
      <c r="B95" s="34"/>
      <c r="C95" s="5"/>
      <c r="D95" s="35"/>
      <c r="E95" s="34"/>
      <c r="F95" s="36"/>
      <c r="G95" s="39"/>
      <c r="H95" s="34"/>
      <c r="I95" s="36"/>
      <c r="J95" s="39"/>
      <c r="K95" s="38"/>
      <c r="L95" s="36"/>
      <c r="M95" s="39"/>
      <c r="N95" s="38"/>
      <c r="O95" s="36"/>
      <c r="P95" s="39"/>
      <c r="Q95" s="34"/>
      <c r="R95" s="36"/>
      <c r="S95" s="35"/>
      <c r="T95" s="34"/>
      <c r="U95" s="40"/>
      <c r="V95" t="s">
        <v>89</v>
      </c>
    </row>
    <row r="96" spans="1:22" ht="12.75" customHeight="1">
      <c r="A96" s="4"/>
      <c r="B96" s="34"/>
      <c r="C96" s="5"/>
      <c r="D96" s="35"/>
      <c r="E96" s="34"/>
      <c r="F96" s="36"/>
      <c r="G96" s="39"/>
      <c r="H96" s="34"/>
      <c r="I96" s="36"/>
      <c r="J96" s="39"/>
      <c r="K96" s="38"/>
      <c r="L96" s="36"/>
      <c r="M96" s="39"/>
      <c r="N96" s="38"/>
      <c r="O96" s="36"/>
      <c r="P96" s="39"/>
      <c r="Q96" s="34"/>
      <c r="R96" s="36"/>
      <c r="S96" s="35"/>
      <c r="T96" s="34"/>
      <c r="U96" s="40"/>
      <c r="V96" t="s">
        <v>55</v>
      </c>
    </row>
    <row r="97" spans="1:22" ht="12.75" customHeight="1">
      <c r="A97" s="4"/>
      <c r="B97" s="34"/>
      <c r="C97" s="5"/>
      <c r="D97" s="35"/>
      <c r="E97" s="34"/>
      <c r="F97" s="36"/>
      <c r="G97" s="39"/>
      <c r="H97" s="34"/>
      <c r="I97" s="36"/>
      <c r="J97" s="39"/>
      <c r="K97" s="38"/>
      <c r="L97" s="36"/>
      <c r="M97" s="39"/>
      <c r="N97" s="38"/>
      <c r="O97" s="36"/>
      <c r="P97" s="39"/>
      <c r="Q97" s="34"/>
      <c r="R97" s="36"/>
      <c r="S97" s="35"/>
      <c r="T97" s="34"/>
      <c r="U97" s="40"/>
      <c r="V97" t="s">
        <v>54</v>
      </c>
    </row>
    <row r="98" spans="1:22" ht="12.75" customHeight="1">
      <c r="A98" s="4"/>
      <c r="B98" s="34"/>
      <c r="C98" s="5"/>
      <c r="D98" s="35"/>
      <c r="E98" s="34"/>
      <c r="F98" s="36"/>
      <c r="G98" s="39"/>
      <c r="H98" s="34"/>
      <c r="I98" s="36"/>
      <c r="J98" s="39"/>
      <c r="K98" s="38"/>
      <c r="L98" s="36"/>
      <c r="M98" s="39"/>
      <c r="N98" s="38"/>
      <c r="O98" s="36"/>
      <c r="P98" s="39"/>
      <c r="Q98" s="34"/>
      <c r="R98" s="36"/>
      <c r="S98" s="35"/>
      <c r="T98" s="34"/>
      <c r="U98" s="40"/>
      <c r="V98" t="s">
        <v>41</v>
      </c>
    </row>
    <row r="99" spans="1:22" ht="12.75" customHeight="1">
      <c r="A99" s="4"/>
      <c r="B99" s="34"/>
      <c r="C99" s="5"/>
      <c r="D99" s="35"/>
      <c r="E99" s="34"/>
      <c r="F99" s="36"/>
      <c r="G99" s="39"/>
      <c r="H99" s="34"/>
      <c r="I99" s="36"/>
      <c r="J99" s="39"/>
      <c r="K99" s="38"/>
      <c r="L99" s="36"/>
      <c r="M99" s="39"/>
      <c r="N99" s="38"/>
      <c r="O99" s="36"/>
      <c r="P99" s="39"/>
      <c r="Q99" s="34"/>
      <c r="R99" s="36"/>
      <c r="S99" s="35"/>
      <c r="T99" s="34"/>
      <c r="U99" s="40"/>
      <c r="V99" t="s">
        <v>42</v>
      </c>
    </row>
    <row r="100" spans="1:22" ht="12.75" customHeight="1">
      <c r="A100" s="4"/>
      <c r="B100" s="34"/>
      <c r="C100" s="5"/>
      <c r="D100" s="35"/>
      <c r="E100" s="34"/>
      <c r="F100" s="36"/>
      <c r="G100" s="39"/>
      <c r="H100" s="34"/>
      <c r="I100" s="36"/>
      <c r="J100" s="39"/>
      <c r="K100" s="38"/>
      <c r="L100" s="36"/>
      <c r="M100" s="39"/>
      <c r="N100" s="38"/>
      <c r="O100" s="36"/>
      <c r="P100" s="39"/>
      <c r="Q100" s="34"/>
      <c r="R100" s="36"/>
      <c r="S100" s="35"/>
      <c r="T100" s="34"/>
      <c r="U100" s="40"/>
      <c r="V100" t="s">
        <v>24</v>
      </c>
    </row>
    <row r="101" spans="1:22" ht="12.75" customHeight="1">
      <c r="A101" s="4"/>
      <c r="B101" s="34"/>
      <c r="C101" s="5"/>
      <c r="D101" s="35"/>
      <c r="E101" s="34"/>
      <c r="F101" s="36"/>
      <c r="G101" s="37"/>
      <c r="H101" s="34"/>
      <c r="I101" s="36"/>
      <c r="J101" s="37"/>
      <c r="K101" s="38"/>
      <c r="L101" s="36"/>
      <c r="M101" s="37"/>
      <c r="N101" s="38"/>
      <c r="O101" s="36"/>
      <c r="P101" s="37"/>
      <c r="Q101" s="34"/>
      <c r="R101" s="36"/>
      <c r="S101" s="35"/>
      <c r="T101" s="34"/>
      <c r="U101" s="40"/>
      <c r="V101" t="s">
        <v>23</v>
      </c>
    </row>
    <row r="102" spans="1:22" ht="12.75" customHeight="1">
      <c r="A102" s="4"/>
      <c r="B102" s="34"/>
      <c r="C102" s="5"/>
      <c r="D102" s="35"/>
      <c r="E102" s="34"/>
      <c r="F102" s="36"/>
      <c r="G102" s="39"/>
      <c r="H102" s="34"/>
      <c r="I102" s="36"/>
      <c r="J102" s="39"/>
      <c r="K102" s="38"/>
      <c r="L102" s="36"/>
      <c r="M102" s="39"/>
      <c r="N102" s="38"/>
      <c r="O102" s="36"/>
      <c r="P102" s="39"/>
      <c r="Q102" s="34"/>
      <c r="R102" s="36"/>
      <c r="S102" s="35"/>
      <c r="T102" s="34"/>
      <c r="U102" s="40"/>
      <c r="V102" t="s">
        <v>38</v>
      </c>
    </row>
    <row r="103" spans="1:22" ht="12.75" customHeight="1">
      <c r="A103" s="4"/>
      <c r="B103" s="34"/>
      <c r="C103" s="5"/>
      <c r="D103" s="35"/>
      <c r="E103" s="34"/>
      <c r="F103" s="36"/>
      <c r="G103" s="39"/>
      <c r="H103" s="34"/>
      <c r="I103" s="36"/>
      <c r="J103" s="39"/>
      <c r="K103" s="38"/>
      <c r="L103" s="36"/>
      <c r="M103" s="39"/>
      <c r="N103" s="38"/>
      <c r="O103" s="36"/>
      <c r="P103" s="39"/>
      <c r="Q103" s="34"/>
      <c r="R103" s="36"/>
      <c r="S103" s="35"/>
      <c r="T103" s="34"/>
      <c r="U103" s="40"/>
      <c r="V103" t="s">
        <v>90</v>
      </c>
    </row>
    <row r="104" spans="1:22" ht="12.75" customHeight="1">
      <c r="A104" s="4"/>
      <c r="B104" s="34"/>
      <c r="C104" s="5"/>
      <c r="D104" s="35"/>
      <c r="E104" s="34"/>
      <c r="F104" s="36"/>
      <c r="G104" s="39"/>
      <c r="H104" s="34"/>
      <c r="I104" s="36"/>
      <c r="J104" s="39"/>
      <c r="K104" s="38"/>
      <c r="L104" s="36"/>
      <c r="M104" s="39"/>
      <c r="N104" s="38"/>
      <c r="O104" s="36"/>
      <c r="P104" s="39"/>
      <c r="Q104" s="34"/>
      <c r="R104" s="36"/>
      <c r="S104" s="35"/>
      <c r="T104" s="34"/>
      <c r="U104" s="40"/>
      <c r="V104" t="s">
        <v>52</v>
      </c>
    </row>
    <row r="105" spans="1:22" ht="12.75" customHeight="1">
      <c r="A105" s="4"/>
      <c r="B105" s="34"/>
      <c r="C105" s="5"/>
      <c r="D105" s="35"/>
      <c r="E105" s="34"/>
      <c r="F105" s="36"/>
      <c r="G105" s="39"/>
      <c r="H105" s="34"/>
      <c r="I105" s="36"/>
      <c r="J105" s="39"/>
      <c r="K105" s="38"/>
      <c r="L105" s="36"/>
      <c r="M105" s="39"/>
      <c r="N105" s="38"/>
      <c r="O105" s="36"/>
      <c r="P105" s="39"/>
      <c r="Q105" s="34"/>
      <c r="R105" s="36"/>
      <c r="S105" s="35"/>
      <c r="T105" s="34"/>
      <c r="U105" s="40"/>
      <c r="V105" t="s">
        <v>91</v>
      </c>
    </row>
    <row r="106" spans="1:22" ht="12.75" customHeight="1">
      <c r="A106" s="4"/>
      <c r="B106" s="34"/>
      <c r="C106" s="5"/>
      <c r="D106" s="35"/>
      <c r="E106" s="34"/>
      <c r="F106" s="36"/>
      <c r="G106" s="39"/>
      <c r="H106" s="34"/>
      <c r="I106" s="36"/>
      <c r="J106" s="39"/>
      <c r="K106" s="38"/>
      <c r="L106" s="36"/>
      <c r="M106" s="39"/>
      <c r="N106" s="38"/>
      <c r="O106" s="36"/>
      <c r="P106" s="39"/>
      <c r="Q106" s="34"/>
      <c r="R106" s="36"/>
      <c r="S106" s="35"/>
      <c r="T106" s="34"/>
      <c r="U106" s="40"/>
      <c r="V106" t="s">
        <v>92</v>
      </c>
    </row>
    <row r="107" spans="1:22" ht="12.75" customHeight="1">
      <c r="A107" s="4"/>
      <c r="B107" s="34"/>
      <c r="C107" s="5"/>
      <c r="D107" s="35"/>
      <c r="E107" s="34"/>
      <c r="F107" s="36"/>
      <c r="G107" s="39"/>
      <c r="H107" s="34"/>
      <c r="I107" s="36"/>
      <c r="J107" s="39"/>
      <c r="K107" s="38"/>
      <c r="L107" s="36"/>
      <c r="M107" s="39"/>
      <c r="N107" s="38"/>
      <c r="O107" s="36"/>
      <c r="P107" s="39"/>
      <c r="Q107" s="34"/>
      <c r="R107" s="36"/>
      <c r="S107" s="35"/>
      <c r="T107" s="34"/>
      <c r="U107" s="40"/>
      <c r="V107" t="s">
        <v>32</v>
      </c>
    </row>
    <row r="108" spans="1:22" ht="12.75" customHeight="1">
      <c r="A108" s="4"/>
      <c r="B108" s="34"/>
      <c r="C108" s="5"/>
      <c r="D108" s="35"/>
      <c r="E108" s="34"/>
      <c r="F108" s="36"/>
      <c r="G108" s="39"/>
      <c r="H108" s="34"/>
      <c r="I108" s="36"/>
      <c r="J108" s="39"/>
      <c r="K108" s="38"/>
      <c r="L108" s="36"/>
      <c r="M108" s="39"/>
      <c r="N108" s="38"/>
      <c r="O108" s="36"/>
      <c r="P108" s="39"/>
      <c r="Q108" s="34"/>
      <c r="R108" s="36"/>
      <c r="S108" s="35"/>
      <c r="T108" s="34"/>
      <c r="U108" s="40"/>
      <c r="V108" t="s">
        <v>39</v>
      </c>
    </row>
    <row r="109" spans="1:22" ht="12.75" customHeight="1">
      <c r="A109" s="4"/>
      <c r="B109" s="34"/>
      <c r="C109" s="5"/>
      <c r="D109" s="35"/>
      <c r="E109" s="34"/>
      <c r="F109" s="36"/>
      <c r="G109" s="39"/>
      <c r="H109" s="34"/>
      <c r="I109" s="36"/>
      <c r="J109" s="39"/>
      <c r="K109" s="38"/>
      <c r="L109" s="36"/>
      <c r="M109" s="39"/>
      <c r="N109" s="38"/>
      <c r="O109" s="36"/>
      <c r="P109" s="39"/>
      <c r="Q109" s="34"/>
      <c r="R109" s="36"/>
      <c r="S109" s="35"/>
      <c r="T109" s="34"/>
      <c r="U109" s="40"/>
      <c r="V109" t="s">
        <v>34</v>
      </c>
    </row>
    <row r="110" spans="1:22" ht="12.75" customHeight="1">
      <c r="A110" s="4"/>
      <c r="B110" s="34"/>
      <c r="C110" s="5"/>
      <c r="D110" s="35"/>
      <c r="E110" s="34"/>
      <c r="F110" s="36"/>
      <c r="G110" s="39"/>
      <c r="H110" s="34"/>
      <c r="I110" s="36"/>
      <c r="J110" s="39"/>
      <c r="K110" s="38"/>
      <c r="L110" s="36"/>
      <c r="M110" s="39"/>
      <c r="N110" s="38"/>
      <c r="O110" s="36"/>
      <c r="P110" s="39"/>
      <c r="Q110" s="34"/>
      <c r="R110" s="36"/>
      <c r="S110" s="35"/>
      <c r="T110" s="34"/>
      <c r="U110" s="40"/>
      <c r="V110" t="s">
        <v>33</v>
      </c>
    </row>
    <row r="111" spans="1:22" ht="12.75" customHeight="1">
      <c r="A111" s="4"/>
      <c r="B111" s="34"/>
      <c r="C111" s="5"/>
      <c r="D111" s="35"/>
      <c r="E111" s="34"/>
      <c r="F111" s="36"/>
      <c r="G111" s="39"/>
      <c r="H111" s="34"/>
      <c r="I111" s="36"/>
      <c r="J111" s="39"/>
      <c r="K111" s="38"/>
      <c r="L111" s="36"/>
      <c r="M111" s="39"/>
      <c r="N111" s="38"/>
      <c r="O111" s="36"/>
      <c r="P111" s="39"/>
      <c r="Q111" s="34"/>
      <c r="R111" s="36"/>
      <c r="S111" s="35"/>
      <c r="T111" s="34"/>
      <c r="U111" s="40"/>
    </row>
    <row r="112" spans="1:22" ht="12.75" customHeight="1">
      <c r="A112" s="4"/>
      <c r="B112" s="34"/>
      <c r="C112" s="5"/>
      <c r="D112" s="35"/>
      <c r="E112" s="34"/>
      <c r="F112" s="36"/>
      <c r="G112" s="39"/>
      <c r="H112" s="34"/>
      <c r="I112" s="36"/>
      <c r="J112" s="39"/>
      <c r="K112" s="38"/>
      <c r="L112" s="36"/>
      <c r="M112" s="39"/>
      <c r="N112" s="38"/>
      <c r="O112" s="36"/>
      <c r="P112" s="39"/>
      <c r="Q112" s="34"/>
      <c r="R112" s="36"/>
      <c r="S112" s="35"/>
      <c r="T112" s="34"/>
      <c r="U112" s="40"/>
      <c r="V112" t="s">
        <v>35</v>
      </c>
    </row>
    <row r="113" spans="1:22" ht="12.75" customHeight="1">
      <c r="A113" s="4"/>
      <c r="B113" s="34"/>
      <c r="C113" s="5"/>
      <c r="D113" s="35"/>
      <c r="E113" s="34"/>
      <c r="F113" s="36"/>
      <c r="G113" s="37"/>
      <c r="H113" s="34"/>
      <c r="I113" s="36"/>
      <c r="J113" s="37"/>
      <c r="K113" s="38"/>
      <c r="L113" s="36"/>
      <c r="M113" s="37"/>
      <c r="N113" s="38"/>
      <c r="O113" s="36"/>
      <c r="P113" s="37"/>
      <c r="Q113" s="34"/>
      <c r="R113" s="36"/>
      <c r="S113" s="35"/>
      <c r="T113" s="34"/>
      <c r="U113" s="40"/>
      <c r="V113" t="s">
        <v>87</v>
      </c>
    </row>
    <row r="114" spans="1:22" ht="12.75" customHeight="1">
      <c r="A114" s="4"/>
      <c r="B114" s="34"/>
      <c r="C114" s="5"/>
      <c r="D114" s="35"/>
      <c r="E114" s="34"/>
      <c r="F114" s="36"/>
      <c r="G114" s="39"/>
      <c r="H114" s="34"/>
      <c r="I114" s="36"/>
      <c r="J114" s="39"/>
      <c r="K114" s="38"/>
      <c r="L114" s="36"/>
      <c r="M114" s="39"/>
      <c r="N114" s="38"/>
      <c r="O114" s="36"/>
      <c r="P114" s="39"/>
      <c r="Q114" s="34"/>
      <c r="R114" s="36"/>
      <c r="S114" s="35"/>
      <c r="T114" s="34"/>
      <c r="U114" s="40"/>
      <c r="V114" t="s">
        <v>84</v>
      </c>
    </row>
    <row r="115" spans="1:22" ht="12.75" customHeight="1">
      <c r="A115" s="4"/>
      <c r="B115" s="34"/>
      <c r="C115" s="5"/>
      <c r="D115" s="35"/>
      <c r="E115" s="34"/>
      <c r="F115" s="36"/>
      <c r="G115" s="39"/>
      <c r="H115" s="34"/>
      <c r="I115" s="36"/>
      <c r="J115" s="39"/>
      <c r="K115" s="38"/>
      <c r="L115" s="36"/>
      <c r="M115" s="39"/>
      <c r="N115" s="38"/>
      <c r="O115" s="36"/>
      <c r="P115" s="39"/>
      <c r="Q115" s="34"/>
      <c r="R115" s="36"/>
      <c r="S115" s="35"/>
      <c r="T115" s="34"/>
      <c r="U115" s="40"/>
      <c r="V115" t="s">
        <v>45</v>
      </c>
    </row>
    <row r="116" spans="1:22" ht="12.75" customHeight="1">
      <c r="A116" s="4"/>
      <c r="B116" s="34"/>
      <c r="C116" s="5"/>
      <c r="D116" s="35"/>
      <c r="E116" s="34"/>
      <c r="F116" s="36"/>
      <c r="G116" s="39"/>
      <c r="H116" s="34"/>
      <c r="I116" s="36"/>
      <c r="J116" s="39"/>
      <c r="K116" s="38"/>
      <c r="L116" s="36"/>
      <c r="M116" s="39"/>
      <c r="N116" s="38"/>
      <c r="O116" s="36"/>
      <c r="P116" s="39"/>
      <c r="Q116" s="34"/>
      <c r="R116" s="36"/>
      <c r="S116" s="35"/>
      <c r="T116" s="34"/>
      <c r="U116" s="40"/>
      <c r="V116" t="s">
        <v>88</v>
      </c>
    </row>
    <row r="117" spans="1:22" ht="12.75" customHeight="1">
      <c r="A117" s="4"/>
      <c r="B117" s="34"/>
      <c r="C117" s="5"/>
      <c r="D117" s="35"/>
      <c r="E117" s="34"/>
      <c r="F117" s="36"/>
      <c r="G117" s="39"/>
      <c r="H117" s="34"/>
      <c r="I117" s="36"/>
      <c r="J117" s="39"/>
      <c r="K117" s="38"/>
      <c r="L117" s="36"/>
      <c r="M117" s="39"/>
      <c r="N117" s="38"/>
      <c r="O117" s="36"/>
      <c r="P117" s="39"/>
      <c r="Q117" s="34"/>
      <c r="R117" s="36"/>
      <c r="S117" s="35"/>
      <c r="T117" s="34"/>
      <c r="U117" s="40"/>
      <c r="V117" t="s">
        <v>90</v>
      </c>
    </row>
    <row r="118" spans="1:22" ht="12.75" customHeight="1">
      <c r="A118" s="4"/>
      <c r="B118" s="34"/>
      <c r="C118" s="5"/>
      <c r="D118" s="35"/>
      <c r="E118" s="34"/>
      <c r="F118" s="36"/>
      <c r="G118" s="39"/>
      <c r="H118" s="34"/>
      <c r="I118" s="36"/>
      <c r="J118" s="39"/>
      <c r="K118" s="38"/>
      <c r="L118" s="36"/>
      <c r="M118" s="39"/>
      <c r="N118" s="38"/>
      <c r="O118" s="36"/>
      <c r="P118" s="39"/>
      <c r="Q118" s="34"/>
      <c r="R118" s="36"/>
      <c r="S118" s="35"/>
      <c r="T118" s="34"/>
      <c r="U118" s="40"/>
    </row>
    <row r="119" spans="1:22" ht="12.75" customHeight="1">
      <c r="A119" s="4"/>
      <c r="B119" s="34"/>
      <c r="C119" s="5"/>
      <c r="D119" s="35"/>
      <c r="E119" s="34"/>
      <c r="F119" s="36"/>
      <c r="G119" s="39"/>
      <c r="H119" s="34"/>
      <c r="I119" s="36"/>
      <c r="J119" s="39"/>
      <c r="K119" s="38"/>
      <c r="L119" s="36"/>
      <c r="M119" s="39"/>
      <c r="N119" s="38"/>
      <c r="O119" s="36"/>
      <c r="P119" s="39"/>
      <c r="Q119" s="34"/>
      <c r="R119" s="36"/>
      <c r="S119" s="35"/>
      <c r="T119" s="34"/>
      <c r="U119" s="40"/>
    </row>
    <row r="120" spans="1:22" ht="12.75" customHeight="1">
      <c r="A120" s="4"/>
      <c r="B120" s="34"/>
      <c r="C120" s="5"/>
      <c r="D120" s="35"/>
      <c r="E120" s="34"/>
      <c r="F120" s="36"/>
      <c r="G120" s="39"/>
      <c r="H120" s="34"/>
      <c r="I120" s="36"/>
      <c r="J120" s="39"/>
      <c r="K120" s="38"/>
      <c r="L120" s="36"/>
      <c r="M120" s="39"/>
      <c r="N120" s="38"/>
      <c r="O120" s="36"/>
      <c r="P120" s="39"/>
      <c r="Q120" s="34"/>
      <c r="R120" s="36"/>
      <c r="S120" s="35"/>
      <c r="T120" s="34"/>
      <c r="U120" s="40"/>
      <c r="V120" t="s">
        <v>93</v>
      </c>
    </row>
    <row r="121" spans="1:22" ht="12.75" customHeight="1">
      <c r="A121" s="4"/>
      <c r="B121" s="34"/>
      <c r="C121" s="5"/>
      <c r="D121" s="35"/>
      <c r="E121" s="34"/>
      <c r="F121" s="36"/>
      <c r="G121" s="39"/>
      <c r="H121" s="34"/>
      <c r="I121" s="36"/>
      <c r="J121" s="39"/>
      <c r="K121" s="38"/>
      <c r="L121" s="36"/>
      <c r="M121" s="39"/>
      <c r="N121" s="38"/>
      <c r="O121" s="36"/>
      <c r="P121" s="39"/>
      <c r="Q121" s="34"/>
      <c r="R121" s="36"/>
      <c r="S121" s="35"/>
      <c r="T121" s="34"/>
      <c r="U121" s="40"/>
      <c r="V121" t="s">
        <v>63</v>
      </c>
    </row>
    <row r="122" spans="1:22" ht="12.75" customHeight="1">
      <c r="A122" s="4"/>
      <c r="B122" s="34"/>
      <c r="C122" s="5"/>
      <c r="D122" s="35"/>
      <c r="E122" s="34"/>
      <c r="F122" s="36"/>
      <c r="G122" s="39"/>
      <c r="H122" s="34"/>
      <c r="I122" s="36"/>
      <c r="J122" s="39"/>
      <c r="K122" s="38"/>
      <c r="L122" s="36"/>
      <c r="M122" s="39"/>
      <c r="N122" s="38"/>
      <c r="O122" s="36"/>
      <c r="P122" s="39"/>
      <c r="Q122" s="34"/>
      <c r="R122" s="36"/>
      <c r="S122" s="35"/>
      <c r="T122" s="34"/>
      <c r="U122" s="40"/>
      <c r="V122" t="s">
        <v>94</v>
      </c>
    </row>
    <row r="123" spans="1:22" ht="12.75" customHeight="1">
      <c r="A123" s="4"/>
      <c r="B123" s="34"/>
      <c r="C123" s="5"/>
      <c r="D123" s="35"/>
      <c r="E123" s="34"/>
      <c r="F123" s="36"/>
      <c r="G123" s="39"/>
      <c r="H123" s="34"/>
      <c r="I123" s="36"/>
      <c r="J123" s="39"/>
      <c r="K123" s="38"/>
      <c r="L123" s="36"/>
      <c r="M123" s="39"/>
      <c r="N123" s="38"/>
      <c r="O123" s="36"/>
      <c r="P123" s="39"/>
      <c r="Q123" s="34"/>
      <c r="R123" s="36"/>
      <c r="S123" s="35"/>
      <c r="T123" s="34"/>
      <c r="U123" s="40"/>
      <c r="V123" t="s">
        <v>95</v>
      </c>
    </row>
    <row r="124" spans="1:22" ht="12.75" customHeight="1">
      <c r="A124" s="4"/>
      <c r="B124" s="34"/>
      <c r="C124" s="5"/>
      <c r="D124" s="35"/>
      <c r="E124" s="34"/>
      <c r="F124" s="36"/>
      <c r="G124" s="39"/>
      <c r="H124" s="34"/>
      <c r="I124" s="36"/>
      <c r="J124" s="39"/>
      <c r="K124" s="38"/>
      <c r="L124" s="36"/>
      <c r="M124" s="39"/>
      <c r="N124" s="38"/>
      <c r="O124" s="36"/>
      <c r="P124" s="39"/>
      <c r="Q124" s="34"/>
      <c r="R124" s="36"/>
      <c r="S124" s="35"/>
      <c r="T124" s="34"/>
      <c r="U124" s="40"/>
      <c r="V124" t="s">
        <v>96</v>
      </c>
    </row>
    <row r="125" spans="1:22" ht="12.75" customHeight="1">
      <c r="A125" s="4"/>
      <c r="B125" s="34"/>
      <c r="C125" s="5"/>
      <c r="D125" s="35"/>
      <c r="E125" s="34"/>
      <c r="F125" s="36"/>
      <c r="G125" s="39"/>
      <c r="H125" s="34"/>
      <c r="I125" s="36"/>
      <c r="J125" s="39"/>
      <c r="K125" s="38"/>
      <c r="L125" s="36"/>
      <c r="M125" s="39"/>
      <c r="N125" s="38"/>
      <c r="O125" s="36"/>
      <c r="P125" s="39"/>
      <c r="Q125" s="34"/>
      <c r="R125" s="36"/>
      <c r="S125" s="35"/>
      <c r="T125" s="34"/>
      <c r="U125" s="40"/>
      <c r="V125" t="s">
        <v>97</v>
      </c>
    </row>
    <row r="126" spans="1:22" ht="12.75" customHeight="1">
      <c r="A126" s="4"/>
      <c r="B126" s="34"/>
      <c r="C126" s="5"/>
      <c r="D126" s="35"/>
      <c r="E126" s="34"/>
      <c r="F126" s="36"/>
      <c r="G126" s="39"/>
      <c r="H126" s="34"/>
      <c r="I126" s="36"/>
      <c r="J126" s="39"/>
      <c r="K126" s="38"/>
      <c r="L126" s="36"/>
      <c r="M126" s="39"/>
      <c r="N126" s="38"/>
      <c r="O126" s="36"/>
      <c r="P126" s="39"/>
      <c r="Q126" s="34"/>
      <c r="R126" s="36"/>
      <c r="S126" s="35"/>
      <c r="T126" s="34"/>
      <c r="U126" s="40"/>
      <c r="V126" t="s">
        <v>98</v>
      </c>
    </row>
    <row r="127" spans="1:22" ht="12.75" customHeight="1">
      <c r="A127" s="4"/>
      <c r="B127" s="34"/>
      <c r="C127" s="5"/>
      <c r="D127" s="35"/>
      <c r="E127" s="34"/>
      <c r="F127" s="36"/>
      <c r="G127" s="39"/>
      <c r="H127" s="34"/>
      <c r="I127" s="36"/>
      <c r="J127" s="39"/>
      <c r="K127" s="38"/>
      <c r="L127" s="36"/>
      <c r="M127" s="39"/>
      <c r="N127" s="38"/>
      <c r="O127" s="36"/>
      <c r="P127" s="39"/>
      <c r="Q127" s="34"/>
      <c r="R127" s="36"/>
      <c r="S127" s="35"/>
      <c r="T127" s="34"/>
      <c r="U127" s="40"/>
      <c r="V127" t="s">
        <v>27</v>
      </c>
    </row>
    <row r="128" spans="1:22" ht="12.75" customHeight="1">
      <c r="A128" s="4"/>
      <c r="B128" s="34"/>
      <c r="C128" s="5"/>
      <c r="D128" s="35"/>
      <c r="E128" s="34"/>
      <c r="F128" s="36"/>
      <c r="G128" s="39"/>
      <c r="H128" s="34"/>
      <c r="I128" s="36"/>
      <c r="J128" s="39"/>
      <c r="K128" s="38"/>
      <c r="L128" s="36"/>
      <c r="M128" s="39"/>
      <c r="N128" s="38"/>
      <c r="O128" s="36"/>
      <c r="P128" s="39"/>
      <c r="Q128" s="34"/>
      <c r="R128" s="36"/>
      <c r="S128" s="35"/>
      <c r="T128" s="34"/>
      <c r="U128" s="40"/>
      <c r="V128" t="s">
        <v>28</v>
      </c>
    </row>
    <row r="129" spans="1:22" ht="12.75" customHeight="1">
      <c r="A129" s="4"/>
      <c r="B129" s="34"/>
      <c r="C129" s="5"/>
      <c r="D129" s="35"/>
      <c r="E129" s="34"/>
      <c r="F129" s="36"/>
      <c r="G129" s="39"/>
      <c r="H129" s="34"/>
      <c r="I129" s="36"/>
      <c r="J129" s="39"/>
      <c r="K129" s="38"/>
      <c r="L129" s="36"/>
      <c r="M129" s="39"/>
      <c r="N129" s="38"/>
      <c r="O129" s="36"/>
      <c r="P129" s="39"/>
      <c r="Q129" s="34"/>
      <c r="R129" s="36"/>
      <c r="S129" s="35"/>
      <c r="T129" s="34"/>
      <c r="U129" s="40"/>
      <c r="V129" t="s">
        <v>26</v>
      </c>
    </row>
    <row r="130" spans="1:22" ht="12.75" customHeight="1">
      <c r="A130" s="4"/>
      <c r="B130" s="34"/>
      <c r="C130" s="5"/>
      <c r="D130" s="35"/>
      <c r="E130" s="34"/>
      <c r="F130" s="36"/>
      <c r="G130" s="39"/>
      <c r="H130" s="34"/>
      <c r="I130" s="36"/>
      <c r="J130" s="39"/>
      <c r="K130" s="38"/>
      <c r="L130" s="36"/>
      <c r="M130" s="39"/>
      <c r="N130" s="38"/>
      <c r="O130" s="36"/>
      <c r="P130" s="39"/>
      <c r="Q130" s="34"/>
      <c r="R130" s="36"/>
      <c r="S130" s="35"/>
      <c r="T130" s="34"/>
      <c r="U130" s="40"/>
      <c r="V130" t="s">
        <v>29</v>
      </c>
    </row>
    <row r="131" spans="1:22" ht="12.75" customHeight="1">
      <c r="A131" s="4"/>
      <c r="B131" s="34"/>
      <c r="C131" s="5"/>
      <c r="D131" s="35"/>
      <c r="E131" s="34"/>
      <c r="F131" s="36"/>
      <c r="G131" s="39"/>
      <c r="H131" s="34"/>
      <c r="I131" s="36"/>
      <c r="J131" s="39"/>
      <c r="K131" s="38"/>
      <c r="L131" s="36"/>
      <c r="M131" s="39"/>
      <c r="N131" s="38"/>
      <c r="O131" s="36"/>
      <c r="P131" s="39"/>
      <c r="Q131" s="34"/>
      <c r="R131" s="36"/>
      <c r="S131" s="35"/>
      <c r="T131" s="34"/>
      <c r="U131" s="40"/>
      <c r="V131" t="s">
        <v>99</v>
      </c>
    </row>
    <row r="132" spans="1:22" ht="12.75" customHeight="1">
      <c r="A132" s="4"/>
      <c r="B132" s="34"/>
      <c r="C132" s="5"/>
      <c r="D132" s="35"/>
      <c r="E132" s="34"/>
      <c r="F132" s="36"/>
      <c r="G132" s="39"/>
      <c r="H132" s="34"/>
      <c r="I132" s="36"/>
      <c r="J132" s="39"/>
      <c r="K132" s="38"/>
      <c r="L132" s="36"/>
      <c r="M132" s="39"/>
      <c r="N132" s="38"/>
      <c r="O132" s="36"/>
      <c r="P132" s="39"/>
      <c r="Q132" s="34"/>
      <c r="R132" s="36"/>
      <c r="S132" s="35"/>
      <c r="T132" s="34"/>
      <c r="U132" s="40"/>
      <c r="V132" t="s">
        <v>100</v>
      </c>
    </row>
    <row r="133" spans="1:22" ht="12.75" customHeight="1">
      <c r="A133" s="4"/>
      <c r="B133" s="34"/>
      <c r="C133" s="5"/>
      <c r="D133" s="35"/>
      <c r="E133" s="34"/>
      <c r="F133" s="36"/>
      <c r="G133" s="39"/>
      <c r="H133" s="34"/>
      <c r="I133" s="36"/>
      <c r="J133" s="39"/>
      <c r="K133" s="38"/>
      <c r="L133" s="36"/>
      <c r="M133" s="39"/>
      <c r="N133" s="38"/>
      <c r="O133" s="36"/>
      <c r="P133" s="39"/>
      <c r="Q133" s="34"/>
      <c r="R133" s="36"/>
      <c r="S133" s="35"/>
      <c r="T133" s="34"/>
      <c r="U133" s="40"/>
      <c r="V133" t="s">
        <v>101</v>
      </c>
    </row>
    <row r="134" spans="1:22" ht="12.75" customHeight="1">
      <c r="A134" s="4"/>
      <c r="B134" s="34"/>
      <c r="C134" s="5"/>
      <c r="D134" s="35"/>
      <c r="E134" s="34"/>
      <c r="F134" s="36"/>
      <c r="G134" s="39"/>
      <c r="H134" s="34"/>
      <c r="I134" s="36"/>
      <c r="J134" s="39"/>
      <c r="K134" s="38"/>
      <c r="L134" s="36"/>
      <c r="M134" s="39"/>
      <c r="N134" s="38"/>
      <c r="O134" s="36"/>
      <c r="P134" s="39"/>
      <c r="Q134" s="34"/>
      <c r="R134" s="36"/>
      <c r="S134" s="35"/>
      <c r="T134" s="34"/>
      <c r="U134" s="40"/>
      <c r="V134" t="s">
        <v>68</v>
      </c>
    </row>
    <row r="135" spans="1:22" ht="12.75" customHeight="1">
      <c r="A135" s="4"/>
      <c r="B135" s="34"/>
      <c r="C135" s="5"/>
      <c r="D135" s="35"/>
      <c r="E135" s="34"/>
      <c r="F135" s="36"/>
      <c r="G135" s="39"/>
      <c r="H135" s="34"/>
      <c r="I135" s="36"/>
      <c r="J135" s="39"/>
      <c r="K135" s="38"/>
      <c r="L135" s="36"/>
      <c r="M135" s="39"/>
      <c r="N135" s="38"/>
      <c r="O135" s="36"/>
      <c r="P135" s="39"/>
      <c r="Q135" s="34"/>
      <c r="R135" s="36"/>
      <c r="S135" s="35"/>
      <c r="T135" s="34"/>
      <c r="U135" s="40"/>
      <c r="V135" t="s">
        <v>69</v>
      </c>
    </row>
    <row r="136" spans="1:22" ht="12.75" customHeight="1">
      <c r="A136" s="4"/>
      <c r="B136" s="34"/>
      <c r="C136" s="5"/>
      <c r="D136" s="35"/>
      <c r="E136" s="34"/>
      <c r="F136" s="36"/>
      <c r="G136" s="39"/>
      <c r="H136" s="34"/>
      <c r="I136" s="36"/>
      <c r="J136" s="39"/>
      <c r="K136" s="38"/>
      <c r="L136" s="36"/>
      <c r="M136" s="39"/>
      <c r="N136" s="38"/>
      <c r="O136" s="36"/>
      <c r="P136" s="39"/>
      <c r="Q136" s="34"/>
      <c r="R136" s="36"/>
      <c r="S136" s="35"/>
      <c r="T136" s="34"/>
      <c r="U136" s="40"/>
      <c r="V136" t="s">
        <v>102</v>
      </c>
    </row>
    <row r="137" spans="1:22" ht="12.75" customHeight="1">
      <c r="A137" s="4"/>
      <c r="B137" s="34"/>
      <c r="C137" s="5"/>
      <c r="D137" s="35"/>
      <c r="E137" s="34"/>
      <c r="F137" s="36"/>
      <c r="G137" s="39"/>
      <c r="H137" s="34"/>
      <c r="I137" s="36"/>
      <c r="J137" s="39"/>
      <c r="K137" s="38"/>
      <c r="L137" s="36"/>
      <c r="M137" s="39"/>
      <c r="N137" s="38"/>
      <c r="O137" s="36"/>
      <c r="P137" s="39"/>
      <c r="Q137" s="34"/>
      <c r="R137" s="36"/>
      <c r="S137" s="35"/>
      <c r="T137" s="34"/>
      <c r="U137" s="40"/>
      <c r="V137" t="s">
        <v>103</v>
      </c>
    </row>
    <row r="138" spans="1:22" ht="12.75" customHeight="1">
      <c r="A138" s="4"/>
      <c r="B138" s="34"/>
      <c r="C138" s="5"/>
      <c r="D138" s="35"/>
      <c r="E138" s="34"/>
      <c r="F138" s="36"/>
      <c r="G138" s="39"/>
      <c r="H138" s="34"/>
      <c r="I138" s="36"/>
      <c r="J138" s="39"/>
      <c r="K138" s="38"/>
      <c r="L138" s="36"/>
      <c r="M138" s="39"/>
      <c r="N138" s="38"/>
      <c r="O138" s="36"/>
      <c r="P138" s="39"/>
      <c r="Q138" s="34"/>
      <c r="R138" s="36"/>
      <c r="S138" s="35"/>
      <c r="T138" s="34"/>
      <c r="U138" s="40"/>
      <c r="V138" t="s">
        <v>104</v>
      </c>
    </row>
    <row r="139" spans="1:22" ht="12.75" customHeight="1">
      <c r="A139" s="4"/>
      <c r="B139" s="34"/>
      <c r="C139" s="5"/>
      <c r="D139" s="35"/>
      <c r="E139" s="34"/>
      <c r="F139" s="36"/>
      <c r="G139" s="39"/>
      <c r="H139" s="34"/>
      <c r="I139" s="36"/>
      <c r="J139" s="39"/>
      <c r="K139" s="38"/>
      <c r="L139" s="36"/>
      <c r="M139" s="39"/>
      <c r="N139" s="38"/>
      <c r="O139" s="36"/>
      <c r="P139" s="39"/>
      <c r="Q139" s="34"/>
      <c r="R139" s="36"/>
      <c r="S139" s="35"/>
      <c r="T139" s="34"/>
      <c r="U139" s="40"/>
      <c r="V139" t="s">
        <v>104</v>
      </c>
    </row>
    <row r="140" spans="1:22" ht="12.75" customHeight="1">
      <c r="A140" s="4"/>
      <c r="B140" s="34"/>
      <c r="C140" s="5"/>
      <c r="D140" s="35"/>
      <c r="E140" s="34"/>
      <c r="F140" s="36"/>
      <c r="G140" s="39"/>
      <c r="H140" s="34"/>
      <c r="I140" s="36"/>
      <c r="J140" s="39"/>
      <c r="K140" s="38"/>
      <c r="L140" s="36"/>
      <c r="M140" s="39"/>
      <c r="N140" s="38"/>
      <c r="O140" s="36"/>
      <c r="P140" s="39"/>
      <c r="Q140" s="34"/>
      <c r="R140" s="36"/>
      <c r="S140" s="35"/>
      <c r="T140" s="34"/>
      <c r="U140" s="40"/>
      <c r="V140" t="s">
        <v>62</v>
      </c>
    </row>
    <row r="141" spans="1:22" ht="12.75" customHeight="1">
      <c r="A141" s="4"/>
      <c r="B141" s="34"/>
      <c r="C141" s="5"/>
      <c r="D141" s="35"/>
      <c r="E141" s="34"/>
      <c r="F141" s="36"/>
      <c r="G141" s="39"/>
      <c r="H141" s="34"/>
      <c r="I141" s="36"/>
      <c r="J141" s="39"/>
      <c r="K141" s="38"/>
      <c r="L141" s="36"/>
      <c r="M141" s="39"/>
      <c r="N141" s="38"/>
      <c r="O141" s="36"/>
      <c r="P141" s="39"/>
      <c r="Q141" s="34"/>
      <c r="R141" s="36"/>
      <c r="S141" s="35"/>
      <c r="T141" s="34"/>
      <c r="U141" s="40"/>
      <c r="V141" t="s">
        <v>48</v>
      </c>
    </row>
    <row r="142" spans="1:22" ht="12.75" customHeight="1">
      <c r="A142" s="4"/>
      <c r="B142" s="34"/>
      <c r="C142" s="5"/>
      <c r="D142" s="35"/>
      <c r="E142" s="34"/>
      <c r="F142" s="36"/>
      <c r="G142" s="39"/>
      <c r="H142" s="34"/>
      <c r="I142" s="36"/>
      <c r="J142" s="39"/>
      <c r="K142" s="38"/>
      <c r="L142" s="36"/>
      <c r="M142" s="39"/>
      <c r="N142" s="38"/>
      <c r="O142" s="36"/>
      <c r="P142" s="39"/>
      <c r="Q142" s="34"/>
      <c r="R142" s="36"/>
      <c r="S142" s="35"/>
      <c r="T142" s="34"/>
      <c r="U142" s="40"/>
      <c r="V142" t="s">
        <v>71</v>
      </c>
    </row>
    <row r="143" spans="1:22" ht="12.75" customHeight="1">
      <c r="A143" s="4"/>
      <c r="B143" s="34"/>
      <c r="C143" s="5"/>
      <c r="D143" s="35"/>
      <c r="E143" s="34"/>
      <c r="F143" s="36"/>
      <c r="G143" s="39"/>
      <c r="H143" s="34"/>
      <c r="I143" s="36"/>
      <c r="J143" s="39"/>
      <c r="K143" s="38"/>
      <c r="L143" s="36"/>
      <c r="M143" s="39"/>
      <c r="N143" s="38"/>
      <c r="O143" s="36"/>
      <c r="P143" s="39"/>
      <c r="Q143" s="34"/>
      <c r="R143" s="36"/>
      <c r="S143" s="35"/>
      <c r="T143" s="34"/>
      <c r="U143" s="40"/>
      <c r="V143" t="s">
        <v>105</v>
      </c>
    </row>
    <row r="144" spans="1:22" ht="12.75" customHeight="1">
      <c r="A144" s="4"/>
      <c r="B144" s="34"/>
      <c r="C144" s="5"/>
      <c r="D144" s="35"/>
      <c r="E144" s="34"/>
      <c r="F144" s="36"/>
      <c r="G144" s="39"/>
      <c r="H144" s="34"/>
      <c r="I144" s="36"/>
      <c r="J144" s="39"/>
      <c r="K144" s="38"/>
      <c r="L144" s="36"/>
      <c r="M144" s="39"/>
      <c r="N144" s="38"/>
      <c r="O144" s="36"/>
      <c r="P144" s="39"/>
      <c r="Q144" s="34"/>
      <c r="R144" s="36"/>
      <c r="S144" s="35"/>
      <c r="T144" s="34"/>
      <c r="U144" s="40"/>
      <c r="V144" t="s">
        <v>106</v>
      </c>
    </row>
    <row r="145" spans="1:22" ht="12.75" customHeight="1">
      <c r="A145" s="4"/>
      <c r="B145" s="34"/>
      <c r="C145" s="5"/>
      <c r="D145" s="35"/>
      <c r="E145" s="34"/>
      <c r="F145" s="36"/>
      <c r="G145" s="39"/>
      <c r="H145" s="34"/>
      <c r="I145" s="36"/>
      <c r="J145" s="39"/>
      <c r="K145" s="38"/>
      <c r="L145" s="36"/>
      <c r="M145" s="39"/>
      <c r="N145" s="38"/>
      <c r="O145" s="36"/>
      <c r="P145" s="39"/>
      <c r="Q145" s="34"/>
      <c r="R145" s="36"/>
      <c r="S145" s="35"/>
      <c r="T145" s="34"/>
      <c r="U145" s="40"/>
      <c r="V145" t="s">
        <v>75</v>
      </c>
    </row>
    <row r="146" spans="1:22" ht="12.75" customHeight="1">
      <c r="A146" s="4"/>
      <c r="B146" s="34"/>
      <c r="C146" s="5"/>
      <c r="D146" s="35"/>
      <c r="E146" s="34"/>
      <c r="F146" s="36"/>
      <c r="G146" s="39"/>
      <c r="H146" s="34"/>
      <c r="I146" s="36"/>
      <c r="J146" s="39"/>
      <c r="K146" s="38"/>
      <c r="L146" s="36"/>
      <c r="M146" s="39"/>
      <c r="N146" s="38"/>
      <c r="O146" s="36"/>
      <c r="P146" s="39"/>
      <c r="Q146" s="34"/>
      <c r="R146" s="36"/>
      <c r="S146" s="35"/>
      <c r="T146" s="34"/>
      <c r="U146" s="40"/>
      <c r="V146" t="s">
        <v>76</v>
      </c>
    </row>
    <row r="147" spans="1:22" ht="12.75" customHeight="1">
      <c r="A147" s="4"/>
      <c r="B147" s="34"/>
      <c r="C147" s="5"/>
      <c r="D147" s="35"/>
      <c r="E147" s="34"/>
      <c r="F147" s="36"/>
      <c r="G147" s="39"/>
      <c r="H147" s="34"/>
      <c r="I147" s="36"/>
      <c r="J147" s="39"/>
      <c r="K147" s="38"/>
      <c r="L147" s="36"/>
      <c r="M147" s="39"/>
      <c r="N147" s="38"/>
      <c r="O147" s="36"/>
      <c r="P147" s="39"/>
      <c r="Q147" s="34"/>
      <c r="R147" s="36"/>
      <c r="S147" s="35"/>
      <c r="T147" s="34"/>
      <c r="U147" s="40"/>
    </row>
    <row r="148" spans="1:22" ht="12.75" customHeight="1">
      <c r="A148" s="4"/>
      <c r="B148" s="34"/>
      <c r="C148" s="5"/>
      <c r="D148" s="35"/>
      <c r="E148" s="34"/>
      <c r="F148" s="36"/>
      <c r="G148" s="39"/>
      <c r="H148" s="34"/>
      <c r="I148" s="36"/>
      <c r="J148" s="39"/>
      <c r="K148" s="38"/>
      <c r="L148" s="36"/>
      <c r="M148" s="39"/>
      <c r="N148" s="38"/>
      <c r="O148" s="36"/>
      <c r="P148" s="39"/>
      <c r="Q148" s="34"/>
      <c r="R148" s="36"/>
      <c r="S148" s="35"/>
      <c r="T148" s="34"/>
      <c r="U148" s="40"/>
      <c r="V148" t="s">
        <v>107</v>
      </c>
    </row>
    <row r="149" spans="1:22" ht="12.75" customHeight="1">
      <c r="A149" s="4"/>
      <c r="B149" s="34"/>
      <c r="C149" s="5"/>
      <c r="D149" s="35"/>
      <c r="E149" s="34"/>
      <c r="F149" s="36"/>
      <c r="G149" s="39"/>
      <c r="H149" s="34"/>
      <c r="I149" s="36"/>
      <c r="J149" s="39"/>
      <c r="K149" s="38"/>
      <c r="L149" s="36"/>
      <c r="M149" s="39"/>
      <c r="N149" s="38"/>
      <c r="O149" s="36"/>
      <c r="P149" s="39"/>
      <c r="Q149" s="34"/>
      <c r="R149" s="36"/>
      <c r="S149" s="35"/>
      <c r="T149" s="34"/>
      <c r="U149" s="40"/>
      <c r="V149" t="s">
        <v>108</v>
      </c>
    </row>
    <row r="150" spans="1:22" ht="12.75" customHeight="1">
      <c r="A150" s="4"/>
      <c r="B150" s="34"/>
      <c r="C150" s="5"/>
      <c r="D150" s="35"/>
      <c r="E150" s="34"/>
      <c r="F150" s="36"/>
      <c r="G150" s="39"/>
      <c r="H150" s="34"/>
      <c r="I150" s="36"/>
      <c r="J150" s="39"/>
      <c r="K150" s="38"/>
      <c r="L150" s="36"/>
      <c r="M150" s="39"/>
      <c r="N150" s="38"/>
      <c r="O150" s="36"/>
      <c r="P150" s="39"/>
      <c r="Q150" s="34"/>
      <c r="R150" s="36"/>
      <c r="S150" s="35"/>
      <c r="T150" s="34"/>
      <c r="U150" s="40"/>
      <c r="V150" t="s">
        <v>109</v>
      </c>
    </row>
    <row r="151" spans="1:22" ht="12.75" customHeight="1">
      <c r="A151" s="4"/>
      <c r="B151" s="34"/>
      <c r="C151" s="5"/>
      <c r="D151" s="35"/>
      <c r="E151" s="34"/>
      <c r="F151" s="36"/>
      <c r="G151" s="39"/>
      <c r="H151" s="34"/>
      <c r="I151" s="36"/>
      <c r="J151" s="39"/>
      <c r="K151" s="38"/>
      <c r="L151" s="36"/>
      <c r="M151" s="39"/>
      <c r="N151" s="38"/>
      <c r="O151" s="36"/>
      <c r="P151" s="39"/>
      <c r="Q151" s="34"/>
      <c r="R151" s="36"/>
      <c r="S151" s="35"/>
      <c r="T151" s="34"/>
      <c r="U151" s="40"/>
      <c r="V151" t="s">
        <v>30</v>
      </c>
    </row>
    <row r="152" spans="1:22" ht="12.75" customHeight="1">
      <c r="A152" s="4"/>
      <c r="B152" s="34"/>
      <c r="C152" s="5"/>
      <c r="D152" s="35"/>
      <c r="E152" s="34"/>
      <c r="F152" s="36"/>
      <c r="G152" s="39"/>
      <c r="H152" s="34"/>
      <c r="I152" s="36"/>
      <c r="J152" s="39"/>
      <c r="K152" s="38"/>
      <c r="L152" s="36"/>
      <c r="M152" s="39"/>
      <c r="N152" s="38"/>
      <c r="O152" s="36"/>
      <c r="P152" s="39"/>
      <c r="Q152" s="34"/>
      <c r="R152" s="36"/>
      <c r="S152" s="35"/>
      <c r="T152" s="34"/>
      <c r="U152" s="40"/>
      <c r="V152" t="s">
        <v>31</v>
      </c>
    </row>
    <row r="153" spans="1:22" ht="12.75" customHeight="1">
      <c r="A153" s="4"/>
      <c r="B153" s="34"/>
      <c r="C153" s="5"/>
      <c r="D153" s="35"/>
      <c r="E153" s="34"/>
      <c r="F153" s="36"/>
      <c r="G153" s="39"/>
      <c r="H153" s="34"/>
      <c r="I153" s="36"/>
      <c r="J153" s="39"/>
      <c r="K153" s="38"/>
      <c r="L153" s="36"/>
      <c r="M153" s="39"/>
      <c r="N153" s="38"/>
      <c r="O153" s="36"/>
      <c r="P153" s="39"/>
      <c r="Q153" s="34"/>
      <c r="R153" s="36"/>
      <c r="S153" s="35"/>
      <c r="T153" s="34"/>
      <c r="U153" s="40"/>
      <c r="V153" t="s">
        <v>110</v>
      </c>
    </row>
    <row r="154" spans="1:22" ht="12.75" customHeight="1">
      <c r="A154" s="4"/>
      <c r="B154" s="34"/>
      <c r="C154" s="5"/>
      <c r="D154" s="35"/>
      <c r="E154" s="34"/>
      <c r="F154" s="36"/>
      <c r="G154" s="39"/>
      <c r="H154" s="34"/>
      <c r="I154" s="36"/>
      <c r="J154" s="39"/>
      <c r="K154" s="38"/>
      <c r="L154" s="36"/>
      <c r="M154" s="39"/>
      <c r="N154" s="38"/>
      <c r="O154" s="36"/>
      <c r="P154" s="39"/>
      <c r="Q154" s="34"/>
      <c r="R154" s="36"/>
      <c r="S154" s="35"/>
      <c r="T154" s="34"/>
      <c r="U154" s="40"/>
      <c r="V154" t="s">
        <v>38</v>
      </c>
    </row>
    <row r="155" spans="1:22" ht="12.75" customHeight="1">
      <c r="A155" s="4"/>
      <c r="B155" s="34"/>
      <c r="C155" s="5"/>
      <c r="D155" s="35"/>
      <c r="E155" s="34"/>
      <c r="F155" s="36"/>
      <c r="G155" s="39"/>
      <c r="H155" s="34"/>
      <c r="I155" s="36"/>
      <c r="J155" s="39"/>
      <c r="K155" s="38"/>
      <c r="L155" s="36"/>
      <c r="M155" s="39"/>
      <c r="N155" s="38"/>
      <c r="O155" s="36"/>
      <c r="P155" s="39"/>
      <c r="Q155" s="34"/>
      <c r="R155" s="36"/>
      <c r="S155" s="35"/>
      <c r="T155" s="34"/>
      <c r="U155" s="40"/>
      <c r="V155" t="s">
        <v>85</v>
      </c>
    </row>
    <row r="156" spans="1:22" ht="12.75" customHeight="1">
      <c r="A156" s="4"/>
      <c r="B156" s="34"/>
      <c r="C156" s="5"/>
      <c r="D156" s="35"/>
      <c r="E156" s="34"/>
      <c r="F156" s="36"/>
      <c r="G156" s="39"/>
      <c r="H156" s="34"/>
      <c r="I156" s="36"/>
      <c r="J156" s="39"/>
      <c r="K156" s="38"/>
      <c r="L156" s="36"/>
      <c r="M156" s="39"/>
      <c r="N156" s="38"/>
      <c r="O156" s="36"/>
      <c r="P156" s="39"/>
      <c r="Q156" s="34"/>
      <c r="R156" s="36"/>
      <c r="S156" s="35"/>
      <c r="T156" s="34"/>
      <c r="U156" s="40"/>
      <c r="V156" t="s">
        <v>43</v>
      </c>
    </row>
    <row r="157" spans="1:22" ht="12.75" customHeight="1">
      <c r="A157" s="4"/>
      <c r="B157" s="34"/>
      <c r="C157" s="5"/>
      <c r="D157" s="35"/>
      <c r="E157" s="34"/>
      <c r="F157" s="36"/>
      <c r="G157" s="39"/>
      <c r="H157" s="34"/>
      <c r="I157" s="36"/>
      <c r="J157" s="39"/>
      <c r="K157" s="38"/>
      <c r="L157" s="36"/>
      <c r="M157" s="39"/>
      <c r="N157" s="38"/>
      <c r="O157" s="36"/>
      <c r="P157" s="39"/>
      <c r="Q157" s="34"/>
      <c r="R157" s="36"/>
      <c r="S157" s="35"/>
      <c r="T157" s="34"/>
      <c r="U157" s="40"/>
      <c r="V157" t="s">
        <v>44</v>
      </c>
    </row>
    <row r="158" spans="1:22" ht="12.75" customHeight="1">
      <c r="A158" s="4"/>
      <c r="B158" s="34"/>
      <c r="C158" s="5"/>
      <c r="D158" s="35"/>
      <c r="E158" s="34"/>
      <c r="F158" s="36"/>
      <c r="G158" s="39"/>
      <c r="H158" s="34"/>
      <c r="I158" s="36"/>
      <c r="J158" s="39"/>
      <c r="K158" s="38"/>
      <c r="L158" s="36"/>
      <c r="M158" s="39"/>
      <c r="N158" s="38"/>
      <c r="O158" s="36"/>
      <c r="P158" s="39"/>
      <c r="Q158" s="34"/>
      <c r="R158" s="36"/>
      <c r="S158" s="35"/>
      <c r="T158" s="34"/>
      <c r="U158" s="40"/>
      <c r="V158" t="s">
        <v>111</v>
      </c>
    </row>
    <row r="159" spans="1:22" ht="12.75" customHeight="1">
      <c r="A159" s="4"/>
      <c r="B159" s="34"/>
      <c r="C159" s="5"/>
      <c r="D159" s="35"/>
      <c r="E159" s="34"/>
      <c r="F159" s="36"/>
      <c r="G159" s="39"/>
      <c r="H159" s="34"/>
      <c r="I159" s="36"/>
      <c r="J159" s="39"/>
      <c r="K159" s="38"/>
      <c r="L159" s="36"/>
      <c r="M159" s="39"/>
      <c r="N159" s="38"/>
      <c r="O159" s="36"/>
      <c r="P159" s="39"/>
      <c r="Q159" s="34"/>
      <c r="R159" s="36"/>
      <c r="S159" s="35"/>
      <c r="T159" s="34"/>
      <c r="U159" s="40"/>
      <c r="V159" t="s">
        <v>112</v>
      </c>
    </row>
    <row r="160" spans="1:22" ht="12.75" customHeight="1">
      <c r="A160" s="4"/>
      <c r="B160" s="34"/>
      <c r="C160" s="5"/>
      <c r="D160" s="35"/>
      <c r="E160" s="34"/>
      <c r="F160" s="36"/>
      <c r="G160" s="39"/>
      <c r="H160" s="34"/>
      <c r="I160" s="36"/>
      <c r="J160" s="39"/>
      <c r="K160" s="38"/>
      <c r="L160" s="36"/>
      <c r="M160" s="39"/>
      <c r="N160" s="38"/>
      <c r="O160" s="36"/>
      <c r="P160" s="39"/>
      <c r="Q160" s="34"/>
      <c r="R160" s="36"/>
      <c r="S160" s="35"/>
      <c r="T160" s="34"/>
      <c r="U160" s="40"/>
      <c r="V160" t="s">
        <v>22</v>
      </c>
    </row>
    <row r="161" spans="1:22" ht="12.75" customHeight="1">
      <c r="A161" s="4"/>
      <c r="B161" s="34"/>
      <c r="C161" s="5"/>
      <c r="D161" s="35"/>
      <c r="E161" s="34"/>
      <c r="F161" s="36"/>
      <c r="G161" s="39"/>
      <c r="H161" s="34"/>
      <c r="I161" s="36"/>
      <c r="J161" s="39"/>
      <c r="K161" s="38"/>
      <c r="L161" s="36"/>
      <c r="M161" s="39"/>
      <c r="N161" s="38"/>
      <c r="O161" s="36"/>
      <c r="P161" s="39"/>
      <c r="Q161" s="34"/>
      <c r="R161" s="36"/>
      <c r="S161" s="35"/>
      <c r="T161" s="34"/>
      <c r="U161" s="40"/>
      <c r="V161" t="s">
        <v>113</v>
      </c>
    </row>
    <row r="162" spans="1:22" ht="12.75" customHeight="1">
      <c r="A162" s="4"/>
      <c r="B162" s="34"/>
      <c r="C162" s="5"/>
      <c r="D162" s="35"/>
      <c r="E162" s="34"/>
      <c r="F162" s="36"/>
      <c r="G162" s="39"/>
      <c r="H162" s="34"/>
      <c r="I162" s="36"/>
      <c r="J162" s="39"/>
      <c r="K162" s="38"/>
      <c r="L162" s="36"/>
      <c r="M162" s="39"/>
      <c r="N162" s="38"/>
      <c r="O162" s="36"/>
      <c r="P162" s="39"/>
      <c r="Q162" s="34"/>
      <c r="R162" s="36"/>
      <c r="S162" s="35"/>
      <c r="T162" s="34"/>
      <c r="U162" s="40"/>
      <c r="V162" t="s">
        <v>41</v>
      </c>
    </row>
    <row r="163" spans="1:22" ht="12.75" customHeight="1">
      <c r="A163" s="4"/>
      <c r="B163" s="34"/>
      <c r="C163" s="5"/>
      <c r="D163" s="35"/>
      <c r="E163" s="34"/>
      <c r="F163" s="36"/>
      <c r="G163" s="39"/>
      <c r="H163" s="34"/>
      <c r="I163" s="36"/>
      <c r="J163" s="39"/>
      <c r="K163" s="38"/>
      <c r="L163" s="36"/>
      <c r="M163" s="39"/>
      <c r="N163" s="38"/>
      <c r="O163" s="36"/>
      <c r="P163" s="39"/>
      <c r="Q163" s="34"/>
      <c r="R163" s="36"/>
      <c r="S163" s="35"/>
      <c r="T163" s="34"/>
      <c r="U163" s="40"/>
      <c r="V163" t="s">
        <v>52</v>
      </c>
    </row>
    <row r="164" spans="1:22" ht="12.75" customHeight="1">
      <c r="A164" s="4"/>
      <c r="B164" s="34"/>
      <c r="C164" s="5"/>
      <c r="D164" s="35"/>
      <c r="E164" s="34"/>
      <c r="F164" s="36"/>
      <c r="G164" s="39"/>
      <c r="H164" s="34"/>
      <c r="I164" s="36"/>
      <c r="J164" s="39"/>
      <c r="K164" s="38"/>
      <c r="L164" s="36"/>
      <c r="M164" s="39"/>
      <c r="N164" s="38"/>
      <c r="O164" s="36"/>
      <c r="P164" s="39"/>
      <c r="Q164" s="34"/>
      <c r="R164" s="36"/>
      <c r="S164" s="35"/>
      <c r="T164" s="34"/>
      <c r="U164" s="40"/>
      <c r="V164" t="s">
        <v>23</v>
      </c>
    </row>
    <row r="165" spans="1:22" ht="12.75" customHeight="1">
      <c r="A165" s="4"/>
      <c r="B165" s="34"/>
      <c r="C165" s="5"/>
      <c r="D165" s="35"/>
      <c r="E165" s="34"/>
      <c r="F165" s="36"/>
      <c r="G165" s="39"/>
      <c r="H165" s="34"/>
      <c r="I165" s="36"/>
      <c r="J165" s="39"/>
      <c r="K165" s="38"/>
      <c r="L165" s="36"/>
      <c r="M165" s="39"/>
      <c r="N165" s="38"/>
      <c r="O165" s="36"/>
      <c r="P165" s="39"/>
      <c r="Q165" s="34"/>
      <c r="R165" s="36"/>
      <c r="S165" s="35"/>
      <c r="T165" s="34"/>
      <c r="U165" s="40"/>
      <c r="V165" t="s">
        <v>24</v>
      </c>
    </row>
    <row r="166" spans="1:22" ht="12.75" customHeight="1">
      <c r="A166" s="4"/>
      <c r="B166" s="34"/>
      <c r="C166" s="5"/>
      <c r="D166" s="35"/>
      <c r="E166" s="34"/>
      <c r="F166" s="36"/>
      <c r="G166" s="39"/>
      <c r="H166" s="34"/>
      <c r="I166" s="36"/>
      <c r="J166" s="39"/>
      <c r="K166" s="38"/>
      <c r="L166" s="36"/>
      <c r="M166" s="39"/>
      <c r="N166" s="38"/>
      <c r="O166" s="36"/>
      <c r="P166" s="39"/>
      <c r="Q166" s="34"/>
      <c r="R166" s="36"/>
      <c r="S166" s="35"/>
      <c r="T166" s="34"/>
      <c r="U166" s="40"/>
      <c r="V166" t="s">
        <v>63</v>
      </c>
    </row>
    <row r="167" spans="1:22" ht="12.75" customHeight="1">
      <c r="A167" s="4"/>
      <c r="B167" s="34"/>
      <c r="C167" s="5"/>
      <c r="D167" s="35"/>
      <c r="E167" s="34"/>
      <c r="F167" s="36"/>
      <c r="G167" s="39"/>
      <c r="H167" s="34"/>
      <c r="I167" s="36"/>
      <c r="J167" s="39"/>
      <c r="K167" s="38"/>
      <c r="L167" s="36"/>
      <c r="M167" s="39"/>
      <c r="N167" s="38"/>
      <c r="O167" s="36"/>
      <c r="P167" s="39"/>
      <c r="Q167" s="34"/>
      <c r="R167" s="36"/>
      <c r="S167" s="35"/>
      <c r="T167" s="34"/>
      <c r="U167" s="40"/>
      <c r="V167" t="s">
        <v>88</v>
      </c>
    </row>
    <row r="168" spans="1:22" ht="12.75" customHeight="1">
      <c r="A168" s="4"/>
      <c r="B168" s="34"/>
      <c r="C168" s="5"/>
      <c r="D168" s="35"/>
      <c r="E168" s="34"/>
      <c r="F168" s="36"/>
      <c r="G168" s="39"/>
      <c r="H168" s="34"/>
      <c r="I168" s="36"/>
      <c r="J168" s="39"/>
      <c r="K168" s="38"/>
      <c r="L168" s="36"/>
      <c r="M168" s="39"/>
      <c r="N168" s="38"/>
      <c r="O168" s="36"/>
      <c r="P168" s="39"/>
      <c r="Q168" s="34"/>
      <c r="R168" s="36"/>
      <c r="S168" s="35"/>
      <c r="T168" s="34"/>
      <c r="U168" s="40"/>
      <c r="V168" t="s">
        <v>55</v>
      </c>
    </row>
    <row r="169" spans="1:22" ht="12.75" customHeight="1">
      <c r="A169" s="4"/>
      <c r="B169" s="34"/>
      <c r="C169" s="5"/>
      <c r="D169" s="35"/>
      <c r="E169" s="34"/>
      <c r="F169" s="36"/>
      <c r="G169" s="39"/>
      <c r="H169" s="34"/>
      <c r="I169" s="36"/>
      <c r="J169" s="39"/>
      <c r="K169" s="38"/>
      <c r="L169" s="36"/>
      <c r="M169" s="39"/>
      <c r="N169" s="38"/>
      <c r="O169" s="36"/>
      <c r="P169" s="39"/>
      <c r="Q169" s="34"/>
      <c r="R169" s="36"/>
      <c r="S169" s="35"/>
      <c r="T169" s="34"/>
      <c r="U169" s="40"/>
      <c r="V169" t="s">
        <v>114</v>
      </c>
    </row>
    <row r="170" spans="1:22" ht="12.75" customHeight="1">
      <c r="A170" s="4"/>
      <c r="B170" s="34"/>
      <c r="C170" s="5"/>
      <c r="D170" s="35"/>
      <c r="E170" s="34"/>
      <c r="F170" s="36"/>
      <c r="G170" s="39"/>
      <c r="H170" s="34"/>
      <c r="I170" s="36"/>
      <c r="J170" s="39"/>
      <c r="K170" s="38"/>
      <c r="L170" s="36"/>
      <c r="M170" s="39"/>
      <c r="N170" s="38"/>
      <c r="O170" s="36"/>
      <c r="P170" s="39"/>
      <c r="Q170" s="34"/>
      <c r="R170" s="36"/>
      <c r="S170" s="35"/>
      <c r="T170" s="34"/>
      <c r="U170" s="40"/>
      <c r="V170" t="s">
        <v>115</v>
      </c>
    </row>
    <row r="171" spans="1:22" ht="12.75" customHeight="1">
      <c r="A171" s="4"/>
      <c r="B171" s="34"/>
      <c r="C171" s="5"/>
      <c r="D171" s="35"/>
      <c r="E171" s="34"/>
      <c r="F171" s="36"/>
      <c r="G171" s="39"/>
      <c r="H171" s="34"/>
      <c r="I171" s="36"/>
      <c r="J171" s="39"/>
      <c r="K171" s="38"/>
      <c r="L171" s="36"/>
      <c r="M171" s="39"/>
      <c r="N171" s="38"/>
      <c r="O171" s="36"/>
      <c r="P171" s="39"/>
      <c r="Q171" s="34"/>
      <c r="R171" s="36"/>
      <c r="S171" s="35"/>
      <c r="T171" s="34"/>
      <c r="U171" s="40"/>
      <c r="V171" t="s">
        <v>62</v>
      </c>
    </row>
    <row r="172" spans="1:22" ht="12.75" customHeight="1">
      <c r="A172" s="4"/>
      <c r="B172" s="34"/>
      <c r="C172" s="5"/>
      <c r="D172" s="35"/>
      <c r="E172" s="34"/>
      <c r="F172" s="36"/>
      <c r="G172" s="39"/>
      <c r="H172" s="34"/>
      <c r="I172" s="36"/>
      <c r="J172" s="39"/>
      <c r="K172" s="38"/>
      <c r="L172" s="36"/>
      <c r="M172" s="39"/>
      <c r="N172" s="38"/>
      <c r="O172" s="36"/>
      <c r="P172" s="39"/>
      <c r="Q172" s="34"/>
      <c r="R172" s="36"/>
      <c r="S172" s="35"/>
      <c r="T172" s="34"/>
      <c r="U172" s="40"/>
    </row>
    <row r="173" spans="1:22" ht="12.75" customHeight="1">
      <c r="A173" s="4"/>
      <c r="B173" s="34"/>
      <c r="C173" s="5"/>
      <c r="D173" s="35"/>
      <c r="E173" s="34"/>
      <c r="F173" s="36"/>
      <c r="G173" s="39"/>
      <c r="H173" s="34"/>
      <c r="I173" s="36"/>
      <c r="J173" s="39"/>
      <c r="K173" s="38"/>
      <c r="L173" s="36"/>
      <c r="M173" s="39"/>
      <c r="N173" s="38"/>
      <c r="O173" s="36"/>
      <c r="P173" s="39"/>
      <c r="Q173" s="34"/>
      <c r="R173" s="36"/>
      <c r="S173" s="35"/>
      <c r="T173" s="34"/>
      <c r="U173" s="40"/>
    </row>
    <row r="174" spans="1:22" ht="12.75" customHeight="1">
      <c r="A174" s="4"/>
      <c r="B174" s="34"/>
      <c r="C174" s="5"/>
      <c r="D174" s="35"/>
      <c r="E174" s="34"/>
      <c r="F174" s="36"/>
      <c r="G174" s="39"/>
      <c r="H174" s="34"/>
      <c r="I174" s="36"/>
      <c r="J174" s="39"/>
      <c r="K174" s="38"/>
      <c r="L174" s="36"/>
      <c r="M174" s="39"/>
      <c r="N174" s="38"/>
      <c r="O174" s="36"/>
      <c r="P174" s="39"/>
      <c r="Q174" s="34"/>
      <c r="R174" s="36"/>
      <c r="S174" s="35"/>
      <c r="T174" s="34"/>
      <c r="U174" s="40"/>
      <c r="V174" t="s">
        <v>116</v>
      </c>
    </row>
    <row r="175" spans="1:22" ht="12.75" customHeight="1">
      <c r="A175" s="4"/>
      <c r="B175" s="34"/>
      <c r="C175" s="5"/>
      <c r="D175" s="35"/>
      <c r="E175" s="34"/>
      <c r="F175" s="36"/>
      <c r="G175" s="39"/>
      <c r="H175" s="34"/>
      <c r="I175" s="36"/>
      <c r="J175" s="39"/>
      <c r="K175" s="38"/>
      <c r="L175" s="36"/>
      <c r="M175" s="39"/>
      <c r="N175" s="38"/>
      <c r="O175" s="36"/>
      <c r="P175" s="39"/>
      <c r="Q175" s="34"/>
      <c r="R175" s="36"/>
      <c r="S175" s="35"/>
      <c r="T175" s="34"/>
      <c r="U175" s="40"/>
    </row>
    <row r="176" spans="1:22" ht="12.75" customHeight="1">
      <c r="A176" s="4"/>
      <c r="B176" s="34"/>
      <c r="C176" s="5"/>
      <c r="D176" s="35"/>
      <c r="E176" s="34"/>
      <c r="F176" s="36"/>
      <c r="G176" s="39"/>
      <c r="H176" s="34"/>
      <c r="I176" s="36"/>
      <c r="J176" s="39"/>
      <c r="K176" s="38"/>
      <c r="L176" s="36"/>
      <c r="M176" s="39"/>
      <c r="N176" s="38"/>
      <c r="O176" s="36"/>
      <c r="P176" s="39"/>
      <c r="Q176" s="34"/>
      <c r="R176" s="36"/>
      <c r="S176" s="35"/>
      <c r="T176" s="34"/>
      <c r="U176" s="40"/>
    </row>
    <row r="177" spans="1:22" ht="12.75" customHeight="1">
      <c r="A177" s="4"/>
      <c r="B177" s="34"/>
      <c r="C177" s="5"/>
      <c r="D177" s="35"/>
      <c r="E177" s="34"/>
      <c r="F177" s="36"/>
      <c r="G177" s="39"/>
      <c r="H177" s="34"/>
      <c r="I177" s="36"/>
      <c r="J177" s="39"/>
      <c r="K177" s="38"/>
      <c r="L177" s="36"/>
      <c r="M177" s="39"/>
      <c r="N177" s="38"/>
      <c r="O177" s="36"/>
      <c r="P177" s="39"/>
      <c r="Q177" s="34"/>
      <c r="R177" s="36"/>
      <c r="S177" s="35"/>
      <c r="T177" s="34"/>
      <c r="U177" s="40"/>
    </row>
    <row r="178" spans="1:22" ht="12.75" customHeight="1">
      <c r="A178" s="4"/>
      <c r="B178" s="34"/>
      <c r="C178" s="5"/>
      <c r="D178" s="35"/>
      <c r="E178" s="34"/>
      <c r="F178" s="36"/>
      <c r="G178" s="39"/>
      <c r="H178" s="34"/>
      <c r="I178" s="36"/>
      <c r="J178" s="39"/>
      <c r="K178" s="38"/>
      <c r="L178" s="36"/>
      <c r="M178" s="39"/>
      <c r="N178" s="38"/>
      <c r="O178" s="36"/>
      <c r="P178" s="39"/>
      <c r="Q178" s="34"/>
      <c r="R178" s="36"/>
      <c r="S178" s="35"/>
      <c r="T178" s="34"/>
      <c r="U178" s="40"/>
      <c r="V178" t="s">
        <v>117</v>
      </c>
    </row>
    <row r="179" spans="1:22" ht="12.75" customHeight="1">
      <c r="A179" s="4"/>
      <c r="B179" s="34"/>
      <c r="C179" s="5"/>
      <c r="D179" s="35"/>
      <c r="E179" s="34"/>
      <c r="F179" s="36"/>
      <c r="G179" s="39"/>
      <c r="H179" s="34"/>
      <c r="I179" s="36"/>
      <c r="J179" s="39"/>
      <c r="K179" s="38"/>
      <c r="L179" s="36"/>
      <c r="M179" s="39"/>
      <c r="N179" s="38"/>
      <c r="O179" s="36"/>
      <c r="P179" s="39"/>
      <c r="Q179" s="34"/>
      <c r="R179" s="36"/>
      <c r="S179" s="35"/>
      <c r="T179" s="34"/>
      <c r="U179" s="40"/>
      <c r="V179" t="s">
        <v>118</v>
      </c>
    </row>
    <row r="180" spans="1:22" ht="12.75" customHeight="1">
      <c r="A180" s="4"/>
      <c r="B180" s="34"/>
      <c r="C180" s="5"/>
      <c r="D180" s="35"/>
      <c r="E180" s="34"/>
      <c r="F180" s="36"/>
      <c r="G180" s="39"/>
      <c r="H180" s="34"/>
      <c r="I180" s="36"/>
      <c r="J180" s="39"/>
      <c r="K180" s="38"/>
      <c r="L180" s="36"/>
      <c r="M180" s="39"/>
      <c r="N180" s="38"/>
      <c r="O180" s="36"/>
      <c r="P180" s="39"/>
      <c r="Q180" s="34"/>
      <c r="R180" s="36"/>
      <c r="S180" s="35"/>
      <c r="T180" s="34"/>
      <c r="U180" s="40"/>
      <c r="V180" t="s">
        <v>57</v>
      </c>
    </row>
    <row r="181" spans="1:22" ht="12.75" customHeight="1">
      <c r="A181" s="4"/>
      <c r="B181" s="34"/>
      <c r="C181" s="5"/>
      <c r="D181" s="35"/>
      <c r="E181" s="34"/>
      <c r="F181" s="36"/>
      <c r="G181" s="39"/>
      <c r="H181" s="34"/>
      <c r="I181" s="36"/>
      <c r="J181" s="39"/>
      <c r="K181" s="38"/>
      <c r="L181" s="36"/>
      <c r="M181" s="39"/>
      <c r="N181" s="38"/>
      <c r="O181" s="36"/>
      <c r="P181" s="39"/>
      <c r="Q181" s="34"/>
      <c r="R181" s="36"/>
      <c r="S181" s="35"/>
      <c r="T181" s="34"/>
      <c r="U181" s="40"/>
      <c r="V181" t="s">
        <v>83</v>
      </c>
    </row>
    <row r="182" spans="1:22" ht="12.75" customHeight="1">
      <c r="A182" s="4"/>
      <c r="B182" s="34"/>
      <c r="C182" s="5"/>
      <c r="D182" s="35"/>
      <c r="E182" s="34"/>
      <c r="F182" s="36"/>
      <c r="G182" s="39"/>
      <c r="H182" s="34"/>
      <c r="I182" s="36"/>
      <c r="J182" s="39"/>
      <c r="K182" s="38"/>
      <c r="L182" s="36"/>
      <c r="M182" s="39"/>
      <c r="N182" s="38"/>
      <c r="O182" s="36"/>
      <c r="P182" s="39"/>
      <c r="Q182" s="34"/>
      <c r="R182" s="36"/>
      <c r="S182" s="35"/>
      <c r="T182" s="34"/>
      <c r="U182" s="40"/>
      <c r="V182" t="s">
        <v>119</v>
      </c>
    </row>
    <row r="183" spans="1:22" ht="12.75" customHeight="1">
      <c r="A183" s="4"/>
      <c r="B183" s="34"/>
      <c r="C183" s="5"/>
      <c r="D183" s="35"/>
      <c r="E183" s="34"/>
      <c r="F183" s="36"/>
      <c r="G183" s="39"/>
      <c r="H183" s="34"/>
      <c r="I183" s="36"/>
      <c r="J183" s="39"/>
      <c r="K183" s="38"/>
      <c r="L183" s="36"/>
      <c r="M183" s="39"/>
      <c r="N183" s="38"/>
      <c r="O183" s="36"/>
      <c r="P183" s="39"/>
      <c r="Q183" s="34"/>
      <c r="R183" s="36"/>
      <c r="S183" s="35"/>
      <c r="T183" s="34"/>
      <c r="U183" s="40"/>
      <c r="V183" t="s">
        <v>53</v>
      </c>
    </row>
    <row r="184" spans="1:22" ht="12.75" customHeight="1">
      <c r="A184" s="4"/>
      <c r="B184" s="34"/>
      <c r="C184" s="5"/>
      <c r="D184" s="35"/>
      <c r="E184" s="34"/>
      <c r="F184" s="36"/>
      <c r="G184" s="39"/>
      <c r="H184" s="34"/>
      <c r="I184" s="36"/>
      <c r="J184" s="39"/>
      <c r="K184" s="38"/>
      <c r="L184" s="36"/>
      <c r="M184" s="39"/>
      <c r="N184" s="38"/>
      <c r="O184" s="36"/>
      <c r="P184" s="39"/>
      <c r="Q184" s="34"/>
      <c r="R184" s="36"/>
      <c r="S184" s="35"/>
      <c r="T184" s="34"/>
      <c r="U184" s="40"/>
      <c r="V184" t="s">
        <v>120</v>
      </c>
    </row>
    <row r="185" spans="1:22" ht="12.75" customHeight="1">
      <c r="A185" s="4"/>
      <c r="B185" s="34"/>
      <c r="C185" s="5"/>
      <c r="D185" s="35"/>
      <c r="E185" s="34"/>
      <c r="F185" s="36"/>
      <c r="G185" s="39"/>
      <c r="H185" s="34"/>
      <c r="I185" s="36"/>
      <c r="J185" s="39"/>
      <c r="K185" s="38"/>
      <c r="L185" s="36"/>
      <c r="M185" s="39"/>
      <c r="N185" s="38"/>
      <c r="O185" s="36"/>
      <c r="P185" s="39"/>
      <c r="Q185" s="34"/>
      <c r="R185" s="36"/>
      <c r="S185" s="35"/>
      <c r="T185" s="34"/>
      <c r="U185" s="40"/>
      <c r="V185" t="s">
        <v>121</v>
      </c>
    </row>
    <row r="186" spans="1:22" ht="12.75" customHeight="1">
      <c r="A186" s="4"/>
      <c r="B186" s="34"/>
      <c r="C186" s="5"/>
      <c r="D186" s="35"/>
      <c r="E186" s="34"/>
      <c r="F186" s="36"/>
      <c r="G186" s="39"/>
      <c r="H186" s="34"/>
      <c r="I186" s="36"/>
      <c r="J186" s="39"/>
      <c r="K186" s="38"/>
      <c r="L186" s="36"/>
      <c r="M186" s="39"/>
      <c r="N186" s="38"/>
      <c r="O186" s="36"/>
      <c r="P186" s="39"/>
      <c r="Q186" s="34"/>
      <c r="R186" s="36"/>
      <c r="S186" s="35"/>
      <c r="T186" s="34"/>
      <c r="U186" s="40"/>
      <c r="V186" t="s">
        <v>122</v>
      </c>
    </row>
    <row r="187" spans="1:22" ht="12.75" customHeight="1">
      <c r="A187" s="4"/>
      <c r="B187" s="34"/>
      <c r="C187" s="5"/>
      <c r="D187" s="35"/>
      <c r="E187" s="34"/>
      <c r="F187" s="36"/>
      <c r="G187" s="39"/>
      <c r="H187" s="34"/>
      <c r="I187" s="36"/>
      <c r="J187" s="39"/>
      <c r="K187" s="38"/>
      <c r="L187" s="36"/>
      <c r="M187" s="39"/>
      <c r="N187" s="38"/>
      <c r="O187" s="36"/>
      <c r="P187" s="39"/>
      <c r="Q187" s="34"/>
      <c r="R187" s="36"/>
      <c r="S187" s="35"/>
      <c r="T187" s="34"/>
      <c r="U187" s="40"/>
      <c r="V187" t="s">
        <v>123</v>
      </c>
    </row>
    <row r="188" spans="1:22" ht="12.75" customHeight="1">
      <c r="A188" s="4"/>
      <c r="B188" s="34"/>
      <c r="C188" s="5"/>
      <c r="D188" s="35"/>
      <c r="E188" s="34"/>
      <c r="F188" s="36"/>
      <c r="G188" s="39"/>
      <c r="H188" s="34"/>
      <c r="I188" s="36"/>
      <c r="J188" s="39"/>
      <c r="K188" s="38"/>
      <c r="L188" s="36"/>
      <c r="M188" s="39"/>
      <c r="N188" s="38"/>
      <c r="O188" s="36"/>
      <c r="P188" s="39"/>
      <c r="Q188" s="34"/>
      <c r="R188" s="36"/>
      <c r="S188" s="35"/>
      <c r="T188" s="34"/>
      <c r="U188" s="40"/>
      <c r="V188" t="s">
        <v>32</v>
      </c>
    </row>
    <row r="189" spans="1:22" ht="12.75" customHeight="1">
      <c r="A189" s="4"/>
      <c r="B189" s="34"/>
      <c r="C189" s="5"/>
      <c r="D189" s="35"/>
      <c r="E189" s="34"/>
      <c r="F189" s="36"/>
      <c r="G189" s="39"/>
      <c r="H189" s="34"/>
      <c r="I189" s="36"/>
      <c r="J189" s="39"/>
      <c r="K189" s="38"/>
      <c r="L189" s="36"/>
      <c r="M189" s="39"/>
      <c r="N189" s="38"/>
      <c r="O189" s="36"/>
      <c r="P189" s="39"/>
      <c r="Q189" s="34"/>
      <c r="R189" s="36"/>
      <c r="S189" s="35"/>
      <c r="T189" s="34"/>
      <c r="U189" s="40"/>
      <c r="V189" t="s">
        <v>84</v>
      </c>
    </row>
    <row r="190" spans="1:22" ht="12.75" customHeight="1">
      <c r="A190" s="4"/>
      <c r="B190" s="34"/>
      <c r="C190" s="5"/>
      <c r="D190" s="35"/>
      <c r="E190" s="34"/>
      <c r="F190" s="36"/>
      <c r="G190" s="39"/>
      <c r="H190" s="34"/>
      <c r="I190" s="36"/>
      <c r="J190" s="39"/>
      <c r="K190" s="38"/>
      <c r="L190" s="36"/>
      <c r="M190" s="39"/>
      <c r="N190" s="38"/>
      <c r="O190" s="36"/>
      <c r="P190" s="39"/>
      <c r="Q190" s="34"/>
      <c r="R190" s="36"/>
      <c r="S190" s="35"/>
      <c r="T190" s="34"/>
      <c r="U190" s="40"/>
      <c r="V190" t="s">
        <v>91</v>
      </c>
    </row>
    <row r="191" spans="1:22" ht="12.75" customHeight="1">
      <c r="A191" s="4"/>
      <c r="B191" s="34"/>
      <c r="C191" s="5"/>
      <c r="D191" s="35"/>
      <c r="E191" s="34"/>
      <c r="F191" s="36"/>
      <c r="G191" s="39"/>
      <c r="H191" s="34"/>
      <c r="I191" s="36"/>
      <c r="J191" s="39"/>
      <c r="K191" s="38"/>
      <c r="L191" s="36"/>
      <c r="M191" s="39"/>
      <c r="N191" s="38"/>
      <c r="O191" s="36"/>
      <c r="P191" s="39"/>
      <c r="Q191" s="34"/>
      <c r="R191" s="36"/>
      <c r="S191" s="35"/>
      <c r="T191" s="34"/>
      <c r="U191" s="40"/>
      <c r="V191" t="s">
        <v>25</v>
      </c>
    </row>
    <row r="192" spans="1:22" ht="12.75" customHeight="1">
      <c r="A192" s="4"/>
      <c r="B192" s="34"/>
      <c r="C192" s="5"/>
      <c r="D192" s="35"/>
      <c r="E192" s="34"/>
      <c r="F192" s="36"/>
      <c r="G192" s="39"/>
      <c r="H192" s="34"/>
      <c r="I192" s="36"/>
      <c r="J192" s="39"/>
      <c r="K192" s="38"/>
      <c r="L192" s="36"/>
      <c r="M192" s="39"/>
      <c r="N192" s="38"/>
      <c r="O192" s="36"/>
      <c r="P192" s="39"/>
      <c r="Q192" s="34"/>
      <c r="R192" s="36"/>
      <c r="S192" s="35"/>
      <c r="T192" s="34"/>
      <c r="U192" s="40"/>
      <c r="V192" t="s">
        <v>51</v>
      </c>
    </row>
    <row r="193" spans="1:22" ht="12.75" customHeight="1">
      <c r="A193" s="4"/>
      <c r="B193" s="34"/>
      <c r="C193" s="5"/>
      <c r="D193" s="35"/>
      <c r="E193" s="34"/>
      <c r="F193" s="36"/>
      <c r="G193" s="39"/>
      <c r="H193" s="34"/>
      <c r="I193" s="36"/>
      <c r="J193" s="39"/>
      <c r="K193" s="38"/>
      <c r="L193" s="36"/>
      <c r="M193" s="39"/>
      <c r="N193" s="38"/>
      <c r="O193" s="36"/>
      <c r="P193" s="39"/>
      <c r="Q193" s="34"/>
      <c r="R193" s="36"/>
      <c r="S193" s="35"/>
      <c r="T193" s="34"/>
      <c r="U193" s="40"/>
      <c r="V193" t="s">
        <v>120</v>
      </c>
    </row>
    <row r="194" spans="1:22" ht="12.75" customHeight="1">
      <c r="A194" s="4"/>
      <c r="B194" s="34"/>
      <c r="C194" s="5"/>
      <c r="D194" s="35"/>
      <c r="E194" s="34"/>
      <c r="F194" s="36"/>
      <c r="G194" s="39"/>
      <c r="H194" s="34"/>
      <c r="I194" s="36"/>
      <c r="J194" s="39"/>
      <c r="K194" s="38"/>
      <c r="L194" s="36"/>
      <c r="M194" s="39"/>
      <c r="N194" s="38"/>
      <c r="O194" s="36"/>
      <c r="P194" s="39"/>
      <c r="Q194" s="34"/>
      <c r="R194" s="36"/>
      <c r="S194" s="35"/>
      <c r="T194" s="34"/>
      <c r="U194" s="40"/>
    </row>
    <row r="195" spans="1:22" ht="12.75" customHeight="1">
      <c r="A195" s="4"/>
      <c r="B195" s="34"/>
      <c r="C195" s="5"/>
      <c r="D195" s="35"/>
      <c r="E195" s="34"/>
      <c r="F195" s="36"/>
      <c r="G195" s="39"/>
      <c r="H195" s="34"/>
      <c r="I195" s="36"/>
      <c r="J195" s="39"/>
      <c r="K195" s="38"/>
      <c r="L195" s="36"/>
      <c r="M195" s="39"/>
      <c r="N195" s="38"/>
      <c r="O195" s="36"/>
      <c r="P195" s="39"/>
      <c r="Q195" s="34"/>
      <c r="R195" s="36"/>
      <c r="S195" s="35"/>
      <c r="T195" s="34"/>
      <c r="U195" s="40"/>
    </row>
    <row r="196" spans="1:22" ht="12.75" customHeight="1">
      <c r="A196" s="4"/>
      <c r="B196" s="34"/>
      <c r="C196" s="5"/>
      <c r="D196" s="35"/>
      <c r="E196" s="34"/>
      <c r="F196" s="36"/>
      <c r="G196" s="39"/>
      <c r="H196" s="34"/>
      <c r="I196" s="36"/>
      <c r="J196" s="39"/>
      <c r="K196" s="38"/>
      <c r="L196" s="36"/>
      <c r="M196" s="39"/>
      <c r="N196" s="38"/>
      <c r="O196" s="36"/>
      <c r="P196" s="39"/>
      <c r="Q196" s="34"/>
      <c r="R196" s="36"/>
      <c r="S196" s="35"/>
      <c r="T196" s="34"/>
      <c r="U196" s="40"/>
    </row>
    <row r="197" spans="1:22" ht="12.75" customHeight="1">
      <c r="A197" s="4"/>
      <c r="B197" s="34"/>
      <c r="C197" s="5"/>
      <c r="D197" s="35"/>
      <c r="E197" s="34"/>
      <c r="F197" s="36"/>
      <c r="G197" s="39"/>
      <c r="H197" s="34"/>
      <c r="I197" s="36"/>
      <c r="J197" s="39"/>
      <c r="K197" s="38"/>
      <c r="L197" s="36"/>
      <c r="M197" s="39"/>
      <c r="N197" s="38"/>
      <c r="O197" s="36"/>
      <c r="P197" s="39"/>
      <c r="Q197" s="34"/>
      <c r="R197" s="36"/>
      <c r="S197" s="35"/>
      <c r="T197" s="34"/>
      <c r="U197" s="40"/>
      <c r="V197" t="s">
        <v>124</v>
      </c>
    </row>
    <row r="198" spans="1:22" ht="12.75" customHeight="1">
      <c r="A198" s="4"/>
      <c r="B198" s="34"/>
      <c r="C198" s="5"/>
      <c r="D198" s="35"/>
      <c r="E198" s="34"/>
      <c r="F198" s="36"/>
      <c r="G198" s="39"/>
      <c r="H198" s="34"/>
      <c r="I198" s="36"/>
      <c r="J198" s="39"/>
      <c r="K198" s="38"/>
      <c r="L198" s="36"/>
      <c r="M198" s="39"/>
      <c r="N198" s="38"/>
      <c r="O198" s="36"/>
      <c r="P198" s="39"/>
      <c r="Q198" s="34"/>
      <c r="R198" s="36"/>
      <c r="S198" s="35"/>
      <c r="T198" s="34"/>
      <c r="U198" s="40"/>
      <c r="V198" t="s">
        <v>125</v>
      </c>
    </row>
    <row r="199" spans="1:22" ht="12.75" customHeight="1">
      <c r="A199" s="4"/>
      <c r="B199" s="34"/>
      <c r="C199" s="5"/>
      <c r="D199" s="35"/>
      <c r="E199" s="34"/>
      <c r="F199" s="36"/>
      <c r="G199" s="39"/>
      <c r="H199" s="34"/>
      <c r="I199" s="36"/>
      <c r="J199" s="39"/>
      <c r="K199" s="38"/>
      <c r="L199" s="36"/>
      <c r="M199" s="39"/>
      <c r="N199" s="38"/>
      <c r="O199" s="36"/>
      <c r="P199" s="39"/>
      <c r="Q199" s="34"/>
      <c r="R199" s="36"/>
      <c r="S199" s="35"/>
      <c r="T199" s="34"/>
      <c r="U199" s="40"/>
      <c r="V199" t="s">
        <v>35</v>
      </c>
    </row>
    <row r="200" spans="1:22" ht="12.75" customHeight="1">
      <c r="A200" s="4"/>
      <c r="B200" s="34"/>
      <c r="C200" s="5"/>
      <c r="D200" s="35"/>
      <c r="E200" s="34"/>
      <c r="F200" s="36"/>
      <c r="G200" s="39"/>
      <c r="H200" s="34"/>
      <c r="I200" s="36"/>
      <c r="J200" s="39"/>
      <c r="K200" s="38"/>
      <c r="L200" s="36"/>
      <c r="M200" s="39"/>
      <c r="N200" s="38"/>
      <c r="O200" s="36"/>
      <c r="P200" s="39"/>
      <c r="Q200" s="34"/>
      <c r="R200" s="36"/>
      <c r="S200" s="35"/>
      <c r="T200" s="34"/>
      <c r="U200" s="40"/>
      <c r="V200" t="s">
        <v>104</v>
      </c>
    </row>
    <row r="201" spans="1:22" ht="12.75" customHeight="1">
      <c r="A201" s="4"/>
      <c r="B201" s="34"/>
      <c r="C201" s="5"/>
      <c r="D201" s="35"/>
      <c r="E201" s="34"/>
      <c r="F201" s="36"/>
      <c r="G201" s="39"/>
      <c r="H201" s="34"/>
      <c r="I201" s="36"/>
      <c r="J201" s="39"/>
      <c r="K201" s="38"/>
      <c r="L201" s="36"/>
      <c r="M201" s="39"/>
      <c r="N201" s="38"/>
      <c r="O201" s="36"/>
      <c r="P201" s="39"/>
      <c r="Q201" s="34"/>
      <c r="R201" s="36"/>
      <c r="S201" s="35"/>
      <c r="T201" s="34"/>
      <c r="U201" s="40"/>
      <c r="V201" t="s">
        <v>87</v>
      </c>
    </row>
    <row r="202" spans="1:22" ht="12.75" customHeight="1">
      <c r="A202" s="4"/>
      <c r="B202" s="34"/>
      <c r="C202" s="5"/>
      <c r="D202" s="35"/>
      <c r="E202" s="34"/>
      <c r="F202" s="36"/>
      <c r="G202" s="39"/>
      <c r="H202" s="34"/>
      <c r="I202" s="36"/>
      <c r="J202" s="39"/>
      <c r="K202" s="38"/>
      <c r="L202" s="36"/>
      <c r="M202" s="39"/>
      <c r="N202" s="38"/>
      <c r="O202" s="36"/>
      <c r="P202" s="39"/>
      <c r="Q202" s="34"/>
      <c r="R202" s="36"/>
      <c r="S202" s="35"/>
      <c r="T202" s="34"/>
      <c r="U202" s="40"/>
      <c r="V202" t="s">
        <v>126</v>
      </c>
    </row>
    <row r="203" spans="1:22" ht="12.75" customHeight="1">
      <c r="A203" s="4"/>
      <c r="B203" s="34"/>
      <c r="C203" s="5"/>
      <c r="D203" s="35"/>
      <c r="E203" s="34"/>
      <c r="F203" s="36"/>
      <c r="G203" s="39"/>
      <c r="H203" s="34"/>
      <c r="I203" s="36"/>
      <c r="J203" s="39"/>
      <c r="K203" s="38"/>
      <c r="L203" s="36"/>
      <c r="M203" s="39"/>
      <c r="N203" s="38"/>
      <c r="O203" s="36"/>
      <c r="P203" s="39"/>
      <c r="Q203" s="34"/>
      <c r="R203" s="36"/>
      <c r="S203" s="35"/>
      <c r="T203" s="34"/>
      <c r="U203" s="40"/>
      <c r="V203" t="s">
        <v>127</v>
      </c>
    </row>
    <row r="204" spans="1:22" ht="12.75" customHeight="1">
      <c r="A204" s="4"/>
      <c r="B204" s="34"/>
      <c r="C204" s="5"/>
      <c r="D204" s="35"/>
      <c r="E204" s="34"/>
      <c r="F204" s="36"/>
      <c r="G204" s="39"/>
      <c r="H204" s="34"/>
      <c r="I204" s="36"/>
      <c r="J204" s="39"/>
      <c r="K204" s="38"/>
      <c r="L204" s="36"/>
      <c r="M204" s="39"/>
      <c r="N204" s="38"/>
      <c r="O204" s="36"/>
      <c r="P204" s="39"/>
      <c r="Q204" s="34"/>
      <c r="R204" s="36"/>
      <c r="S204" s="35"/>
      <c r="T204" s="34"/>
      <c r="U204" s="40"/>
      <c r="V204" t="s">
        <v>90</v>
      </c>
    </row>
    <row r="205" spans="1:22" ht="12.75" customHeight="1">
      <c r="A205" s="4"/>
      <c r="B205" s="34"/>
      <c r="C205" s="5"/>
      <c r="D205" s="35"/>
      <c r="E205" s="34"/>
      <c r="F205" s="36"/>
      <c r="G205" s="39"/>
      <c r="H205" s="34"/>
      <c r="I205" s="36"/>
      <c r="J205" s="39"/>
      <c r="K205" s="38"/>
      <c r="L205" s="36"/>
      <c r="M205" s="39"/>
      <c r="N205" s="38"/>
      <c r="O205" s="36"/>
      <c r="P205" s="39"/>
      <c r="Q205" s="34"/>
      <c r="R205" s="36"/>
      <c r="S205" s="35"/>
      <c r="T205" s="34"/>
      <c r="U205" s="40"/>
      <c r="V205" t="s">
        <v>54</v>
      </c>
    </row>
    <row r="206" spans="1:22" ht="12.75" customHeight="1">
      <c r="A206" s="4"/>
      <c r="B206" s="34"/>
      <c r="C206" s="5"/>
      <c r="D206" s="35"/>
      <c r="E206" s="34"/>
      <c r="F206" s="36"/>
      <c r="G206" s="39"/>
      <c r="H206" s="34"/>
      <c r="I206" s="36"/>
      <c r="J206" s="39"/>
      <c r="K206" s="38"/>
      <c r="L206" s="36"/>
      <c r="M206" s="39"/>
      <c r="N206" s="38"/>
      <c r="O206" s="36"/>
      <c r="P206" s="39"/>
      <c r="Q206" s="34"/>
      <c r="R206" s="36"/>
      <c r="S206" s="35"/>
      <c r="T206" s="34"/>
      <c r="U206" s="40" t="str">
        <f t="shared" ref="U206:U237" si="1">IF(OR(E206="a",H206="a",K206="a",N206="a",Q206="a",T206="a"),"a",IF(OR(E206="In Process",H206="In Process",K206="In PRocess",N206="In Process",Q206="In Process",T206="In Process"),"X",""))</f>
        <v/>
      </c>
      <c r="V206" t="s">
        <v>76</v>
      </c>
    </row>
    <row r="207" spans="1:22" ht="12.75" customHeight="1">
      <c r="A207" s="4"/>
      <c r="B207" s="34"/>
      <c r="C207" s="5"/>
      <c r="D207" s="35"/>
      <c r="E207" s="34"/>
      <c r="F207" s="36"/>
      <c r="G207" s="39"/>
      <c r="H207" s="34"/>
      <c r="I207" s="36"/>
      <c r="J207" s="39"/>
      <c r="K207" s="38"/>
      <c r="L207" s="36"/>
      <c r="M207" s="39"/>
      <c r="N207" s="38"/>
      <c r="O207" s="36"/>
      <c r="P207" s="39"/>
      <c r="Q207" s="34"/>
      <c r="R207" s="36"/>
      <c r="S207" s="35"/>
      <c r="T207" s="34"/>
      <c r="U207" s="40" t="str">
        <f t="shared" si="1"/>
        <v/>
      </c>
      <c r="V207" t="s">
        <v>128</v>
      </c>
    </row>
    <row r="208" spans="1:22" ht="12.75" customHeight="1">
      <c r="A208" s="4"/>
      <c r="B208" s="34"/>
      <c r="C208" s="5"/>
      <c r="D208" s="35"/>
      <c r="E208" s="34"/>
      <c r="F208" s="36"/>
      <c r="G208" s="39"/>
      <c r="H208" s="34"/>
      <c r="I208" s="36"/>
      <c r="J208" s="39"/>
      <c r="K208" s="38"/>
      <c r="L208" s="36"/>
      <c r="M208" s="39"/>
      <c r="N208" s="38"/>
      <c r="O208" s="36"/>
      <c r="P208" s="39"/>
      <c r="Q208" s="34"/>
      <c r="R208" s="36"/>
      <c r="S208" s="35"/>
      <c r="T208" s="34"/>
      <c r="U208" s="40" t="str">
        <f t="shared" si="1"/>
        <v/>
      </c>
      <c r="V208" t="s">
        <v>26</v>
      </c>
    </row>
    <row r="209" spans="1:22" ht="12.75" customHeight="1">
      <c r="A209" s="4"/>
      <c r="B209" s="34"/>
      <c r="C209" s="5"/>
      <c r="D209" s="35"/>
      <c r="E209" s="34"/>
      <c r="F209" s="36"/>
      <c r="G209" s="39"/>
      <c r="H209" s="34"/>
      <c r="I209" s="36"/>
      <c r="J209" s="39"/>
      <c r="K209" s="38"/>
      <c r="L209" s="36"/>
      <c r="M209" s="39"/>
      <c r="N209" s="38"/>
      <c r="O209" s="36"/>
      <c r="P209" s="39"/>
      <c r="Q209" s="34"/>
      <c r="R209" s="36"/>
      <c r="S209" s="35"/>
      <c r="T209" s="34"/>
      <c r="U209" s="40" t="str">
        <f t="shared" si="1"/>
        <v/>
      </c>
      <c r="V209" t="s">
        <v>57</v>
      </c>
    </row>
    <row r="210" spans="1:22" ht="12.75" customHeight="1">
      <c r="A210" s="4"/>
      <c r="B210" s="34"/>
      <c r="C210" s="5"/>
      <c r="D210" s="35"/>
      <c r="E210" s="34"/>
      <c r="F210" s="36"/>
      <c r="G210" s="39"/>
      <c r="H210" s="34"/>
      <c r="I210" s="36"/>
      <c r="J210" s="39"/>
      <c r="K210" s="38"/>
      <c r="L210" s="36"/>
      <c r="M210" s="39"/>
      <c r="N210" s="38"/>
      <c r="O210" s="36"/>
      <c r="P210" s="39"/>
      <c r="Q210" s="34"/>
      <c r="R210" s="36"/>
      <c r="S210" s="35"/>
      <c r="T210" s="34"/>
      <c r="U210" s="40" t="str">
        <f t="shared" si="1"/>
        <v/>
      </c>
      <c r="V210" t="s">
        <v>129</v>
      </c>
    </row>
    <row r="211" spans="1:22" ht="12.75" customHeight="1">
      <c r="A211" s="4"/>
      <c r="B211" s="34"/>
      <c r="C211" s="5"/>
      <c r="D211" s="35"/>
      <c r="E211" s="34"/>
      <c r="F211" s="36"/>
      <c r="G211" s="39"/>
      <c r="H211" s="34"/>
      <c r="I211" s="36"/>
      <c r="J211" s="39"/>
      <c r="K211" s="38"/>
      <c r="L211" s="36"/>
      <c r="M211" s="39"/>
      <c r="N211" s="38"/>
      <c r="O211" s="36"/>
      <c r="P211" s="39"/>
      <c r="Q211" s="34"/>
      <c r="R211" s="36"/>
      <c r="S211" s="35"/>
      <c r="T211" s="34"/>
      <c r="U211" s="40" t="str">
        <f t="shared" si="1"/>
        <v/>
      </c>
      <c r="V211" t="s">
        <v>69</v>
      </c>
    </row>
    <row r="212" spans="1:22" ht="12.75" customHeight="1">
      <c r="A212" s="4"/>
      <c r="B212" s="34"/>
      <c r="C212" s="5"/>
      <c r="D212" s="35"/>
      <c r="E212" s="34"/>
      <c r="F212" s="36"/>
      <c r="G212" s="39"/>
      <c r="H212" s="34"/>
      <c r="I212" s="36"/>
      <c r="J212" s="39"/>
      <c r="K212" s="38"/>
      <c r="L212" s="36"/>
      <c r="M212" s="39"/>
      <c r="N212" s="38"/>
      <c r="O212" s="36"/>
      <c r="P212" s="39"/>
      <c r="Q212" s="34"/>
      <c r="R212" s="36"/>
      <c r="S212" s="35"/>
      <c r="T212" s="34"/>
      <c r="U212" s="40" t="str">
        <f t="shared" si="1"/>
        <v/>
      </c>
      <c r="V212" t="s">
        <v>40</v>
      </c>
    </row>
    <row r="213" spans="1:22" ht="12.75" customHeight="1">
      <c r="A213" s="4"/>
      <c r="B213" s="34"/>
      <c r="C213" s="5"/>
      <c r="D213" s="35"/>
      <c r="E213" s="34"/>
      <c r="F213" s="36"/>
      <c r="G213" s="39"/>
      <c r="H213" s="34"/>
      <c r="I213" s="36"/>
      <c r="J213" s="39"/>
      <c r="K213" s="38"/>
      <c r="L213" s="36"/>
      <c r="M213" s="39"/>
      <c r="N213" s="38"/>
      <c r="O213" s="36"/>
      <c r="P213" s="39"/>
      <c r="Q213" s="34"/>
      <c r="R213" s="36"/>
      <c r="S213" s="35"/>
      <c r="T213" s="34"/>
      <c r="U213" s="40" t="str">
        <f t="shared" si="1"/>
        <v/>
      </c>
      <c r="V213" t="s">
        <v>68</v>
      </c>
    </row>
    <row r="214" spans="1:22" ht="12.75" customHeight="1">
      <c r="A214" s="4"/>
      <c r="B214" s="34"/>
      <c r="C214" s="5"/>
      <c r="D214" s="35"/>
      <c r="E214" s="34"/>
      <c r="F214" s="36"/>
      <c r="G214" s="39"/>
      <c r="H214" s="34"/>
      <c r="I214" s="36"/>
      <c r="J214" s="39"/>
      <c r="K214" s="38"/>
      <c r="L214" s="36"/>
      <c r="M214" s="39"/>
      <c r="N214" s="38"/>
      <c r="O214" s="36"/>
      <c r="P214" s="39"/>
      <c r="Q214" s="34"/>
      <c r="R214" s="36"/>
      <c r="S214" s="35"/>
      <c r="T214" s="34"/>
      <c r="U214" s="40" t="str">
        <f t="shared" si="1"/>
        <v/>
      </c>
      <c r="V214" t="s">
        <v>33</v>
      </c>
    </row>
    <row r="215" spans="1:22" ht="12.75" customHeight="1">
      <c r="A215" s="4"/>
      <c r="B215" s="34"/>
      <c r="C215" s="5"/>
      <c r="D215" s="35"/>
      <c r="E215" s="34"/>
      <c r="F215" s="36"/>
      <c r="G215" s="39"/>
      <c r="H215" s="34"/>
      <c r="I215" s="36"/>
      <c r="J215" s="39"/>
      <c r="K215" s="38"/>
      <c r="L215" s="36"/>
      <c r="M215" s="39"/>
      <c r="N215" s="38"/>
      <c r="O215" s="36"/>
      <c r="P215" s="39"/>
      <c r="Q215" s="34"/>
      <c r="R215" s="36"/>
      <c r="S215" s="35"/>
      <c r="T215" s="34"/>
      <c r="U215" s="40" t="str">
        <f t="shared" si="1"/>
        <v/>
      </c>
      <c r="V215" t="s">
        <v>29</v>
      </c>
    </row>
    <row r="216" spans="1:22" ht="12.75" customHeight="1">
      <c r="A216" s="4"/>
      <c r="B216" s="34"/>
      <c r="C216" s="5"/>
      <c r="D216" s="35"/>
      <c r="E216" s="34"/>
      <c r="F216" s="36"/>
      <c r="G216" s="39"/>
      <c r="H216" s="34"/>
      <c r="I216" s="36"/>
      <c r="J216" s="39"/>
      <c r="K216" s="38"/>
      <c r="L216" s="36"/>
      <c r="M216" s="39"/>
      <c r="N216" s="38"/>
      <c r="O216" s="36"/>
      <c r="P216" s="39"/>
      <c r="Q216" s="34"/>
      <c r="R216" s="36"/>
      <c r="S216" s="35"/>
      <c r="T216" s="34"/>
      <c r="U216" s="40" t="str">
        <f t="shared" si="1"/>
        <v/>
      </c>
      <c r="V216" t="s">
        <v>34</v>
      </c>
    </row>
    <row r="217" spans="1:22" ht="12.75" customHeight="1">
      <c r="A217" s="4"/>
      <c r="B217" s="34"/>
      <c r="C217" s="5"/>
      <c r="D217" s="35"/>
      <c r="E217" s="34"/>
      <c r="F217" s="36"/>
      <c r="G217" s="39"/>
      <c r="H217" s="34"/>
      <c r="I217" s="36"/>
      <c r="J217" s="39"/>
      <c r="K217" s="38"/>
      <c r="L217" s="36"/>
      <c r="M217" s="39"/>
      <c r="N217" s="38"/>
      <c r="O217" s="36"/>
      <c r="P217" s="39"/>
      <c r="Q217" s="34"/>
      <c r="R217" s="36"/>
      <c r="S217" s="35"/>
      <c r="T217" s="34"/>
      <c r="U217" s="40" t="str">
        <f t="shared" si="1"/>
        <v/>
      </c>
      <c r="V217" t="s">
        <v>130</v>
      </c>
    </row>
    <row r="218" spans="1:22" ht="12.75" customHeight="1">
      <c r="A218" s="4"/>
      <c r="B218" s="34"/>
      <c r="C218" s="5"/>
      <c r="D218" s="35"/>
      <c r="E218" s="34"/>
      <c r="F218" s="36"/>
      <c r="G218" s="39"/>
      <c r="H218" s="34"/>
      <c r="I218" s="36"/>
      <c r="J218" s="39"/>
      <c r="K218" s="38"/>
      <c r="L218" s="36"/>
      <c r="M218" s="39"/>
      <c r="N218" s="38"/>
      <c r="O218" s="36"/>
      <c r="P218" s="39"/>
      <c r="Q218" s="34"/>
      <c r="R218" s="36"/>
      <c r="S218" s="35"/>
      <c r="T218" s="34"/>
      <c r="U218" s="40" t="str">
        <f t="shared" si="1"/>
        <v/>
      </c>
      <c r="V218" t="s">
        <v>71</v>
      </c>
    </row>
    <row r="219" spans="1:22" ht="12.75" customHeight="1">
      <c r="A219" s="4"/>
      <c r="B219" s="34"/>
      <c r="C219" s="5"/>
      <c r="D219" s="35"/>
      <c r="E219" s="34"/>
      <c r="F219" s="36"/>
      <c r="G219" s="39"/>
      <c r="H219" s="34"/>
      <c r="I219" s="36"/>
      <c r="J219" s="39"/>
      <c r="K219" s="38"/>
      <c r="L219" s="36"/>
      <c r="M219" s="39"/>
      <c r="N219" s="38"/>
      <c r="O219" s="36"/>
      <c r="P219" s="39"/>
      <c r="Q219" s="34"/>
      <c r="R219" s="36"/>
      <c r="S219" s="35"/>
      <c r="T219" s="34"/>
      <c r="U219" s="40" t="str">
        <f t="shared" si="1"/>
        <v/>
      </c>
      <c r="V219" t="s">
        <v>131</v>
      </c>
    </row>
    <row r="220" spans="1:22" ht="12.75" customHeight="1">
      <c r="A220" s="4"/>
      <c r="B220" s="34"/>
      <c r="C220" s="5"/>
      <c r="D220" s="35"/>
      <c r="E220" s="34"/>
      <c r="F220" s="36"/>
      <c r="G220" s="39"/>
      <c r="H220" s="34"/>
      <c r="I220" s="36"/>
      <c r="J220" s="39"/>
      <c r="K220" s="38"/>
      <c r="L220" s="36"/>
      <c r="M220" s="39"/>
      <c r="N220" s="38"/>
      <c r="O220" s="36"/>
      <c r="P220" s="39"/>
      <c r="Q220" s="34"/>
      <c r="R220" s="36"/>
      <c r="S220" s="35"/>
      <c r="T220" s="34"/>
      <c r="U220" s="40" t="str">
        <f t="shared" si="1"/>
        <v/>
      </c>
    </row>
    <row r="221" spans="1:22" ht="12.75" customHeight="1">
      <c r="A221" s="4"/>
      <c r="B221" s="34"/>
      <c r="C221" s="5"/>
      <c r="D221" s="35"/>
      <c r="E221" s="34"/>
      <c r="F221" s="36"/>
      <c r="G221" s="39"/>
      <c r="H221" s="34"/>
      <c r="I221" s="36"/>
      <c r="J221" s="39"/>
      <c r="K221" s="38"/>
      <c r="L221" s="36"/>
      <c r="M221" s="39"/>
      <c r="N221" s="38"/>
      <c r="O221" s="36"/>
      <c r="P221" s="39"/>
      <c r="Q221" s="34"/>
      <c r="R221" s="36"/>
      <c r="S221" s="35"/>
      <c r="T221" s="34"/>
      <c r="U221" s="40" t="str">
        <f t="shared" si="1"/>
        <v/>
      </c>
    </row>
    <row r="222" spans="1:22" ht="12.75" customHeight="1">
      <c r="A222" s="4"/>
      <c r="B222" s="34"/>
      <c r="C222" s="5"/>
      <c r="D222" s="35"/>
      <c r="E222" s="34"/>
      <c r="F222" s="36"/>
      <c r="G222" s="39"/>
      <c r="H222" s="34"/>
      <c r="I222" s="36"/>
      <c r="J222" s="39"/>
      <c r="K222" s="38"/>
      <c r="L222" s="36"/>
      <c r="M222" s="39"/>
      <c r="N222" s="38"/>
      <c r="O222" s="36"/>
      <c r="P222" s="39"/>
      <c r="Q222" s="34"/>
      <c r="R222" s="36"/>
      <c r="S222" s="35"/>
      <c r="T222" s="34"/>
      <c r="U222" s="40" t="str">
        <f t="shared" si="1"/>
        <v/>
      </c>
    </row>
    <row r="223" spans="1:22" ht="12.75" customHeight="1">
      <c r="A223" s="4"/>
      <c r="B223" s="34"/>
      <c r="C223" s="5"/>
      <c r="D223" s="35"/>
      <c r="E223" s="34"/>
      <c r="F223" s="36"/>
      <c r="G223" s="39"/>
      <c r="H223" s="34"/>
      <c r="I223" s="36"/>
      <c r="J223" s="39"/>
      <c r="K223" s="38"/>
      <c r="L223" s="36"/>
      <c r="M223" s="39"/>
      <c r="N223" s="38"/>
      <c r="O223" s="36"/>
      <c r="P223" s="39"/>
      <c r="Q223" s="34"/>
      <c r="R223" s="36"/>
      <c r="S223" s="35"/>
      <c r="T223" s="34"/>
      <c r="U223" s="40" t="str">
        <f t="shared" si="1"/>
        <v/>
      </c>
    </row>
    <row r="224" spans="1:22" ht="12.75" customHeight="1">
      <c r="A224" s="4"/>
      <c r="B224" s="34"/>
      <c r="C224" s="5"/>
      <c r="D224" s="35"/>
      <c r="E224" s="34"/>
      <c r="F224" s="36"/>
      <c r="G224" s="39"/>
      <c r="H224" s="34"/>
      <c r="I224" s="36"/>
      <c r="J224" s="39"/>
      <c r="K224" s="38"/>
      <c r="L224" s="36"/>
      <c r="M224" s="39"/>
      <c r="N224" s="38"/>
      <c r="O224" s="36"/>
      <c r="P224" s="39"/>
      <c r="Q224" s="34"/>
      <c r="R224" s="36"/>
      <c r="S224" s="35"/>
      <c r="T224" s="34"/>
      <c r="U224" s="40" t="str">
        <f t="shared" si="1"/>
        <v/>
      </c>
    </row>
    <row r="225" spans="1:21" ht="12.75" customHeight="1">
      <c r="A225" s="4"/>
      <c r="B225" s="34"/>
      <c r="C225" s="5"/>
      <c r="D225" s="35"/>
      <c r="E225" s="34"/>
      <c r="F225" s="36"/>
      <c r="G225" s="39"/>
      <c r="H225" s="34"/>
      <c r="I225" s="36"/>
      <c r="J225" s="39"/>
      <c r="K225" s="38"/>
      <c r="L225" s="36"/>
      <c r="M225" s="39"/>
      <c r="N225" s="38"/>
      <c r="O225" s="36"/>
      <c r="P225" s="39"/>
      <c r="Q225" s="34"/>
      <c r="R225" s="36"/>
      <c r="S225" s="35"/>
      <c r="T225" s="34"/>
      <c r="U225" s="40" t="str">
        <f t="shared" si="1"/>
        <v/>
      </c>
    </row>
    <row r="226" spans="1:21" ht="12.75" customHeight="1">
      <c r="A226" s="4"/>
      <c r="B226" s="34"/>
      <c r="C226" s="5"/>
      <c r="D226" s="35"/>
      <c r="E226" s="34"/>
      <c r="F226" s="36"/>
      <c r="G226" s="39"/>
      <c r="H226" s="34"/>
      <c r="I226" s="36"/>
      <c r="J226" s="39"/>
      <c r="K226" s="38"/>
      <c r="L226" s="36"/>
      <c r="M226" s="39"/>
      <c r="N226" s="38"/>
      <c r="O226" s="36"/>
      <c r="P226" s="39"/>
      <c r="Q226" s="34"/>
      <c r="R226" s="36"/>
      <c r="S226" s="35"/>
      <c r="T226" s="34"/>
      <c r="U226" s="40" t="str">
        <f t="shared" si="1"/>
        <v/>
      </c>
    </row>
    <row r="227" spans="1:21" ht="12.75" customHeight="1">
      <c r="A227" s="4"/>
      <c r="B227" s="34"/>
      <c r="C227" s="5"/>
      <c r="D227" s="35"/>
      <c r="E227" s="34"/>
      <c r="F227" s="36"/>
      <c r="G227" s="39"/>
      <c r="H227" s="34"/>
      <c r="I227" s="36"/>
      <c r="J227" s="39"/>
      <c r="K227" s="38"/>
      <c r="L227" s="36"/>
      <c r="M227" s="39"/>
      <c r="N227" s="38"/>
      <c r="O227" s="36"/>
      <c r="P227" s="39"/>
      <c r="Q227" s="34"/>
      <c r="R227" s="36"/>
      <c r="S227" s="35"/>
      <c r="T227" s="34"/>
      <c r="U227" s="40" t="str">
        <f t="shared" si="1"/>
        <v/>
      </c>
    </row>
    <row r="228" spans="1:21" ht="12.75" customHeight="1">
      <c r="A228" s="4"/>
      <c r="B228" s="34"/>
      <c r="C228" s="5"/>
      <c r="D228" s="35"/>
      <c r="E228" s="34"/>
      <c r="F228" s="36"/>
      <c r="G228" s="39"/>
      <c r="H228" s="34"/>
      <c r="I228" s="36"/>
      <c r="J228" s="39"/>
      <c r="K228" s="38"/>
      <c r="L228" s="36"/>
      <c r="M228" s="39"/>
      <c r="N228" s="38"/>
      <c r="O228" s="36"/>
      <c r="P228" s="39"/>
      <c r="Q228" s="34"/>
      <c r="R228" s="36"/>
      <c r="S228" s="35"/>
      <c r="T228" s="34"/>
      <c r="U228" s="40" t="str">
        <f t="shared" si="1"/>
        <v/>
      </c>
    </row>
    <row r="229" spans="1:21" ht="12.75" customHeight="1">
      <c r="A229" s="4"/>
      <c r="B229" s="34"/>
      <c r="C229" s="5"/>
      <c r="D229" s="35"/>
      <c r="E229" s="34"/>
      <c r="F229" s="36"/>
      <c r="G229" s="39"/>
      <c r="H229" s="34"/>
      <c r="I229" s="36"/>
      <c r="J229" s="39"/>
      <c r="K229" s="38"/>
      <c r="L229" s="36"/>
      <c r="M229" s="39"/>
      <c r="N229" s="38"/>
      <c r="O229" s="36"/>
      <c r="P229" s="39"/>
      <c r="Q229" s="34"/>
      <c r="R229" s="36"/>
      <c r="S229" s="35"/>
      <c r="T229" s="34"/>
      <c r="U229" s="40" t="str">
        <f t="shared" si="1"/>
        <v/>
      </c>
    </row>
    <row r="230" spans="1:21" ht="12.75" customHeight="1">
      <c r="A230" s="4"/>
      <c r="B230" s="34"/>
      <c r="C230" s="5"/>
      <c r="D230" s="35"/>
      <c r="E230" s="34"/>
      <c r="F230" s="36"/>
      <c r="G230" s="39"/>
      <c r="H230" s="34"/>
      <c r="I230" s="36"/>
      <c r="J230" s="39"/>
      <c r="K230" s="38"/>
      <c r="L230" s="36"/>
      <c r="M230" s="39"/>
      <c r="N230" s="38"/>
      <c r="O230" s="36"/>
      <c r="P230" s="39"/>
      <c r="Q230" s="34"/>
      <c r="R230" s="36"/>
      <c r="S230" s="35"/>
      <c r="T230" s="34"/>
      <c r="U230" s="40" t="str">
        <f t="shared" si="1"/>
        <v/>
      </c>
    </row>
    <row r="231" spans="1:21" ht="12.75" customHeight="1">
      <c r="A231" s="4"/>
      <c r="B231" s="34"/>
      <c r="C231" s="5"/>
      <c r="D231" s="35"/>
      <c r="E231" s="34"/>
      <c r="F231" s="36"/>
      <c r="G231" s="39"/>
      <c r="H231" s="34"/>
      <c r="I231" s="36"/>
      <c r="J231" s="39"/>
      <c r="K231" s="38"/>
      <c r="L231" s="36"/>
      <c r="M231" s="39"/>
      <c r="N231" s="38"/>
      <c r="O231" s="36"/>
      <c r="P231" s="39"/>
      <c r="Q231" s="34"/>
      <c r="R231" s="36"/>
      <c r="S231" s="35"/>
      <c r="T231" s="34"/>
      <c r="U231" s="40" t="str">
        <f t="shared" si="1"/>
        <v/>
      </c>
    </row>
    <row r="232" spans="1:21" ht="12.75" customHeight="1">
      <c r="A232" s="4"/>
      <c r="B232" s="34"/>
      <c r="C232" s="5"/>
      <c r="D232" s="35"/>
      <c r="E232" s="34"/>
      <c r="F232" s="36"/>
      <c r="G232" s="39"/>
      <c r="H232" s="34"/>
      <c r="I232" s="36"/>
      <c r="J232" s="39"/>
      <c r="K232" s="38"/>
      <c r="L232" s="36"/>
      <c r="M232" s="39"/>
      <c r="N232" s="38"/>
      <c r="O232" s="36"/>
      <c r="P232" s="39"/>
      <c r="Q232" s="34"/>
      <c r="R232" s="36"/>
      <c r="S232" s="35"/>
      <c r="T232" s="34"/>
      <c r="U232" s="40" t="str">
        <f t="shared" si="1"/>
        <v/>
      </c>
    </row>
    <row r="233" spans="1:21" ht="12.75" customHeight="1">
      <c r="A233" s="4"/>
      <c r="B233" s="34"/>
      <c r="C233" s="5"/>
      <c r="D233" s="35"/>
      <c r="E233" s="34"/>
      <c r="F233" s="36"/>
      <c r="G233" s="39"/>
      <c r="H233" s="34"/>
      <c r="I233" s="36"/>
      <c r="J233" s="39"/>
      <c r="K233" s="38"/>
      <c r="L233" s="36"/>
      <c r="M233" s="39"/>
      <c r="N233" s="38"/>
      <c r="O233" s="36"/>
      <c r="P233" s="39"/>
      <c r="Q233" s="34"/>
      <c r="R233" s="36"/>
      <c r="S233" s="35"/>
      <c r="T233" s="34"/>
      <c r="U233" s="40" t="str">
        <f t="shared" si="1"/>
        <v/>
      </c>
    </row>
    <row r="234" spans="1:21" ht="12.75" customHeight="1">
      <c r="A234" s="4"/>
      <c r="B234" s="34"/>
      <c r="C234" s="5"/>
      <c r="D234" s="35"/>
      <c r="E234" s="34"/>
      <c r="F234" s="36"/>
      <c r="G234" s="39"/>
      <c r="H234" s="34"/>
      <c r="I234" s="36"/>
      <c r="J234" s="39"/>
      <c r="K234" s="38"/>
      <c r="L234" s="36"/>
      <c r="M234" s="39"/>
      <c r="N234" s="38"/>
      <c r="O234" s="36"/>
      <c r="P234" s="39"/>
      <c r="Q234" s="34"/>
      <c r="R234" s="36"/>
      <c r="S234" s="35"/>
      <c r="T234" s="34"/>
      <c r="U234" s="40" t="str">
        <f t="shared" si="1"/>
        <v/>
      </c>
    </row>
    <row r="235" spans="1:21" ht="12.75" customHeight="1">
      <c r="A235" s="4"/>
      <c r="B235" s="34"/>
      <c r="C235" s="5"/>
      <c r="D235" s="35"/>
      <c r="E235" s="34"/>
      <c r="F235" s="36"/>
      <c r="G235" s="39"/>
      <c r="H235" s="34"/>
      <c r="I235" s="36"/>
      <c r="J235" s="39"/>
      <c r="K235" s="38"/>
      <c r="L235" s="36"/>
      <c r="M235" s="39"/>
      <c r="N235" s="38"/>
      <c r="O235" s="36"/>
      <c r="P235" s="39"/>
      <c r="Q235" s="34"/>
      <c r="R235" s="36"/>
      <c r="S235" s="35"/>
      <c r="T235" s="34"/>
      <c r="U235" s="40" t="str">
        <f t="shared" si="1"/>
        <v/>
      </c>
    </row>
    <row r="236" spans="1:21" ht="12.75" customHeight="1">
      <c r="A236" s="4"/>
      <c r="B236" s="34"/>
      <c r="C236" s="5"/>
      <c r="D236" s="35"/>
      <c r="E236" s="34"/>
      <c r="F236" s="36"/>
      <c r="G236" s="39"/>
      <c r="H236" s="34"/>
      <c r="I236" s="36"/>
      <c r="J236" s="39"/>
      <c r="K236" s="38"/>
      <c r="L236" s="36"/>
      <c r="M236" s="39"/>
      <c r="N236" s="38"/>
      <c r="O236" s="36"/>
      <c r="P236" s="39"/>
      <c r="Q236" s="34"/>
      <c r="R236" s="36"/>
      <c r="S236" s="35"/>
      <c r="T236" s="34"/>
      <c r="U236" s="40" t="str">
        <f t="shared" si="1"/>
        <v/>
      </c>
    </row>
    <row r="237" spans="1:21" ht="12.75" customHeight="1">
      <c r="A237" s="4"/>
      <c r="B237" s="34"/>
      <c r="C237" s="5"/>
      <c r="D237" s="35"/>
      <c r="E237" s="34"/>
      <c r="F237" s="36"/>
      <c r="G237" s="39"/>
      <c r="H237" s="34"/>
      <c r="I237" s="36"/>
      <c r="J237" s="39"/>
      <c r="K237" s="38"/>
      <c r="L237" s="36"/>
      <c r="M237" s="39"/>
      <c r="N237" s="38"/>
      <c r="O237" s="36"/>
      <c r="P237" s="39"/>
      <c r="Q237" s="34"/>
      <c r="R237" s="36"/>
      <c r="S237" s="35"/>
      <c r="T237" s="34"/>
      <c r="U237" s="40" t="str">
        <f t="shared" si="1"/>
        <v/>
      </c>
    </row>
    <row r="238" spans="1:21" ht="12.75" customHeight="1">
      <c r="A238" s="4"/>
      <c r="B238" s="34"/>
      <c r="C238" s="5"/>
      <c r="D238" s="35"/>
      <c r="E238" s="34"/>
      <c r="F238" s="36"/>
      <c r="G238" s="39"/>
      <c r="H238" s="34"/>
      <c r="I238" s="36"/>
      <c r="J238" s="39"/>
      <c r="K238" s="38"/>
      <c r="L238" s="36"/>
      <c r="M238" s="39"/>
      <c r="N238" s="38"/>
      <c r="O238" s="36"/>
      <c r="P238" s="39"/>
      <c r="Q238" s="34"/>
      <c r="R238" s="36"/>
      <c r="S238" s="35"/>
      <c r="T238" s="34"/>
      <c r="U238" s="40" t="str">
        <f t="shared" ref="U238:U269" si="2">IF(OR(E238="a",H238="a",K238="a",N238="a",Q238="a",T238="a"),"a",IF(OR(E238="In Process",H238="In Process",K238="In PRocess",N238="In Process",Q238="In Process",T238="In Process"),"X",""))</f>
        <v/>
      </c>
    </row>
    <row r="239" spans="1:21" ht="12.75" customHeight="1">
      <c r="A239" s="4"/>
      <c r="B239" s="34"/>
      <c r="C239" s="5"/>
      <c r="D239" s="35"/>
      <c r="E239" s="34"/>
      <c r="F239" s="36"/>
      <c r="G239" s="39"/>
      <c r="H239" s="34"/>
      <c r="I239" s="36"/>
      <c r="J239" s="39"/>
      <c r="K239" s="38"/>
      <c r="L239" s="36"/>
      <c r="M239" s="39"/>
      <c r="N239" s="38"/>
      <c r="O239" s="36"/>
      <c r="P239" s="39"/>
      <c r="Q239" s="34"/>
      <c r="R239" s="36"/>
      <c r="S239" s="35"/>
      <c r="T239" s="34"/>
      <c r="U239" s="40" t="str">
        <f t="shared" si="2"/>
        <v/>
      </c>
    </row>
    <row r="240" spans="1:21" ht="12.75" customHeight="1">
      <c r="A240" s="4"/>
      <c r="B240" s="34"/>
      <c r="C240" s="5"/>
      <c r="D240" s="35"/>
      <c r="E240" s="34"/>
      <c r="F240" s="36"/>
      <c r="G240" s="39"/>
      <c r="H240" s="34"/>
      <c r="I240" s="36"/>
      <c r="J240" s="39"/>
      <c r="K240" s="38"/>
      <c r="L240" s="36"/>
      <c r="M240" s="39"/>
      <c r="N240" s="38"/>
      <c r="O240" s="36"/>
      <c r="P240" s="39"/>
      <c r="Q240" s="34"/>
      <c r="R240" s="36"/>
      <c r="S240" s="35"/>
      <c r="T240" s="34"/>
      <c r="U240" s="40" t="str">
        <f t="shared" si="2"/>
        <v/>
      </c>
    </row>
    <row r="241" spans="1:21" ht="12.75" customHeight="1">
      <c r="A241" s="4"/>
      <c r="B241" s="34"/>
      <c r="C241" s="5"/>
      <c r="D241" s="35"/>
      <c r="E241" s="34"/>
      <c r="F241" s="36"/>
      <c r="G241" s="39"/>
      <c r="H241" s="34"/>
      <c r="I241" s="36"/>
      <c r="J241" s="39"/>
      <c r="K241" s="38"/>
      <c r="L241" s="36"/>
      <c r="M241" s="39"/>
      <c r="N241" s="38"/>
      <c r="O241" s="36"/>
      <c r="P241" s="39"/>
      <c r="Q241" s="34"/>
      <c r="R241" s="36"/>
      <c r="S241" s="35"/>
      <c r="T241" s="34"/>
      <c r="U241" s="40" t="str">
        <f t="shared" si="2"/>
        <v/>
      </c>
    </row>
    <row r="242" spans="1:21" ht="12.75" customHeight="1">
      <c r="A242" s="4"/>
      <c r="B242" s="34"/>
      <c r="C242" s="5"/>
      <c r="D242" s="35"/>
      <c r="E242" s="34"/>
      <c r="F242" s="36"/>
      <c r="G242" s="39"/>
      <c r="H242" s="34"/>
      <c r="I242" s="36"/>
      <c r="J242" s="39"/>
      <c r="K242" s="38"/>
      <c r="L242" s="36"/>
      <c r="M242" s="39"/>
      <c r="N242" s="38"/>
      <c r="O242" s="36"/>
      <c r="P242" s="39"/>
      <c r="Q242" s="34"/>
      <c r="R242" s="36"/>
      <c r="S242" s="35"/>
      <c r="T242" s="34"/>
      <c r="U242" s="40" t="str">
        <f t="shared" si="2"/>
        <v/>
      </c>
    </row>
    <row r="243" spans="1:21" ht="12.75" customHeight="1">
      <c r="A243" s="4"/>
      <c r="B243" s="34"/>
      <c r="C243" s="5"/>
      <c r="D243" s="35"/>
      <c r="E243" s="34"/>
      <c r="F243" s="36"/>
      <c r="G243" s="39"/>
      <c r="H243" s="34"/>
      <c r="I243" s="36"/>
      <c r="J243" s="39"/>
      <c r="K243" s="38"/>
      <c r="L243" s="36"/>
      <c r="M243" s="39"/>
      <c r="N243" s="38"/>
      <c r="O243" s="36"/>
      <c r="P243" s="39"/>
      <c r="Q243" s="34"/>
      <c r="R243" s="36"/>
      <c r="S243" s="35"/>
      <c r="T243" s="34"/>
      <c r="U243" s="40" t="str">
        <f t="shared" si="2"/>
        <v/>
      </c>
    </row>
    <row r="244" spans="1:21" ht="12.75" customHeight="1">
      <c r="A244" s="4"/>
      <c r="B244" s="34"/>
      <c r="C244" s="5"/>
      <c r="D244" s="35"/>
      <c r="E244" s="34"/>
      <c r="F244" s="36"/>
      <c r="G244" s="39"/>
      <c r="H244" s="34"/>
      <c r="I244" s="36"/>
      <c r="J244" s="39"/>
      <c r="K244" s="38"/>
      <c r="L244" s="36"/>
      <c r="M244" s="39"/>
      <c r="N244" s="38"/>
      <c r="O244" s="36"/>
      <c r="P244" s="39"/>
      <c r="Q244" s="34"/>
      <c r="R244" s="36"/>
      <c r="S244" s="35"/>
      <c r="T244" s="34"/>
      <c r="U244" s="40" t="str">
        <f t="shared" si="2"/>
        <v/>
      </c>
    </row>
    <row r="245" spans="1:21" ht="12.75" customHeight="1">
      <c r="A245" s="4"/>
      <c r="B245" s="34"/>
      <c r="C245" s="5"/>
      <c r="D245" s="35"/>
      <c r="E245" s="34"/>
      <c r="F245" s="36"/>
      <c r="G245" s="39"/>
      <c r="H245" s="34"/>
      <c r="I245" s="36"/>
      <c r="J245" s="39"/>
      <c r="K245" s="38"/>
      <c r="L245" s="36"/>
      <c r="M245" s="39"/>
      <c r="N245" s="38"/>
      <c r="O245" s="36"/>
      <c r="P245" s="39"/>
      <c r="Q245" s="34"/>
      <c r="R245" s="36"/>
      <c r="S245" s="35"/>
      <c r="T245" s="34"/>
      <c r="U245" s="40" t="str">
        <f t="shared" si="2"/>
        <v/>
      </c>
    </row>
    <row r="246" spans="1:21" ht="12.75" customHeight="1">
      <c r="A246" s="4"/>
      <c r="B246" s="34"/>
      <c r="C246" s="5"/>
      <c r="D246" s="35"/>
      <c r="E246" s="34"/>
      <c r="F246" s="36"/>
      <c r="G246" s="39"/>
      <c r="H246" s="34"/>
      <c r="I246" s="36"/>
      <c r="J246" s="39"/>
      <c r="K246" s="38"/>
      <c r="L246" s="36"/>
      <c r="M246" s="39"/>
      <c r="N246" s="38"/>
      <c r="O246" s="36"/>
      <c r="P246" s="39"/>
      <c r="Q246" s="34"/>
      <c r="R246" s="36"/>
      <c r="S246" s="35"/>
      <c r="T246" s="34"/>
      <c r="U246" s="40" t="str">
        <f t="shared" si="2"/>
        <v/>
      </c>
    </row>
    <row r="247" spans="1:21" ht="12.75" customHeight="1">
      <c r="A247" s="4"/>
      <c r="B247" s="34"/>
      <c r="C247" s="5"/>
      <c r="D247" s="35"/>
      <c r="E247" s="34"/>
      <c r="F247" s="36"/>
      <c r="G247" s="39"/>
      <c r="H247" s="34"/>
      <c r="I247" s="36"/>
      <c r="J247" s="39"/>
      <c r="K247" s="38"/>
      <c r="L247" s="36"/>
      <c r="M247" s="39"/>
      <c r="N247" s="38"/>
      <c r="O247" s="36"/>
      <c r="P247" s="39"/>
      <c r="Q247" s="34"/>
      <c r="R247" s="36"/>
      <c r="S247" s="35"/>
      <c r="T247" s="34"/>
      <c r="U247" s="40" t="str">
        <f t="shared" si="2"/>
        <v/>
      </c>
    </row>
    <row r="248" spans="1:21" ht="12.75" customHeight="1">
      <c r="A248" s="4"/>
      <c r="B248" s="34"/>
      <c r="C248" s="5"/>
      <c r="D248" s="35"/>
      <c r="E248" s="34"/>
      <c r="F248" s="36"/>
      <c r="G248" s="39"/>
      <c r="H248" s="34"/>
      <c r="I248" s="36"/>
      <c r="J248" s="39"/>
      <c r="K248" s="38"/>
      <c r="L248" s="36"/>
      <c r="M248" s="39"/>
      <c r="N248" s="38"/>
      <c r="O248" s="36"/>
      <c r="P248" s="39"/>
      <c r="Q248" s="34"/>
      <c r="R248" s="36"/>
      <c r="S248" s="35"/>
      <c r="T248" s="34"/>
      <c r="U248" s="40" t="str">
        <f t="shared" si="2"/>
        <v/>
      </c>
    </row>
    <row r="249" spans="1:21" ht="12.75" customHeight="1">
      <c r="A249" s="4"/>
      <c r="B249" s="34"/>
      <c r="C249" s="5"/>
      <c r="D249" s="35"/>
      <c r="E249" s="34"/>
      <c r="F249" s="36"/>
      <c r="G249" s="39"/>
      <c r="H249" s="34"/>
      <c r="I249" s="36"/>
      <c r="J249" s="39"/>
      <c r="K249" s="38"/>
      <c r="L249" s="36"/>
      <c r="M249" s="39"/>
      <c r="N249" s="38"/>
      <c r="O249" s="36"/>
      <c r="P249" s="39"/>
      <c r="Q249" s="34"/>
      <c r="R249" s="36"/>
      <c r="S249" s="35"/>
      <c r="T249" s="34"/>
      <c r="U249" s="40" t="str">
        <f t="shared" si="2"/>
        <v/>
      </c>
    </row>
    <row r="250" spans="1:21" ht="12.75" customHeight="1">
      <c r="A250" s="4"/>
      <c r="B250" s="34"/>
      <c r="C250" s="5"/>
      <c r="D250" s="35"/>
      <c r="E250" s="34"/>
      <c r="F250" s="36"/>
      <c r="G250" s="39"/>
      <c r="H250" s="34"/>
      <c r="I250" s="36"/>
      <c r="J250" s="39"/>
      <c r="K250" s="38"/>
      <c r="L250" s="36"/>
      <c r="M250" s="39"/>
      <c r="N250" s="38"/>
      <c r="O250" s="36"/>
      <c r="P250" s="39"/>
      <c r="Q250" s="34"/>
      <c r="R250" s="36"/>
      <c r="S250" s="35"/>
      <c r="T250" s="34"/>
      <c r="U250" s="40" t="str">
        <f t="shared" si="2"/>
        <v/>
      </c>
    </row>
    <row r="251" spans="1:21" ht="12.75" customHeight="1">
      <c r="A251" s="4"/>
      <c r="B251" s="34"/>
      <c r="C251" s="5"/>
      <c r="D251" s="35"/>
      <c r="E251" s="34"/>
      <c r="F251" s="36"/>
      <c r="G251" s="39"/>
      <c r="H251" s="34"/>
      <c r="I251" s="36"/>
      <c r="J251" s="39"/>
      <c r="K251" s="38"/>
      <c r="L251" s="36"/>
      <c r="M251" s="39"/>
      <c r="N251" s="38"/>
      <c r="O251" s="36"/>
      <c r="P251" s="39"/>
      <c r="Q251" s="34"/>
      <c r="R251" s="36"/>
      <c r="S251" s="35"/>
      <c r="T251" s="34"/>
      <c r="U251" s="40" t="str">
        <f t="shared" si="2"/>
        <v/>
      </c>
    </row>
    <row r="252" spans="1:21" ht="12.75" customHeight="1">
      <c r="A252" s="4"/>
      <c r="B252" s="34"/>
      <c r="C252" s="5"/>
      <c r="D252" s="35"/>
      <c r="E252" s="34"/>
      <c r="F252" s="36"/>
      <c r="G252" s="39"/>
      <c r="H252" s="34"/>
      <c r="I252" s="36"/>
      <c r="J252" s="39"/>
      <c r="K252" s="38"/>
      <c r="L252" s="36"/>
      <c r="M252" s="39"/>
      <c r="N252" s="38"/>
      <c r="O252" s="36"/>
      <c r="P252" s="39"/>
      <c r="Q252" s="34"/>
      <c r="R252" s="36"/>
      <c r="S252" s="35"/>
      <c r="T252" s="34"/>
      <c r="U252" s="40" t="str">
        <f t="shared" si="2"/>
        <v/>
      </c>
    </row>
    <row r="253" spans="1:21" ht="12.75" customHeight="1">
      <c r="A253" s="4"/>
      <c r="B253" s="34"/>
      <c r="C253" s="5"/>
      <c r="D253" s="35"/>
      <c r="E253" s="34"/>
      <c r="F253" s="36"/>
      <c r="G253" s="39"/>
      <c r="H253" s="34"/>
      <c r="I253" s="36"/>
      <c r="J253" s="39"/>
      <c r="K253" s="38"/>
      <c r="L253" s="36"/>
      <c r="M253" s="39"/>
      <c r="N253" s="38"/>
      <c r="O253" s="36"/>
      <c r="P253" s="39"/>
      <c r="Q253" s="34"/>
      <c r="R253" s="36"/>
      <c r="S253" s="35"/>
      <c r="T253" s="34"/>
      <c r="U253" s="40" t="str">
        <f t="shared" si="2"/>
        <v/>
      </c>
    </row>
    <row r="254" spans="1:21" ht="12.75" customHeight="1">
      <c r="A254" s="4"/>
      <c r="B254" s="34"/>
      <c r="C254" s="5"/>
      <c r="D254" s="35"/>
      <c r="E254" s="34"/>
      <c r="F254" s="36"/>
      <c r="G254" s="39"/>
      <c r="H254" s="34"/>
      <c r="I254" s="36"/>
      <c r="J254" s="39"/>
      <c r="K254" s="38"/>
      <c r="L254" s="36"/>
      <c r="M254" s="39"/>
      <c r="N254" s="38"/>
      <c r="O254" s="36"/>
      <c r="P254" s="39"/>
      <c r="Q254" s="34"/>
      <c r="R254" s="36"/>
      <c r="S254" s="35"/>
      <c r="T254" s="34"/>
      <c r="U254" s="40" t="str">
        <f t="shared" si="2"/>
        <v/>
      </c>
    </row>
    <row r="255" spans="1:21" ht="12.75" customHeight="1">
      <c r="A255" s="4"/>
      <c r="B255" s="34"/>
      <c r="C255" s="5"/>
      <c r="D255" s="35"/>
      <c r="E255" s="34"/>
      <c r="F255" s="36"/>
      <c r="G255" s="39"/>
      <c r="H255" s="34"/>
      <c r="I255" s="36"/>
      <c r="J255" s="39"/>
      <c r="K255" s="38"/>
      <c r="L255" s="36"/>
      <c r="M255" s="39"/>
      <c r="N255" s="38"/>
      <c r="O255" s="36"/>
      <c r="P255" s="39"/>
      <c r="Q255" s="34"/>
      <c r="R255" s="36"/>
      <c r="S255" s="35"/>
      <c r="T255" s="34"/>
      <c r="U255" s="40" t="str">
        <f t="shared" si="2"/>
        <v/>
      </c>
    </row>
    <row r="256" spans="1:21" ht="12.75" customHeight="1">
      <c r="A256" s="4"/>
      <c r="B256" s="34"/>
      <c r="C256" s="5"/>
      <c r="D256" s="35"/>
      <c r="E256" s="34"/>
      <c r="F256" s="36"/>
      <c r="G256" s="39"/>
      <c r="H256" s="34"/>
      <c r="I256" s="36"/>
      <c r="J256" s="39"/>
      <c r="K256" s="38"/>
      <c r="L256" s="36"/>
      <c r="M256" s="39"/>
      <c r="N256" s="38"/>
      <c r="O256" s="36"/>
      <c r="P256" s="39"/>
      <c r="Q256" s="34"/>
      <c r="R256" s="36"/>
      <c r="S256" s="35"/>
      <c r="T256" s="34"/>
      <c r="U256" s="40" t="str">
        <f t="shared" si="2"/>
        <v/>
      </c>
    </row>
    <row r="257" spans="1:21" ht="12.75" customHeight="1">
      <c r="A257" s="4"/>
      <c r="B257" s="34"/>
      <c r="C257" s="5"/>
      <c r="D257" s="35"/>
      <c r="E257" s="34"/>
      <c r="F257" s="36"/>
      <c r="G257" s="39"/>
      <c r="H257" s="34"/>
      <c r="I257" s="36"/>
      <c r="J257" s="39"/>
      <c r="K257" s="38"/>
      <c r="L257" s="36"/>
      <c r="M257" s="39"/>
      <c r="N257" s="38"/>
      <c r="O257" s="36"/>
      <c r="P257" s="39"/>
      <c r="Q257" s="34"/>
      <c r="R257" s="36"/>
      <c r="S257" s="35"/>
      <c r="T257" s="34"/>
      <c r="U257" s="40" t="str">
        <f t="shared" si="2"/>
        <v/>
      </c>
    </row>
    <row r="258" spans="1:21" ht="12.75" customHeight="1">
      <c r="A258" s="4"/>
      <c r="B258" s="34"/>
      <c r="C258" s="5"/>
      <c r="D258" s="35"/>
      <c r="E258" s="34"/>
      <c r="F258" s="36"/>
      <c r="G258" s="39"/>
      <c r="H258" s="34"/>
      <c r="I258" s="36"/>
      <c r="J258" s="39"/>
      <c r="K258" s="38"/>
      <c r="L258" s="36"/>
      <c r="M258" s="39"/>
      <c r="N258" s="38"/>
      <c r="O258" s="36"/>
      <c r="P258" s="39"/>
      <c r="Q258" s="34"/>
      <c r="R258" s="36"/>
      <c r="S258" s="35"/>
      <c r="T258" s="34"/>
      <c r="U258" s="40" t="str">
        <f t="shared" si="2"/>
        <v/>
      </c>
    </row>
    <row r="259" spans="1:21" ht="12.75" customHeight="1">
      <c r="A259" s="4"/>
      <c r="B259" s="34"/>
      <c r="C259" s="5"/>
      <c r="D259" s="35"/>
      <c r="E259" s="34"/>
      <c r="F259" s="36"/>
      <c r="G259" s="39"/>
      <c r="H259" s="34"/>
      <c r="I259" s="36"/>
      <c r="J259" s="39"/>
      <c r="K259" s="38"/>
      <c r="L259" s="36"/>
      <c r="M259" s="39"/>
      <c r="N259" s="38"/>
      <c r="O259" s="36"/>
      <c r="P259" s="39"/>
      <c r="Q259" s="34"/>
      <c r="R259" s="36"/>
      <c r="S259" s="35"/>
      <c r="T259" s="34"/>
      <c r="U259" s="40" t="str">
        <f t="shared" si="2"/>
        <v/>
      </c>
    </row>
    <row r="260" spans="1:21" ht="12.75" customHeight="1">
      <c r="A260" s="4"/>
      <c r="B260" s="34"/>
      <c r="C260" s="5"/>
      <c r="D260" s="35"/>
      <c r="E260" s="34"/>
      <c r="F260" s="36"/>
      <c r="G260" s="39"/>
      <c r="H260" s="34"/>
      <c r="I260" s="36"/>
      <c r="J260" s="39"/>
      <c r="K260" s="38"/>
      <c r="L260" s="36"/>
      <c r="M260" s="39"/>
      <c r="N260" s="38"/>
      <c r="O260" s="36"/>
      <c r="P260" s="39"/>
      <c r="Q260" s="34"/>
      <c r="R260" s="36"/>
      <c r="S260" s="35"/>
      <c r="T260" s="34"/>
      <c r="U260" s="40" t="str">
        <f t="shared" si="2"/>
        <v/>
      </c>
    </row>
    <row r="261" spans="1:21" ht="12.75" customHeight="1">
      <c r="A261" s="4"/>
      <c r="B261" s="34"/>
      <c r="C261" s="5"/>
      <c r="D261" s="35"/>
      <c r="E261" s="34"/>
      <c r="F261" s="36"/>
      <c r="G261" s="39"/>
      <c r="H261" s="34"/>
      <c r="I261" s="36"/>
      <c r="J261" s="39"/>
      <c r="K261" s="38"/>
      <c r="L261" s="36"/>
      <c r="M261" s="39"/>
      <c r="N261" s="38"/>
      <c r="O261" s="36"/>
      <c r="P261" s="39"/>
      <c r="Q261" s="34"/>
      <c r="R261" s="36"/>
      <c r="S261" s="35"/>
      <c r="T261" s="34"/>
      <c r="U261" s="40" t="str">
        <f t="shared" si="2"/>
        <v/>
      </c>
    </row>
    <row r="262" spans="1:21" ht="12.75" customHeight="1">
      <c r="A262" s="4"/>
      <c r="B262" s="34"/>
      <c r="C262" s="5"/>
      <c r="D262" s="35"/>
      <c r="E262" s="34"/>
      <c r="F262" s="36"/>
      <c r="G262" s="39"/>
      <c r="H262" s="34"/>
      <c r="I262" s="36"/>
      <c r="J262" s="39"/>
      <c r="K262" s="38"/>
      <c r="L262" s="36"/>
      <c r="M262" s="39"/>
      <c r="N262" s="38"/>
      <c r="O262" s="36"/>
      <c r="P262" s="39"/>
      <c r="Q262" s="34"/>
      <c r="R262" s="36"/>
      <c r="S262" s="35"/>
      <c r="T262" s="34"/>
      <c r="U262" s="40" t="str">
        <f t="shared" si="2"/>
        <v/>
      </c>
    </row>
    <row r="263" spans="1:21" ht="12.75" customHeight="1">
      <c r="A263" s="4"/>
      <c r="B263" s="34"/>
      <c r="C263" s="5"/>
      <c r="D263" s="35"/>
      <c r="E263" s="34"/>
      <c r="F263" s="36"/>
      <c r="G263" s="39"/>
      <c r="H263" s="34"/>
      <c r="I263" s="36"/>
      <c r="J263" s="39"/>
      <c r="K263" s="38"/>
      <c r="L263" s="36"/>
      <c r="M263" s="39"/>
      <c r="N263" s="38"/>
      <c r="O263" s="36"/>
      <c r="P263" s="39"/>
      <c r="Q263" s="34"/>
      <c r="R263" s="36"/>
      <c r="S263" s="35"/>
      <c r="T263" s="34"/>
      <c r="U263" s="40" t="str">
        <f t="shared" si="2"/>
        <v/>
      </c>
    </row>
    <row r="264" spans="1:21" ht="12.75" customHeight="1">
      <c r="A264" s="4"/>
      <c r="B264" s="34"/>
      <c r="C264" s="5"/>
      <c r="D264" s="35"/>
      <c r="E264" s="34"/>
      <c r="F264" s="36"/>
      <c r="G264" s="39"/>
      <c r="H264" s="34"/>
      <c r="I264" s="36"/>
      <c r="J264" s="39"/>
      <c r="K264" s="38"/>
      <c r="L264" s="36"/>
      <c r="M264" s="39"/>
      <c r="N264" s="38"/>
      <c r="O264" s="36"/>
      <c r="P264" s="39"/>
      <c r="Q264" s="34"/>
      <c r="R264" s="36"/>
      <c r="S264" s="35"/>
      <c r="T264" s="34"/>
      <c r="U264" s="40" t="str">
        <f t="shared" si="2"/>
        <v/>
      </c>
    </row>
    <row r="265" spans="1:21" ht="12.75" customHeight="1">
      <c r="A265" s="4"/>
      <c r="B265" s="34"/>
      <c r="C265" s="5"/>
      <c r="D265" s="35"/>
      <c r="E265" s="34"/>
      <c r="F265" s="36"/>
      <c r="G265" s="39"/>
      <c r="H265" s="34"/>
      <c r="I265" s="36"/>
      <c r="J265" s="39"/>
      <c r="K265" s="38"/>
      <c r="L265" s="36"/>
      <c r="M265" s="39"/>
      <c r="N265" s="38"/>
      <c r="O265" s="36"/>
      <c r="P265" s="39"/>
      <c r="Q265" s="34"/>
      <c r="R265" s="36"/>
      <c r="S265" s="35"/>
      <c r="T265" s="34"/>
      <c r="U265" s="40" t="str">
        <f t="shared" si="2"/>
        <v/>
      </c>
    </row>
    <row r="266" spans="1:21" ht="12.75" customHeight="1">
      <c r="A266" s="4"/>
      <c r="B266" s="34"/>
      <c r="C266" s="5"/>
      <c r="D266" s="35"/>
      <c r="E266" s="34"/>
      <c r="F266" s="36"/>
      <c r="G266" s="39"/>
      <c r="H266" s="34"/>
      <c r="I266" s="36"/>
      <c r="J266" s="39"/>
      <c r="K266" s="38"/>
      <c r="L266" s="36"/>
      <c r="M266" s="39"/>
      <c r="N266" s="38"/>
      <c r="O266" s="36"/>
      <c r="P266" s="39"/>
      <c r="Q266" s="34"/>
      <c r="R266" s="36"/>
      <c r="S266" s="35"/>
      <c r="T266" s="34"/>
      <c r="U266" s="40" t="str">
        <f t="shared" si="2"/>
        <v/>
      </c>
    </row>
    <row r="267" spans="1:21" ht="12.75" customHeight="1">
      <c r="A267" s="4"/>
      <c r="B267" s="34"/>
      <c r="C267" s="5"/>
      <c r="D267" s="35"/>
      <c r="E267" s="34"/>
      <c r="F267" s="36"/>
      <c r="G267" s="39"/>
      <c r="H267" s="34"/>
      <c r="I267" s="36"/>
      <c r="J267" s="39"/>
      <c r="K267" s="38"/>
      <c r="L267" s="36"/>
      <c r="M267" s="39"/>
      <c r="N267" s="38"/>
      <c r="O267" s="36"/>
      <c r="P267" s="39"/>
      <c r="Q267" s="34"/>
      <c r="R267" s="36"/>
      <c r="S267" s="35"/>
      <c r="T267" s="34"/>
      <c r="U267" s="40" t="str">
        <f t="shared" si="2"/>
        <v/>
      </c>
    </row>
    <row r="268" spans="1:21" ht="12.75" customHeight="1">
      <c r="A268" s="4"/>
      <c r="B268" s="34"/>
      <c r="C268" s="5"/>
      <c r="D268" s="35"/>
      <c r="E268" s="34"/>
      <c r="F268" s="36"/>
      <c r="G268" s="39"/>
      <c r="H268" s="34"/>
      <c r="I268" s="36"/>
      <c r="J268" s="39"/>
      <c r="K268" s="38"/>
      <c r="L268" s="36"/>
      <c r="M268" s="39"/>
      <c r="N268" s="38"/>
      <c r="O268" s="36"/>
      <c r="P268" s="39"/>
      <c r="Q268" s="34"/>
      <c r="R268" s="36"/>
      <c r="S268" s="35"/>
      <c r="T268" s="34"/>
      <c r="U268" s="40" t="str">
        <f t="shared" si="2"/>
        <v/>
      </c>
    </row>
    <row r="269" spans="1:21" ht="12.75" customHeight="1">
      <c r="A269" s="4"/>
      <c r="B269" s="34"/>
      <c r="C269" s="5"/>
      <c r="D269" s="35"/>
      <c r="E269" s="34"/>
      <c r="F269" s="36"/>
      <c r="G269" s="39"/>
      <c r="H269" s="34"/>
      <c r="I269" s="36"/>
      <c r="J269" s="39"/>
      <c r="K269" s="38"/>
      <c r="L269" s="36"/>
      <c r="M269" s="39"/>
      <c r="N269" s="38"/>
      <c r="O269" s="36"/>
      <c r="P269" s="39"/>
      <c r="Q269" s="34"/>
      <c r="R269" s="36"/>
      <c r="S269" s="35"/>
      <c r="T269" s="34"/>
      <c r="U269" s="40" t="str">
        <f t="shared" si="2"/>
        <v/>
      </c>
    </row>
    <row r="270" spans="1:21" ht="12.75" customHeight="1">
      <c r="A270" s="4"/>
      <c r="B270" s="34"/>
      <c r="C270" s="5"/>
      <c r="D270" s="35"/>
      <c r="E270" s="34"/>
      <c r="F270" s="36"/>
      <c r="G270" s="39"/>
      <c r="H270" s="34"/>
      <c r="I270" s="36"/>
      <c r="J270" s="39"/>
      <c r="K270" s="38"/>
      <c r="L270" s="36"/>
      <c r="M270" s="39"/>
      <c r="N270" s="38"/>
      <c r="O270" s="36"/>
      <c r="P270" s="39"/>
      <c r="Q270" s="34"/>
      <c r="R270" s="36"/>
      <c r="S270" s="35"/>
      <c r="T270" s="34"/>
      <c r="U270" s="40" t="str">
        <f t="shared" ref="U270:U301" si="3">IF(OR(E270="a",H270="a",K270="a",N270="a",Q270="a",T270="a"),"a",IF(OR(E270="In Process",H270="In Process",K270="In PRocess",N270="In Process",Q270="In Process",T270="In Process"),"X",""))</f>
        <v/>
      </c>
    </row>
    <row r="271" spans="1:21" ht="12.75" customHeight="1">
      <c r="A271" s="4"/>
      <c r="B271" s="34"/>
      <c r="C271" s="5"/>
      <c r="D271" s="35"/>
      <c r="E271" s="34"/>
      <c r="F271" s="36"/>
      <c r="G271" s="39"/>
      <c r="H271" s="34"/>
      <c r="I271" s="36"/>
      <c r="J271" s="39"/>
      <c r="K271" s="38"/>
      <c r="L271" s="36"/>
      <c r="M271" s="39"/>
      <c r="N271" s="38"/>
      <c r="O271" s="36"/>
      <c r="P271" s="39"/>
      <c r="Q271" s="34"/>
      <c r="R271" s="36"/>
      <c r="S271" s="35"/>
      <c r="T271" s="34"/>
      <c r="U271" s="40" t="str">
        <f t="shared" si="3"/>
        <v/>
      </c>
    </row>
    <row r="272" spans="1:21" ht="12.75" customHeight="1">
      <c r="A272" s="4"/>
      <c r="B272" s="34"/>
      <c r="C272" s="5"/>
      <c r="D272" s="35"/>
      <c r="E272" s="34"/>
      <c r="F272" s="36"/>
      <c r="G272" s="39"/>
      <c r="H272" s="34"/>
      <c r="I272" s="36"/>
      <c r="J272" s="39"/>
      <c r="K272" s="38"/>
      <c r="L272" s="36"/>
      <c r="M272" s="39"/>
      <c r="N272" s="38"/>
      <c r="O272" s="36"/>
      <c r="P272" s="39"/>
      <c r="Q272" s="34"/>
      <c r="R272" s="36"/>
      <c r="S272" s="35"/>
      <c r="T272" s="34"/>
      <c r="U272" s="40" t="str">
        <f t="shared" si="3"/>
        <v/>
      </c>
    </row>
    <row r="273" spans="1:21" ht="12.75" customHeight="1">
      <c r="A273" s="4"/>
      <c r="B273" s="34"/>
      <c r="C273" s="5"/>
      <c r="D273" s="35"/>
      <c r="E273" s="34"/>
      <c r="F273" s="36"/>
      <c r="G273" s="39"/>
      <c r="H273" s="34"/>
      <c r="I273" s="36"/>
      <c r="J273" s="39"/>
      <c r="K273" s="38"/>
      <c r="L273" s="36"/>
      <c r="M273" s="39"/>
      <c r="N273" s="38"/>
      <c r="O273" s="36"/>
      <c r="P273" s="39"/>
      <c r="Q273" s="34"/>
      <c r="R273" s="36"/>
      <c r="S273" s="35"/>
      <c r="T273" s="34"/>
      <c r="U273" s="40" t="str">
        <f t="shared" si="3"/>
        <v/>
      </c>
    </row>
    <row r="274" spans="1:21" ht="12.75" customHeight="1">
      <c r="A274" s="4"/>
      <c r="B274" s="34"/>
      <c r="C274" s="5"/>
      <c r="D274" s="35"/>
      <c r="E274" s="34"/>
      <c r="F274" s="36"/>
      <c r="G274" s="39"/>
      <c r="H274" s="34"/>
      <c r="I274" s="36"/>
      <c r="J274" s="39"/>
      <c r="K274" s="38"/>
      <c r="L274" s="36"/>
      <c r="M274" s="39"/>
      <c r="N274" s="38"/>
      <c r="O274" s="36"/>
      <c r="P274" s="39"/>
      <c r="Q274" s="34"/>
      <c r="R274" s="36"/>
      <c r="S274" s="35"/>
      <c r="T274" s="34"/>
      <c r="U274" s="40" t="str">
        <f t="shared" si="3"/>
        <v/>
      </c>
    </row>
    <row r="275" spans="1:21" ht="12.75" customHeight="1">
      <c r="A275" s="4"/>
      <c r="B275" s="34"/>
      <c r="C275" s="5"/>
      <c r="D275" s="35"/>
      <c r="E275" s="34"/>
      <c r="F275" s="36"/>
      <c r="G275" s="39"/>
      <c r="H275" s="34"/>
      <c r="I275" s="36"/>
      <c r="J275" s="39"/>
      <c r="K275" s="38"/>
      <c r="L275" s="36"/>
      <c r="M275" s="39"/>
      <c r="N275" s="38"/>
      <c r="O275" s="36"/>
      <c r="P275" s="39"/>
      <c r="Q275" s="34"/>
      <c r="R275" s="36"/>
      <c r="S275" s="35"/>
      <c r="T275" s="34"/>
      <c r="U275" s="40" t="str">
        <f t="shared" si="3"/>
        <v/>
      </c>
    </row>
    <row r="276" spans="1:21" ht="12.75" customHeight="1">
      <c r="A276" s="4"/>
      <c r="B276" s="34"/>
      <c r="C276" s="5"/>
      <c r="D276" s="35"/>
      <c r="E276" s="34"/>
      <c r="F276" s="36"/>
      <c r="G276" s="39"/>
      <c r="H276" s="34"/>
      <c r="I276" s="36"/>
      <c r="J276" s="39"/>
      <c r="K276" s="38"/>
      <c r="L276" s="36"/>
      <c r="M276" s="39"/>
      <c r="N276" s="38"/>
      <c r="O276" s="36"/>
      <c r="P276" s="39"/>
      <c r="Q276" s="34"/>
      <c r="R276" s="36"/>
      <c r="S276" s="35"/>
      <c r="T276" s="34"/>
      <c r="U276" s="40" t="str">
        <f t="shared" si="3"/>
        <v/>
      </c>
    </row>
    <row r="277" spans="1:21" ht="12.75" customHeight="1">
      <c r="A277" s="4"/>
      <c r="B277" s="34"/>
      <c r="C277" s="5"/>
      <c r="D277" s="35"/>
      <c r="E277" s="34"/>
      <c r="F277" s="36"/>
      <c r="G277" s="39"/>
      <c r="H277" s="34"/>
      <c r="I277" s="36"/>
      <c r="J277" s="39"/>
      <c r="K277" s="38"/>
      <c r="L277" s="36"/>
      <c r="M277" s="39"/>
      <c r="N277" s="38"/>
      <c r="O277" s="36"/>
      <c r="P277" s="39"/>
      <c r="Q277" s="34"/>
      <c r="R277" s="36"/>
      <c r="S277" s="35"/>
      <c r="T277" s="34"/>
      <c r="U277" s="40" t="str">
        <f t="shared" si="3"/>
        <v/>
      </c>
    </row>
    <row r="278" spans="1:21" ht="12.75" customHeight="1">
      <c r="A278" s="4"/>
      <c r="B278" s="34"/>
      <c r="C278" s="5"/>
      <c r="D278" s="35"/>
      <c r="E278" s="34"/>
      <c r="F278" s="36"/>
      <c r="G278" s="39"/>
      <c r="H278" s="34"/>
      <c r="I278" s="36"/>
      <c r="J278" s="39"/>
      <c r="K278" s="38"/>
      <c r="L278" s="36"/>
      <c r="M278" s="39"/>
      <c r="N278" s="38"/>
      <c r="O278" s="36"/>
      <c r="P278" s="39"/>
      <c r="Q278" s="34"/>
      <c r="R278" s="36"/>
      <c r="S278" s="35"/>
      <c r="T278" s="34"/>
      <c r="U278" s="40" t="str">
        <f t="shared" si="3"/>
        <v/>
      </c>
    </row>
    <row r="279" spans="1:21" ht="12.75" customHeight="1">
      <c r="A279" s="4"/>
      <c r="B279" s="34"/>
      <c r="C279" s="5"/>
      <c r="D279" s="35"/>
      <c r="E279" s="34"/>
      <c r="F279" s="36"/>
      <c r="G279" s="39"/>
      <c r="H279" s="34"/>
      <c r="I279" s="36"/>
      <c r="J279" s="39"/>
      <c r="K279" s="38"/>
      <c r="L279" s="36"/>
      <c r="M279" s="39"/>
      <c r="N279" s="38"/>
      <c r="O279" s="36"/>
      <c r="P279" s="39"/>
      <c r="Q279" s="34"/>
      <c r="R279" s="36"/>
      <c r="S279" s="35"/>
      <c r="T279" s="34"/>
      <c r="U279" s="40" t="str">
        <f t="shared" si="3"/>
        <v/>
      </c>
    </row>
    <row r="280" spans="1:21" ht="12.75" customHeight="1">
      <c r="A280" s="4"/>
      <c r="B280" s="34"/>
      <c r="C280" s="5"/>
      <c r="D280" s="35"/>
      <c r="E280" s="34"/>
      <c r="F280" s="36"/>
      <c r="G280" s="39"/>
      <c r="H280" s="34"/>
      <c r="I280" s="36"/>
      <c r="J280" s="39"/>
      <c r="K280" s="38"/>
      <c r="L280" s="36"/>
      <c r="M280" s="39"/>
      <c r="N280" s="38"/>
      <c r="O280" s="36"/>
      <c r="P280" s="39"/>
      <c r="Q280" s="34"/>
      <c r="R280" s="36"/>
      <c r="S280" s="35"/>
      <c r="T280" s="34"/>
      <c r="U280" s="40" t="str">
        <f t="shared" si="3"/>
        <v/>
      </c>
    </row>
    <row r="281" spans="1:21" ht="12.75" customHeight="1">
      <c r="A281" s="4"/>
      <c r="B281" s="34"/>
      <c r="C281" s="5"/>
      <c r="D281" s="35"/>
      <c r="E281" s="34"/>
      <c r="F281" s="36"/>
      <c r="G281" s="39"/>
      <c r="H281" s="34"/>
      <c r="I281" s="36"/>
      <c r="J281" s="39"/>
      <c r="K281" s="38"/>
      <c r="L281" s="36"/>
      <c r="M281" s="39"/>
      <c r="N281" s="38"/>
      <c r="O281" s="36"/>
      <c r="P281" s="39"/>
      <c r="Q281" s="34"/>
      <c r="R281" s="36"/>
      <c r="S281" s="35"/>
      <c r="T281" s="34"/>
      <c r="U281" s="40" t="str">
        <f t="shared" si="3"/>
        <v/>
      </c>
    </row>
    <row r="282" spans="1:21" ht="12.75" customHeight="1">
      <c r="A282" s="4"/>
      <c r="B282" s="34"/>
      <c r="C282" s="5"/>
      <c r="D282" s="35"/>
      <c r="E282" s="34"/>
      <c r="F282" s="36"/>
      <c r="G282" s="39"/>
      <c r="H282" s="34"/>
      <c r="I282" s="36"/>
      <c r="J282" s="39"/>
      <c r="K282" s="38"/>
      <c r="L282" s="36"/>
      <c r="M282" s="39"/>
      <c r="N282" s="38"/>
      <c r="O282" s="36"/>
      <c r="P282" s="39"/>
      <c r="Q282" s="34"/>
      <c r="R282" s="36"/>
      <c r="S282" s="35"/>
      <c r="T282" s="34"/>
      <c r="U282" s="40" t="str">
        <f t="shared" si="3"/>
        <v/>
      </c>
    </row>
    <row r="283" spans="1:21" ht="12.75" customHeight="1">
      <c r="A283" s="4"/>
      <c r="B283" s="34"/>
      <c r="C283" s="5"/>
      <c r="D283" s="35"/>
      <c r="E283" s="34"/>
      <c r="F283" s="36"/>
      <c r="G283" s="39"/>
      <c r="H283" s="34"/>
      <c r="I283" s="36"/>
      <c r="J283" s="39"/>
      <c r="K283" s="38"/>
      <c r="L283" s="36"/>
      <c r="M283" s="39"/>
      <c r="N283" s="38"/>
      <c r="O283" s="36"/>
      <c r="P283" s="39"/>
      <c r="Q283" s="34"/>
      <c r="R283" s="36"/>
      <c r="S283" s="35"/>
      <c r="T283" s="34"/>
      <c r="U283" s="40" t="str">
        <f t="shared" si="3"/>
        <v/>
      </c>
    </row>
    <row r="284" spans="1:21" ht="12.75" customHeight="1">
      <c r="A284" s="4"/>
      <c r="B284" s="34"/>
      <c r="C284" s="5"/>
      <c r="D284" s="35"/>
      <c r="E284" s="34"/>
      <c r="F284" s="36"/>
      <c r="G284" s="39"/>
      <c r="H284" s="34"/>
      <c r="I284" s="36"/>
      <c r="J284" s="39"/>
      <c r="K284" s="38"/>
      <c r="L284" s="36"/>
      <c r="M284" s="39"/>
      <c r="N284" s="38"/>
      <c r="O284" s="36"/>
      <c r="P284" s="39"/>
      <c r="Q284" s="34"/>
      <c r="R284" s="36"/>
      <c r="S284" s="35"/>
      <c r="T284" s="34"/>
      <c r="U284" s="40" t="str">
        <f t="shared" si="3"/>
        <v/>
      </c>
    </row>
    <row r="285" spans="1:21" ht="12.75" customHeight="1">
      <c r="A285" s="4"/>
      <c r="B285" s="34"/>
      <c r="C285" s="5"/>
      <c r="D285" s="35"/>
      <c r="E285" s="34"/>
      <c r="F285" s="36"/>
      <c r="G285" s="39"/>
      <c r="H285" s="34"/>
      <c r="I285" s="36"/>
      <c r="J285" s="39"/>
      <c r="K285" s="38"/>
      <c r="L285" s="36"/>
      <c r="M285" s="39"/>
      <c r="N285" s="38"/>
      <c r="O285" s="36"/>
      <c r="P285" s="39"/>
      <c r="Q285" s="34"/>
      <c r="R285" s="36"/>
      <c r="S285" s="35"/>
      <c r="T285" s="34"/>
      <c r="U285" s="40" t="str">
        <f t="shared" si="3"/>
        <v/>
      </c>
    </row>
    <row r="286" spans="1:21" ht="12.75" customHeight="1">
      <c r="A286" s="4"/>
      <c r="B286" s="34"/>
      <c r="C286" s="5"/>
      <c r="D286" s="35"/>
      <c r="E286" s="34"/>
      <c r="F286" s="36"/>
      <c r="G286" s="39"/>
      <c r="H286" s="34"/>
      <c r="I286" s="36"/>
      <c r="J286" s="39"/>
      <c r="K286" s="38"/>
      <c r="L286" s="36"/>
      <c r="M286" s="39"/>
      <c r="N286" s="38"/>
      <c r="O286" s="36"/>
      <c r="P286" s="39"/>
      <c r="Q286" s="34"/>
      <c r="R286" s="36"/>
      <c r="S286" s="35"/>
      <c r="T286" s="34"/>
      <c r="U286" s="40" t="str">
        <f t="shared" si="3"/>
        <v/>
      </c>
    </row>
    <row r="287" spans="1:21" ht="12.75" customHeight="1">
      <c r="A287" s="4"/>
      <c r="B287" s="34"/>
      <c r="C287" s="5"/>
      <c r="D287" s="35"/>
      <c r="E287" s="34"/>
      <c r="F287" s="36"/>
      <c r="G287" s="39"/>
      <c r="H287" s="34"/>
      <c r="I287" s="36"/>
      <c r="J287" s="39"/>
      <c r="K287" s="38"/>
      <c r="L287" s="36"/>
      <c r="M287" s="39"/>
      <c r="N287" s="38"/>
      <c r="O287" s="36"/>
      <c r="P287" s="39"/>
      <c r="Q287" s="34"/>
      <c r="R287" s="36"/>
      <c r="S287" s="35"/>
      <c r="T287" s="34"/>
      <c r="U287" s="40" t="str">
        <f t="shared" si="3"/>
        <v/>
      </c>
    </row>
    <row r="288" spans="1:21" ht="12.75" customHeight="1">
      <c r="A288" s="4"/>
      <c r="B288" s="34"/>
      <c r="C288" s="5"/>
      <c r="D288" s="35"/>
      <c r="E288" s="34"/>
      <c r="F288" s="36"/>
      <c r="G288" s="39"/>
      <c r="H288" s="34"/>
      <c r="I288" s="36"/>
      <c r="J288" s="39"/>
      <c r="K288" s="38"/>
      <c r="L288" s="36"/>
      <c r="M288" s="39"/>
      <c r="N288" s="38"/>
      <c r="O288" s="36"/>
      <c r="P288" s="39"/>
      <c r="Q288" s="34"/>
      <c r="R288" s="36"/>
      <c r="S288" s="35"/>
      <c r="T288" s="34"/>
      <c r="U288" s="40" t="str">
        <f t="shared" si="3"/>
        <v/>
      </c>
    </row>
    <row r="289" spans="1:21" ht="12.75" customHeight="1">
      <c r="A289" s="4"/>
      <c r="B289" s="34"/>
      <c r="C289" s="5"/>
      <c r="D289" s="35"/>
      <c r="E289" s="34"/>
      <c r="F289" s="36"/>
      <c r="G289" s="39"/>
      <c r="H289" s="34"/>
      <c r="I289" s="36"/>
      <c r="J289" s="39"/>
      <c r="K289" s="38"/>
      <c r="L289" s="36"/>
      <c r="M289" s="39"/>
      <c r="N289" s="38"/>
      <c r="O289" s="36"/>
      <c r="P289" s="39"/>
      <c r="Q289" s="34"/>
      <c r="R289" s="36"/>
      <c r="S289" s="35"/>
      <c r="T289" s="34"/>
      <c r="U289" s="40" t="str">
        <f t="shared" si="3"/>
        <v/>
      </c>
    </row>
    <row r="290" spans="1:21" ht="12.75" customHeight="1">
      <c r="A290" s="4"/>
      <c r="B290" s="34"/>
      <c r="C290" s="5"/>
      <c r="D290" s="35"/>
      <c r="E290" s="34"/>
      <c r="F290" s="36"/>
      <c r="G290" s="39"/>
      <c r="H290" s="34"/>
      <c r="I290" s="36"/>
      <c r="J290" s="39"/>
      <c r="K290" s="38"/>
      <c r="L290" s="36"/>
      <c r="M290" s="39"/>
      <c r="N290" s="38"/>
      <c r="O290" s="36"/>
      <c r="P290" s="39"/>
      <c r="Q290" s="34"/>
      <c r="R290" s="36"/>
      <c r="S290" s="35"/>
      <c r="T290" s="34"/>
      <c r="U290" s="40" t="str">
        <f t="shared" si="3"/>
        <v/>
      </c>
    </row>
    <row r="291" spans="1:21" ht="12.75" customHeight="1">
      <c r="A291" s="4"/>
      <c r="B291" s="34"/>
      <c r="C291" s="5"/>
      <c r="D291" s="35"/>
      <c r="E291" s="34"/>
      <c r="F291" s="36"/>
      <c r="G291" s="39"/>
      <c r="H291" s="34"/>
      <c r="I291" s="36"/>
      <c r="J291" s="39"/>
      <c r="K291" s="38"/>
      <c r="L291" s="36"/>
      <c r="M291" s="39"/>
      <c r="N291" s="38"/>
      <c r="O291" s="36"/>
      <c r="P291" s="39"/>
      <c r="Q291" s="34"/>
      <c r="R291" s="36"/>
      <c r="S291" s="35"/>
      <c r="T291" s="34"/>
      <c r="U291" s="40" t="str">
        <f t="shared" si="3"/>
        <v/>
      </c>
    </row>
    <row r="292" spans="1:21" ht="12.75" customHeight="1">
      <c r="A292" s="4"/>
      <c r="B292" s="34"/>
      <c r="C292" s="5"/>
      <c r="D292" s="35"/>
      <c r="E292" s="34"/>
      <c r="F292" s="36"/>
      <c r="G292" s="39"/>
      <c r="H292" s="34"/>
      <c r="I292" s="36"/>
      <c r="J292" s="39"/>
      <c r="K292" s="38"/>
      <c r="L292" s="36"/>
      <c r="M292" s="39"/>
      <c r="N292" s="38"/>
      <c r="O292" s="36"/>
      <c r="P292" s="39"/>
      <c r="Q292" s="34"/>
      <c r="R292" s="36"/>
      <c r="S292" s="35"/>
      <c r="T292" s="34"/>
      <c r="U292" s="40" t="str">
        <f t="shared" si="3"/>
        <v/>
      </c>
    </row>
    <row r="293" spans="1:21" ht="12.75" customHeight="1">
      <c r="A293" s="4"/>
      <c r="B293" s="34"/>
      <c r="C293" s="5"/>
      <c r="D293" s="35"/>
      <c r="E293" s="34"/>
      <c r="F293" s="36"/>
      <c r="G293" s="39"/>
      <c r="H293" s="34"/>
      <c r="I293" s="36"/>
      <c r="J293" s="39"/>
      <c r="K293" s="38"/>
      <c r="L293" s="36"/>
      <c r="M293" s="39"/>
      <c r="N293" s="38"/>
      <c r="O293" s="36"/>
      <c r="P293" s="39"/>
      <c r="Q293" s="34"/>
      <c r="R293" s="36"/>
      <c r="S293" s="35"/>
      <c r="T293" s="34"/>
      <c r="U293" s="40" t="str">
        <f t="shared" si="3"/>
        <v/>
      </c>
    </row>
    <row r="294" spans="1:21" ht="12.75" customHeight="1">
      <c r="A294" s="4"/>
      <c r="B294" s="34"/>
      <c r="C294" s="5"/>
      <c r="D294" s="35"/>
      <c r="E294" s="34"/>
      <c r="F294" s="36"/>
      <c r="G294" s="39"/>
      <c r="H294" s="34"/>
      <c r="I294" s="36"/>
      <c r="J294" s="39"/>
      <c r="K294" s="38"/>
      <c r="L294" s="36"/>
      <c r="M294" s="39"/>
      <c r="N294" s="38"/>
      <c r="O294" s="36"/>
      <c r="P294" s="39"/>
      <c r="Q294" s="34"/>
      <c r="R294" s="36"/>
      <c r="S294" s="35"/>
      <c r="T294" s="34"/>
      <c r="U294" s="40" t="str">
        <f t="shared" si="3"/>
        <v/>
      </c>
    </row>
    <row r="295" spans="1:21" ht="12.75" customHeight="1">
      <c r="A295" s="4"/>
      <c r="B295" s="34"/>
      <c r="C295" s="5"/>
      <c r="D295" s="35"/>
      <c r="E295" s="34"/>
      <c r="F295" s="36"/>
      <c r="G295" s="39"/>
      <c r="H295" s="34"/>
      <c r="I295" s="36"/>
      <c r="J295" s="39"/>
      <c r="K295" s="38"/>
      <c r="L295" s="36"/>
      <c r="M295" s="39"/>
      <c r="N295" s="38"/>
      <c r="O295" s="36"/>
      <c r="P295" s="39"/>
      <c r="Q295" s="34"/>
      <c r="R295" s="36"/>
      <c r="S295" s="35"/>
      <c r="T295" s="34"/>
      <c r="U295" s="40" t="str">
        <f t="shared" si="3"/>
        <v/>
      </c>
    </row>
    <row r="296" spans="1:21" ht="12.75" customHeight="1">
      <c r="A296" s="4"/>
      <c r="B296" s="34"/>
      <c r="C296" s="5"/>
      <c r="D296" s="35"/>
      <c r="E296" s="34"/>
      <c r="F296" s="36"/>
      <c r="G296" s="39"/>
      <c r="H296" s="34"/>
      <c r="I296" s="36"/>
      <c r="J296" s="39"/>
      <c r="K296" s="38"/>
      <c r="L296" s="36"/>
      <c r="M296" s="39"/>
      <c r="N296" s="38"/>
      <c r="O296" s="36"/>
      <c r="P296" s="39"/>
      <c r="Q296" s="34"/>
      <c r="R296" s="36"/>
      <c r="S296" s="35"/>
      <c r="T296" s="34"/>
      <c r="U296" s="40" t="str">
        <f t="shared" si="3"/>
        <v/>
      </c>
    </row>
    <row r="297" spans="1:21" ht="12.75" customHeight="1">
      <c r="A297" s="4"/>
      <c r="B297" s="34"/>
      <c r="C297" s="5"/>
      <c r="D297" s="35"/>
      <c r="E297" s="34"/>
      <c r="F297" s="36"/>
      <c r="G297" s="39"/>
      <c r="H297" s="34"/>
      <c r="I297" s="36"/>
      <c r="J297" s="39"/>
      <c r="K297" s="38"/>
      <c r="L297" s="36"/>
      <c r="M297" s="39"/>
      <c r="N297" s="38"/>
      <c r="O297" s="36"/>
      <c r="P297" s="39"/>
      <c r="Q297" s="34"/>
      <c r="R297" s="36"/>
      <c r="S297" s="35"/>
      <c r="T297" s="34"/>
      <c r="U297" s="40" t="str">
        <f t="shared" si="3"/>
        <v/>
      </c>
    </row>
    <row r="298" spans="1:21" ht="12.75" customHeight="1">
      <c r="A298" s="4"/>
      <c r="B298" s="34"/>
      <c r="C298" s="5"/>
      <c r="D298" s="35"/>
      <c r="E298" s="34"/>
      <c r="F298" s="36"/>
      <c r="G298" s="39"/>
      <c r="H298" s="34"/>
      <c r="I298" s="36"/>
      <c r="J298" s="39"/>
      <c r="K298" s="38"/>
      <c r="L298" s="36"/>
      <c r="M298" s="39"/>
      <c r="N298" s="38"/>
      <c r="O298" s="36"/>
      <c r="P298" s="39"/>
      <c r="Q298" s="34"/>
      <c r="R298" s="36"/>
      <c r="S298" s="35"/>
      <c r="T298" s="34"/>
      <c r="U298" s="40" t="str">
        <f t="shared" si="3"/>
        <v/>
      </c>
    </row>
    <row r="299" spans="1:21" ht="12.75" customHeight="1">
      <c r="A299" s="4"/>
      <c r="B299" s="34"/>
      <c r="C299" s="5"/>
      <c r="D299" s="35"/>
      <c r="E299" s="34"/>
      <c r="F299" s="36"/>
      <c r="G299" s="39"/>
      <c r="H299" s="34"/>
      <c r="I299" s="36"/>
      <c r="J299" s="39"/>
      <c r="K299" s="38"/>
      <c r="L299" s="36"/>
      <c r="M299" s="39"/>
      <c r="N299" s="38"/>
      <c r="O299" s="36"/>
      <c r="P299" s="39"/>
      <c r="Q299" s="34"/>
      <c r="R299" s="36"/>
      <c r="S299" s="35"/>
      <c r="T299" s="34"/>
      <c r="U299" s="40" t="str">
        <f t="shared" si="3"/>
        <v/>
      </c>
    </row>
    <row r="300" spans="1:21" ht="12.75" customHeight="1">
      <c r="A300" s="4"/>
      <c r="B300" s="34"/>
      <c r="C300" s="5"/>
      <c r="D300" s="35"/>
      <c r="E300" s="34"/>
      <c r="F300" s="36"/>
      <c r="G300" s="39"/>
      <c r="H300" s="34"/>
      <c r="I300" s="36"/>
      <c r="J300" s="39"/>
      <c r="K300" s="38"/>
      <c r="L300" s="36"/>
      <c r="M300" s="39"/>
      <c r="N300" s="38"/>
      <c r="O300" s="36"/>
      <c r="P300" s="39"/>
      <c r="Q300" s="34"/>
      <c r="R300" s="36"/>
      <c r="S300" s="35"/>
      <c r="T300" s="34"/>
      <c r="U300" s="40" t="str">
        <f t="shared" si="3"/>
        <v/>
      </c>
    </row>
    <row r="301" spans="1:21" ht="12.75" customHeight="1">
      <c r="A301" s="4"/>
      <c r="B301" s="34"/>
      <c r="C301" s="5"/>
      <c r="D301" s="35"/>
      <c r="E301" s="34"/>
      <c r="F301" s="36"/>
      <c r="G301" s="39"/>
      <c r="H301" s="34"/>
      <c r="I301" s="36"/>
      <c r="J301" s="39"/>
      <c r="K301" s="38"/>
      <c r="L301" s="36"/>
      <c r="M301" s="39"/>
      <c r="N301" s="38"/>
      <c r="O301" s="36"/>
      <c r="P301" s="39"/>
      <c r="Q301" s="34"/>
      <c r="R301" s="36"/>
      <c r="S301" s="35"/>
      <c r="T301" s="34"/>
      <c r="U301" s="40" t="str">
        <f t="shared" si="3"/>
        <v/>
      </c>
    </row>
    <row r="302" spans="1:21" ht="12.75" customHeight="1">
      <c r="A302" s="4"/>
      <c r="B302" s="34"/>
      <c r="C302" s="5"/>
      <c r="D302" s="35"/>
      <c r="E302" s="34"/>
      <c r="F302" s="36"/>
      <c r="G302" s="39"/>
      <c r="H302" s="34"/>
      <c r="I302" s="36"/>
      <c r="J302" s="39"/>
      <c r="K302" s="38"/>
      <c r="L302" s="36"/>
      <c r="M302" s="39"/>
      <c r="N302" s="38"/>
      <c r="O302" s="36"/>
      <c r="P302" s="39"/>
      <c r="Q302" s="34"/>
      <c r="R302" s="36"/>
      <c r="S302" s="35"/>
      <c r="T302" s="34"/>
      <c r="U302" s="40" t="str">
        <f t="shared" ref="U302:U333" si="4">IF(OR(E302="a",H302="a",K302="a",N302="a",Q302="a",T302="a"),"a",IF(OR(E302="In Process",H302="In Process",K302="In PRocess",N302="In Process",Q302="In Process",T302="In Process"),"X",""))</f>
        <v/>
      </c>
    </row>
    <row r="303" spans="1:21" ht="12.75" customHeight="1">
      <c r="A303" s="4"/>
      <c r="B303" s="34"/>
      <c r="C303" s="5"/>
      <c r="D303" s="35"/>
      <c r="E303" s="34"/>
      <c r="F303" s="36"/>
      <c r="G303" s="39"/>
      <c r="H303" s="34"/>
      <c r="I303" s="36"/>
      <c r="J303" s="39"/>
      <c r="K303" s="38"/>
      <c r="L303" s="36"/>
      <c r="M303" s="39"/>
      <c r="N303" s="38"/>
      <c r="O303" s="36"/>
      <c r="P303" s="39"/>
      <c r="Q303" s="34"/>
      <c r="R303" s="36"/>
      <c r="S303" s="35"/>
      <c r="T303" s="34"/>
      <c r="U303" s="40" t="str">
        <f t="shared" si="4"/>
        <v/>
      </c>
    </row>
    <row r="304" spans="1:21" ht="12.75" customHeight="1">
      <c r="A304" s="4"/>
      <c r="B304" s="34"/>
      <c r="C304" s="5"/>
      <c r="D304" s="35"/>
      <c r="E304" s="34"/>
      <c r="F304" s="36"/>
      <c r="G304" s="39"/>
      <c r="H304" s="34"/>
      <c r="I304" s="36"/>
      <c r="J304" s="39"/>
      <c r="K304" s="38"/>
      <c r="L304" s="36"/>
      <c r="M304" s="39"/>
      <c r="N304" s="38"/>
      <c r="O304" s="36"/>
      <c r="P304" s="39"/>
      <c r="Q304" s="34"/>
      <c r="R304" s="36"/>
      <c r="S304" s="35"/>
      <c r="T304" s="34"/>
      <c r="U304" s="40" t="str">
        <f t="shared" si="4"/>
        <v/>
      </c>
    </row>
    <row r="305" spans="1:21" ht="12.75" customHeight="1">
      <c r="A305" s="4"/>
      <c r="B305" s="34"/>
      <c r="C305" s="5"/>
      <c r="D305" s="35"/>
      <c r="E305" s="34"/>
      <c r="F305" s="36"/>
      <c r="G305" s="39"/>
      <c r="H305" s="34"/>
      <c r="I305" s="36"/>
      <c r="J305" s="39"/>
      <c r="K305" s="38"/>
      <c r="L305" s="36"/>
      <c r="M305" s="39"/>
      <c r="N305" s="38"/>
      <c r="O305" s="36"/>
      <c r="P305" s="39"/>
      <c r="Q305" s="34"/>
      <c r="R305" s="36"/>
      <c r="S305" s="35"/>
      <c r="T305" s="34"/>
      <c r="U305" s="40" t="str">
        <f t="shared" si="4"/>
        <v/>
      </c>
    </row>
    <row r="306" spans="1:21" ht="12.75" customHeight="1">
      <c r="A306" s="4"/>
      <c r="B306" s="34"/>
      <c r="C306" s="5"/>
      <c r="D306" s="35"/>
      <c r="E306" s="34"/>
      <c r="F306" s="36"/>
      <c r="G306" s="39"/>
      <c r="H306" s="34"/>
      <c r="I306" s="36"/>
      <c r="J306" s="39"/>
      <c r="K306" s="38"/>
      <c r="L306" s="36"/>
      <c r="M306" s="39"/>
      <c r="N306" s="38"/>
      <c r="O306" s="36"/>
      <c r="P306" s="39"/>
      <c r="Q306" s="34"/>
      <c r="R306" s="36"/>
      <c r="S306" s="35"/>
      <c r="T306" s="34"/>
      <c r="U306" s="40" t="str">
        <f t="shared" si="4"/>
        <v/>
      </c>
    </row>
    <row r="307" spans="1:21" ht="12.75" customHeight="1">
      <c r="A307" s="4"/>
      <c r="B307" s="34"/>
      <c r="C307" s="5"/>
      <c r="D307" s="35"/>
      <c r="E307" s="34"/>
      <c r="F307" s="36"/>
      <c r="G307" s="39"/>
      <c r="H307" s="34"/>
      <c r="I307" s="36"/>
      <c r="J307" s="39"/>
      <c r="K307" s="38"/>
      <c r="L307" s="36"/>
      <c r="M307" s="39"/>
      <c r="N307" s="38"/>
      <c r="O307" s="36"/>
      <c r="P307" s="39"/>
      <c r="Q307" s="34"/>
      <c r="R307" s="36"/>
      <c r="S307" s="35"/>
      <c r="T307" s="34"/>
      <c r="U307" s="40" t="str">
        <f t="shared" si="4"/>
        <v/>
      </c>
    </row>
    <row r="308" spans="1:21" ht="12.75" customHeight="1">
      <c r="A308" s="4"/>
      <c r="B308" s="34"/>
      <c r="C308" s="5"/>
      <c r="D308" s="35"/>
      <c r="E308" s="34"/>
      <c r="F308" s="36"/>
      <c r="G308" s="39"/>
      <c r="H308" s="34"/>
      <c r="I308" s="36"/>
      <c r="J308" s="39"/>
      <c r="K308" s="38"/>
      <c r="L308" s="36"/>
      <c r="M308" s="39"/>
      <c r="N308" s="38"/>
      <c r="O308" s="36"/>
      <c r="P308" s="39"/>
      <c r="Q308" s="34"/>
      <c r="R308" s="36"/>
      <c r="S308" s="35"/>
      <c r="T308" s="34"/>
      <c r="U308" s="40" t="str">
        <f t="shared" si="4"/>
        <v/>
      </c>
    </row>
    <row r="309" spans="1:21" ht="12.75" customHeight="1">
      <c r="A309" s="4"/>
      <c r="B309" s="34"/>
      <c r="C309" s="5"/>
      <c r="D309" s="35"/>
      <c r="E309" s="34"/>
      <c r="F309" s="36"/>
      <c r="G309" s="39"/>
      <c r="H309" s="34"/>
      <c r="I309" s="36"/>
      <c r="J309" s="39"/>
      <c r="K309" s="38"/>
      <c r="L309" s="36"/>
      <c r="M309" s="39"/>
      <c r="N309" s="38"/>
      <c r="O309" s="36"/>
      <c r="P309" s="39"/>
      <c r="Q309" s="34"/>
      <c r="R309" s="36"/>
      <c r="S309" s="35"/>
      <c r="T309" s="34"/>
      <c r="U309" s="40" t="str">
        <f t="shared" si="4"/>
        <v/>
      </c>
    </row>
    <row r="310" spans="1:21" ht="12.75" customHeight="1">
      <c r="A310" s="4"/>
      <c r="B310" s="34"/>
      <c r="C310" s="5"/>
      <c r="D310" s="35"/>
      <c r="E310" s="34"/>
      <c r="F310" s="36"/>
      <c r="G310" s="39"/>
      <c r="H310" s="34"/>
      <c r="I310" s="36"/>
      <c r="J310" s="39"/>
      <c r="K310" s="38"/>
      <c r="L310" s="36"/>
      <c r="M310" s="39"/>
      <c r="N310" s="38"/>
      <c r="O310" s="36"/>
      <c r="P310" s="39"/>
      <c r="Q310" s="34"/>
      <c r="R310" s="36"/>
      <c r="S310" s="35"/>
      <c r="T310" s="34"/>
      <c r="U310" s="40" t="str">
        <f t="shared" si="4"/>
        <v/>
      </c>
    </row>
    <row r="311" spans="1:21" ht="12.75" customHeight="1">
      <c r="A311" s="4"/>
      <c r="B311" s="34"/>
      <c r="C311" s="5"/>
      <c r="D311" s="35"/>
      <c r="E311" s="34"/>
      <c r="F311" s="36"/>
      <c r="G311" s="39"/>
      <c r="H311" s="34"/>
      <c r="I311" s="36"/>
      <c r="J311" s="39"/>
      <c r="K311" s="38"/>
      <c r="L311" s="36"/>
      <c r="M311" s="39"/>
      <c r="N311" s="38"/>
      <c r="O311" s="36"/>
      <c r="P311" s="39"/>
      <c r="Q311" s="34"/>
      <c r="R311" s="36"/>
      <c r="S311" s="35"/>
      <c r="T311" s="34"/>
      <c r="U311" s="40" t="str">
        <f t="shared" si="4"/>
        <v/>
      </c>
    </row>
    <row r="312" spans="1:21" ht="12.75" customHeight="1">
      <c r="A312" s="4"/>
      <c r="B312" s="34"/>
      <c r="C312" s="5"/>
      <c r="D312" s="35"/>
      <c r="E312" s="34"/>
      <c r="F312" s="36"/>
      <c r="G312" s="39"/>
      <c r="H312" s="34"/>
      <c r="I312" s="36"/>
      <c r="J312" s="39"/>
      <c r="K312" s="38"/>
      <c r="L312" s="36"/>
      <c r="M312" s="39"/>
      <c r="N312" s="38"/>
      <c r="O312" s="36"/>
      <c r="P312" s="39"/>
      <c r="Q312" s="34"/>
      <c r="R312" s="36"/>
      <c r="S312" s="35"/>
      <c r="T312" s="34"/>
      <c r="U312" s="40" t="str">
        <f t="shared" si="4"/>
        <v/>
      </c>
    </row>
    <row r="313" spans="1:21" ht="12.75" customHeight="1">
      <c r="A313" s="4"/>
      <c r="B313" s="34"/>
      <c r="C313" s="5"/>
      <c r="D313" s="35"/>
      <c r="E313" s="34"/>
      <c r="F313" s="36"/>
      <c r="G313" s="39"/>
      <c r="H313" s="34"/>
      <c r="I313" s="36"/>
      <c r="J313" s="39"/>
      <c r="K313" s="38"/>
      <c r="L313" s="36"/>
      <c r="M313" s="39"/>
      <c r="N313" s="38"/>
      <c r="O313" s="36"/>
      <c r="P313" s="39"/>
      <c r="Q313" s="34"/>
      <c r="R313" s="36"/>
      <c r="S313" s="35"/>
      <c r="T313" s="34"/>
      <c r="U313" s="40" t="str">
        <f t="shared" si="4"/>
        <v/>
      </c>
    </row>
    <row r="314" spans="1:21" ht="12.75" customHeight="1">
      <c r="A314" s="4"/>
      <c r="B314" s="34"/>
      <c r="C314" s="5"/>
      <c r="D314" s="35"/>
      <c r="E314" s="34"/>
      <c r="F314" s="36"/>
      <c r="G314" s="39"/>
      <c r="H314" s="34"/>
      <c r="I314" s="36"/>
      <c r="J314" s="39"/>
      <c r="K314" s="38"/>
      <c r="L314" s="36"/>
      <c r="M314" s="39"/>
      <c r="N314" s="38"/>
      <c r="O314" s="36"/>
      <c r="P314" s="39"/>
      <c r="Q314" s="34"/>
      <c r="R314" s="36"/>
      <c r="S314" s="35"/>
      <c r="T314" s="34"/>
      <c r="U314" s="40" t="str">
        <f t="shared" si="4"/>
        <v/>
      </c>
    </row>
    <row r="315" spans="1:21" ht="12.75" customHeight="1">
      <c r="A315" s="4"/>
      <c r="B315" s="34"/>
      <c r="C315" s="5"/>
      <c r="D315" s="35"/>
      <c r="E315" s="34"/>
      <c r="F315" s="36"/>
      <c r="G315" s="39"/>
      <c r="H315" s="34"/>
      <c r="I315" s="36"/>
      <c r="J315" s="39"/>
      <c r="K315" s="38"/>
      <c r="L315" s="36"/>
      <c r="M315" s="39"/>
      <c r="N315" s="38"/>
      <c r="O315" s="36"/>
      <c r="P315" s="39"/>
      <c r="Q315" s="34"/>
      <c r="R315" s="36"/>
      <c r="S315" s="35"/>
      <c r="T315" s="34"/>
      <c r="U315" s="40" t="str">
        <f t="shared" si="4"/>
        <v/>
      </c>
    </row>
    <row r="316" spans="1:21" ht="12.75" customHeight="1">
      <c r="A316" s="4"/>
      <c r="B316" s="34"/>
      <c r="C316" s="5"/>
      <c r="D316" s="35"/>
      <c r="E316" s="34"/>
      <c r="F316" s="36"/>
      <c r="G316" s="39"/>
      <c r="H316" s="34"/>
      <c r="I316" s="36"/>
      <c r="J316" s="39"/>
      <c r="K316" s="38"/>
      <c r="L316" s="36"/>
      <c r="M316" s="39"/>
      <c r="N316" s="38"/>
      <c r="O316" s="36"/>
      <c r="P316" s="39"/>
      <c r="Q316" s="34"/>
      <c r="R316" s="36"/>
      <c r="S316" s="35"/>
      <c r="T316" s="34"/>
      <c r="U316" s="40" t="str">
        <f t="shared" si="4"/>
        <v/>
      </c>
    </row>
    <row r="317" spans="1:21" ht="12.75" customHeight="1">
      <c r="A317" s="4"/>
      <c r="B317" s="34"/>
      <c r="C317" s="5"/>
      <c r="D317" s="35"/>
      <c r="E317" s="34"/>
      <c r="F317" s="36"/>
      <c r="G317" s="39"/>
      <c r="H317" s="34"/>
      <c r="I317" s="36"/>
      <c r="J317" s="39"/>
      <c r="K317" s="38"/>
      <c r="L317" s="36"/>
      <c r="M317" s="39"/>
      <c r="N317" s="38"/>
      <c r="O317" s="36"/>
      <c r="P317" s="39"/>
      <c r="Q317" s="34"/>
      <c r="R317" s="36"/>
      <c r="S317" s="35"/>
      <c r="T317" s="34"/>
      <c r="U317" s="40" t="str">
        <f t="shared" si="4"/>
        <v/>
      </c>
    </row>
    <row r="318" spans="1:21" ht="12.75" customHeight="1">
      <c r="A318" s="4"/>
      <c r="B318" s="34"/>
      <c r="C318" s="5"/>
      <c r="D318" s="35"/>
      <c r="E318" s="34"/>
      <c r="F318" s="36"/>
      <c r="G318" s="39"/>
      <c r="H318" s="34"/>
      <c r="I318" s="36"/>
      <c r="J318" s="39"/>
      <c r="K318" s="38"/>
      <c r="L318" s="36"/>
      <c r="M318" s="39"/>
      <c r="N318" s="38"/>
      <c r="O318" s="36"/>
      <c r="P318" s="39"/>
      <c r="Q318" s="34"/>
      <c r="R318" s="36"/>
      <c r="S318" s="35"/>
      <c r="T318" s="34"/>
      <c r="U318" s="40" t="str">
        <f t="shared" si="4"/>
        <v/>
      </c>
    </row>
    <row r="319" spans="1:21" ht="12.75" customHeight="1">
      <c r="A319" s="4"/>
      <c r="B319" s="34"/>
      <c r="C319" s="5"/>
      <c r="D319" s="35"/>
      <c r="E319" s="34"/>
      <c r="F319" s="36"/>
      <c r="G319" s="39"/>
      <c r="H319" s="34"/>
      <c r="I319" s="36"/>
      <c r="J319" s="39"/>
      <c r="K319" s="38"/>
      <c r="L319" s="36"/>
      <c r="M319" s="39"/>
      <c r="N319" s="38"/>
      <c r="O319" s="36"/>
      <c r="P319" s="39"/>
      <c r="Q319" s="34"/>
      <c r="R319" s="36"/>
      <c r="S319" s="35"/>
      <c r="T319" s="34"/>
      <c r="U319" s="40" t="str">
        <f t="shared" si="4"/>
        <v/>
      </c>
    </row>
    <row r="320" spans="1:21" ht="12.75" customHeight="1">
      <c r="A320" s="4"/>
      <c r="B320" s="34"/>
      <c r="C320" s="5"/>
      <c r="D320" s="35"/>
      <c r="E320" s="34"/>
      <c r="F320" s="36"/>
      <c r="G320" s="39"/>
      <c r="H320" s="34"/>
      <c r="I320" s="36"/>
      <c r="J320" s="39"/>
      <c r="K320" s="38"/>
      <c r="L320" s="36"/>
      <c r="M320" s="39"/>
      <c r="N320" s="38"/>
      <c r="O320" s="36"/>
      <c r="P320" s="39"/>
      <c r="Q320" s="34"/>
      <c r="R320" s="36"/>
      <c r="S320" s="35"/>
      <c r="T320" s="34"/>
      <c r="U320" s="40" t="str">
        <f t="shared" si="4"/>
        <v/>
      </c>
    </row>
    <row r="321" spans="1:21" ht="12.75" customHeight="1">
      <c r="A321" s="4"/>
      <c r="B321" s="34"/>
      <c r="C321" s="5"/>
      <c r="D321" s="35"/>
      <c r="E321" s="34"/>
      <c r="F321" s="36"/>
      <c r="G321" s="39"/>
      <c r="H321" s="34"/>
      <c r="I321" s="36"/>
      <c r="J321" s="39"/>
      <c r="K321" s="38"/>
      <c r="L321" s="36"/>
      <c r="M321" s="39"/>
      <c r="N321" s="38"/>
      <c r="O321" s="36"/>
      <c r="P321" s="39"/>
      <c r="Q321" s="34"/>
      <c r="R321" s="36"/>
      <c r="S321" s="35"/>
      <c r="T321" s="34"/>
      <c r="U321" s="40" t="str">
        <f t="shared" si="4"/>
        <v/>
      </c>
    </row>
    <row r="322" spans="1:21" ht="12.75" customHeight="1">
      <c r="A322" s="4"/>
      <c r="B322" s="34"/>
      <c r="C322" s="5"/>
      <c r="D322" s="35"/>
      <c r="E322" s="34"/>
      <c r="F322" s="36"/>
      <c r="G322" s="39"/>
      <c r="H322" s="34"/>
      <c r="I322" s="36"/>
      <c r="J322" s="39"/>
      <c r="K322" s="38"/>
      <c r="L322" s="36"/>
      <c r="M322" s="39"/>
      <c r="N322" s="38"/>
      <c r="O322" s="36"/>
      <c r="P322" s="39"/>
      <c r="Q322" s="34"/>
      <c r="R322" s="36"/>
      <c r="S322" s="35"/>
      <c r="T322" s="34"/>
      <c r="U322" s="40" t="str">
        <f t="shared" si="4"/>
        <v/>
      </c>
    </row>
    <row r="323" spans="1:21" ht="12.75" customHeight="1">
      <c r="A323" s="4"/>
      <c r="B323" s="34"/>
      <c r="C323" s="5"/>
      <c r="D323" s="35"/>
      <c r="E323" s="34"/>
      <c r="F323" s="36"/>
      <c r="G323" s="39"/>
      <c r="H323" s="34"/>
      <c r="I323" s="36"/>
      <c r="J323" s="39"/>
      <c r="K323" s="38"/>
      <c r="L323" s="36"/>
      <c r="M323" s="39"/>
      <c r="N323" s="38"/>
      <c r="O323" s="36"/>
      <c r="P323" s="39"/>
      <c r="Q323" s="34"/>
      <c r="R323" s="36"/>
      <c r="S323" s="35"/>
      <c r="T323" s="34"/>
      <c r="U323" s="40" t="str">
        <f t="shared" si="4"/>
        <v/>
      </c>
    </row>
    <row r="324" spans="1:21" ht="12.75" customHeight="1">
      <c r="A324" s="4"/>
      <c r="B324" s="34"/>
      <c r="C324" s="5"/>
      <c r="D324" s="35"/>
      <c r="E324" s="34"/>
      <c r="F324" s="36"/>
      <c r="G324" s="39"/>
      <c r="H324" s="34"/>
      <c r="I324" s="36"/>
      <c r="J324" s="39"/>
      <c r="K324" s="38"/>
      <c r="L324" s="36"/>
      <c r="M324" s="39"/>
      <c r="N324" s="38"/>
      <c r="O324" s="36"/>
      <c r="P324" s="39"/>
      <c r="Q324" s="34"/>
      <c r="R324" s="36"/>
      <c r="S324" s="35"/>
      <c r="T324" s="34"/>
      <c r="U324" s="40" t="str">
        <f t="shared" si="4"/>
        <v/>
      </c>
    </row>
    <row r="325" spans="1:21" ht="12.75" customHeight="1">
      <c r="A325" s="4"/>
      <c r="B325" s="34"/>
      <c r="C325" s="5"/>
      <c r="D325" s="35"/>
      <c r="E325" s="34"/>
      <c r="F325" s="36"/>
      <c r="G325" s="39"/>
      <c r="H325" s="34"/>
      <c r="I325" s="36"/>
      <c r="J325" s="39"/>
      <c r="K325" s="38"/>
      <c r="L325" s="36"/>
      <c r="M325" s="39"/>
      <c r="N325" s="38"/>
      <c r="O325" s="36"/>
      <c r="P325" s="39"/>
      <c r="Q325" s="34"/>
      <c r="R325" s="36"/>
      <c r="S325" s="35"/>
      <c r="T325" s="34"/>
      <c r="U325" s="40" t="str">
        <f t="shared" si="4"/>
        <v/>
      </c>
    </row>
    <row r="326" spans="1:21" ht="12.75" customHeight="1">
      <c r="A326" s="4"/>
      <c r="B326" s="34"/>
      <c r="C326" s="5"/>
      <c r="D326" s="35"/>
      <c r="E326" s="34"/>
      <c r="F326" s="36"/>
      <c r="G326" s="39"/>
      <c r="H326" s="34"/>
      <c r="I326" s="36"/>
      <c r="J326" s="39"/>
      <c r="K326" s="38"/>
      <c r="L326" s="36"/>
      <c r="M326" s="39"/>
      <c r="N326" s="38"/>
      <c r="O326" s="36"/>
      <c r="P326" s="39"/>
      <c r="Q326" s="34"/>
      <c r="R326" s="36"/>
      <c r="S326" s="35"/>
      <c r="T326" s="34"/>
      <c r="U326" s="40" t="str">
        <f t="shared" si="4"/>
        <v/>
      </c>
    </row>
    <row r="327" spans="1:21" ht="12.75" customHeight="1">
      <c r="A327" s="4"/>
      <c r="B327" s="34"/>
      <c r="C327" s="5"/>
      <c r="D327" s="35"/>
      <c r="E327" s="34"/>
      <c r="F327" s="36"/>
      <c r="G327" s="39"/>
      <c r="H327" s="34"/>
      <c r="I327" s="36"/>
      <c r="J327" s="39"/>
      <c r="K327" s="38"/>
      <c r="L327" s="36"/>
      <c r="M327" s="39"/>
      <c r="N327" s="38"/>
      <c r="O327" s="36"/>
      <c r="P327" s="39"/>
      <c r="Q327" s="34"/>
      <c r="R327" s="36"/>
      <c r="S327" s="35"/>
      <c r="T327" s="34"/>
      <c r="U327" s="40" t="str">
        <f t="shared" si="4"/>
        <v/>
      </c>
    </row>
    <row r="328" spans="1:21" ht="12.75" customHeight="1">
      <c r="A328" s="4"/>
      <c r="B328" s="34"/>
      <c r="C328" s="5"/>
      <c r="D328" s="35"/>
      <c r="E328" s="34"/>
      <c r="F328" s="36"/>
      <c r="G328" s="39"/>
      <c r="H328" s="34"/>
      <c r="I328" s="36"/>
      <c r="J328" s="39"/>
      <c r="K328" s="38"/>
      <c r="L328" s="36"/>
      <c r="M328" s="39"/>
      <c r="N328" s="38"/>
      <c r="O328" s="36"/>
      <c r="P328" s="39"/>
      <c r="Q328" s="34"/>
      <c r="R328" s="36"/>
      <c r="S328" s="35"/>
      <c r="T328" s="34"/>
      <c r="U328" s="40" t="str">
        <f t="shared" si="4"/>
        <v/>
      </c>
    </row>
    <row r="329" spans="1:21" ht="12.75" customHeight="1">
      <c r="A329" s="4"/>
      <c r="B329" s="34"/>
      <c r="C329" s="5"/>
      <c r="D329" s="35"/>
      <c r="E329" s="34"/>
      <c r="F329" s="36"/>
      <c r="G329" s="39"/>
      <c r="H329" s="34"/>
      <c r="I329" s="36"/>
      <c r="J329" s="39"/>
      <c r="K329" s="38"/>
      <c r="L329" s="36"/>
      <c r="M329" s="39"/>
      <c r="N329" s="38"/>
      <c r="O329" s="36"/>
      <c r="P329" s="39"/>
      <c r="Q329" s="34"/>
      <c r="R329" s="36"/>
      <c r="S329" s="35"/>
      <c r="T329" s="34"/>
      <c r="U329" s="40" t="str">
        <f t="shared" si="4"/>
        <v/>
      </c>
    </row>
    <row r="330" spans="1:21" ht="12.75" customHeight="1">
      <c r="A330" s="4"/>
      <c r="B330" s="34"/>
      <c r="C330" s="5"/>
      <c r="D330" s="35"/>
      <c r="E330" s="34"/>
      <c r="F330" s="36"/>
      <c r="G330" s="39"/>
      <c r="H330" s="34"/>
      <c r="I330" s="36"/>
      <c r="J330" s="39"/>
      <c r="K330" s="38"/>
      <c r="L330" s="36"/>
      <c r="M330" s="39"/>
      <c r="N330" s="38"/>
      <c r="O330" s="36"/>
      <c r="P330" s="39"/>
      <c r="Q330" s="34"/>
      <c r="R330" s="36"/>
      <c r="S330" s="35"/>
      <c r="T330" s="34"/>
      <c r="U330" s="40" t="str">
        <f t="shared" si="4"/>
        <v/>
      </c>
    </row>
    <row r="331" spans="1:21" ht="12.75" customHeight="1">
      <c r="A331" s="4"/>
      <c r="B331" s="34"/>
      <c r="C331" s="5"/>
      <c r="D331" s="35"/>
      <c r="E331" s="34"/>
      <c r="F331" s="36"/>
      <c r="G331" s="39"/>
      <c r="H331" s="34"/>
      <c r="I331" s="36"/>
      <c r="J331" s="39"/>
      <c r="K331" s="38"/>
      <c r="L331" s="36"/>
      <c r="M331" s="39"/>
      <c r="N331" s="38"/>
      <c r="O331" s="36"/>
      <c r="P331" s="39"/>
      <c r="Q331" s="34"/>
      <c r="R331" s="36"/>
      <c r="S331" s="35"/>
      <c r="T331" s="34"/>
      <c r="U331" s="40" t="str">
        <f t="shared" si="4"/>
        <v/>
      </c>
    </row>
    <row r="332" spans="1:21" ht="12.75" customHeight="1">
      <c r="A332" s="4"/>
      <c r="B332" s="34"/>
      <c r="C332" s="5"/>
      <c r="D332" s="35"/>
      <c r="E332" s="34"/>
      <c r="F332" s="36"/>
      <c r="G332" s="39"/>
      <c r="H332" s="34"/>
      <c r="I332" s="36"/>
      <c r="J332" s="39"/>
      <c r="K332" s="38"/>
      <c r="L332" s="36"/>
      <c r="M332" s="39"/>
      <c r="N332" s="38"/>
      <c r="O332" s="36"/>
      <c r="P332" s="39"/>
      <c r="Q332" s="34"/>
      <c r="R332" s="36"/>
      <c r="S332" s="35"/>
      <c r="T332" s="34"/>
      <c r="U332" s="40" t="str">
        <f t="shared" si="4"/>
        <v/>
      </c>
    </row>
    <row r="333" spans="1:21" ht="12.75" customHeight="1">
      <c r="A333" s="4"/>
      <c r="B333" s="34"/>
      <c r="C333" s="5"/>
      <c r="D333" s="35"/>
      <c r="E333" s="34"/>
      <c r="F333" s="36"/>
      <c r="G333" s="39"/>
      <c r="H333" s="34"/>
      <c r="I333" s="36"/>
      <c r="J333" s="39"/>
      <c r="K333" s="38"/>
      <c r="L333" s="36"/>
      <c r="M333" s="39"/>
      <c r="N333" s="38"/>
      <c r="O333" s="36"/>
      <c r="P333" s="39"/>
      <c r="Q333" s="34"/>
      <c r="R333" s="36"/>
      <c r="S333" s="35"/>
      <c r="T333" s="34"/>
      <c r="U333" s="40" t="str">
        <f t="shared" si="4"/>
        <v/>
      </c>
    </row>
    <row r="334" spans="1:21" ht="12.75" customHeight="1">
      <c r="A334" s="4"/>
      <c r="B334" s="34"/>
      <c r="C334" s="5"/>
      <c r="D334" s="35"/>
      <c r="E334" s="34"/>
      <c r="F334" s="36"/>
      <c r="G334" s="39"/>
      <c r="H334" s="34"/>
      <c r="I334" s="36"/>
      <c r="J334" s="39"/>
      <c r="K334" s="38"/>
      <c r="L334" s="36"/>
      <c r="M334" s="39"/>
      <c r="N334" s="38"/>
      <c r="O334" s="36"/>
      <c r="P334" s="39"/>
      <c r="Q334" s="34"/>
      <c r="R334" s="36"/>
      <c r="S334" s="35"/>
      <c r="T334" s="34"/>
      <c r="U334" s="40" t="str">
        <f t="shared" ref="U334:U352" si="5">IF(OR(E334="a",H334="a",K334="a",N334="a",Q334="a",T334="a"),"a",IF(OR(E334="In Process",H334="In Process",K334="In PRocess",N334="In Process",Q334="In Process",T334="In Process"),"X",""))</f>
        <v/>
      </c>
    </row>
    <row r="335" spans="1:21" ht="12.75" customHeight="1">
      <c r="A335" s="4"/>
      <c r="B335" s="34"/>
      <c r="C335" s="5"/>
      <c r="D335" s="35"/>
      <c r="E335" s="34"/>
      <c r="F335" s="36"/>
      <c r="G335" s="39"/>
      <c r="H335" s="34"/>
      <c r="I335" s="36"/>
      <c r="J335" s="39"/>
      <c r="K335" s="38"/>
      <c r="L335" s="36"/>
      <c r="M335" s="39"/>
      <c r="N335" s="38"/>
      <c r="O335" s="36"/>
      <c r="P335" s="39"/>
      <c r="Q335" s="34"/>
      <c r="R335" s="36"/>
      <c r="S335" s="35"/>
      <c r="T335" s="34"/>
      <c r="U335" s="40" t="str">
        <f t="shared" si="5"/>
        <v/>
      </c>
    </row>
    <row r="336" spans="1:21" ht="12.75" customHeight="1">
      <c r="A336" s="4"/>
      <c r="B336" s="34"/>
      <c r="C336" s="5"/>
      <c r="D336" s="35"/>
      <c r="E336" s="34"/>
      <c r="F336" s="36"/>
      <c r="G336" s="39"/>
      <c r="H336" s="34"/>
      <c r="I336" s="36"/>
      <c r="J336" s="39"/>
      <c r="K336" s="38"/>
      <c r="L336" s="36"/>
      <c r="M336" s="39"/>
      <c r="N336" s="38"/>
      <c r="O336" s="36"/>
      <c r="P336" s="39"/>
      <c r="Q336" s="34"/>
      <c r="R336" s="36"/>
      <c r="S336" s="35"/>
      <c r="T336" s="34"/>
      <c r="U336" s="40" t="str">
        <f t="shared" si="5"/>
        <v/>
      </c>
    </row>
    <row r="337" spans="1:21" ht="12.75" customHeight="1">
      <c r="A337" s="4"/>
      <c r="B337" s="34"/>
      <c r="C337" s="5"/>
      <c r="D337" s="35"/>
      <c r="E337" s="34"/>
      <c r="F337" s="36"/>
      <c r="G337" s="39"/>
      <c r="H337" s="34"/>
      <c r="I337" s="36"/>
      <c r="J337" s="39"/>
      <c r="K337" s="38"/>
      <c r="L337" s="36"/>
      <c r="M337" s="39"/>
      <c r="N337" s="38"/>
      <c r="O337" s="36"/>
      <c r="P337" s="39"/>
      <c r="Q337" s="34"/>
      <c r="R337" s="36"/>
      <c r="S337" s="35"/>
      <c r="T337" s="34"/>
      <c r="U337" s="40" t="str">
        <f t="shared" si="5"/>
        <v/>
      </c>
    </row>
    <row r="338" spans="1:21" ht="12.75" customHeight="1">
      <c r="A338" s="4"/>
      <c r="B338" s="34"/>
      <c r="C338" s="5"/>
      <c r="D338" s="35"/>
      <c r="E338" s="34"/>
      <c r="F338" s="36"/>
      <c r="G338" s="39"/>
      <c r="H338" s="34"/>
      <c r="I338" s="36"/>
      <c r="J338" s="39"/>
      <c r="K338" s="38"/>
      <c r="L338" s="36"/>
      <c r="M338" s="39"/>
      <c r="N338" s="38"/>
      <c r="O338" s="36"/>
      <c r="P338" s="39"/>
      <c r="Q338" s="34"/>
      <c r="R338" s="36"/>
      <c r="S338" s="35"/>
      <c r="T338" s="34"/>
      <c r="U338" s="40" t="str">
        <f t="shared" si="5"/>
        <v/>
      </c>
    </row>
    <row r="339" spans="1:21" ht="12.75" customHeight="1">
      <c r="A339" s="4"/>
      <c r="B339" s="34"/>
      <c r="C339" s="5"/>
      <c r="D339" s="35"/>
      <c r="E339" s="34"/>
      <c r="F339" s="36"/>
      <c r="G339" s="39"/>
      <c r="H339" s="34"/>
      <c r="I339" s="36"/>
      <c r="J339" s="39"/>
      <c r="K339" s="38"/>
      <c r="L339" s="36"/>
      <c r="M339" s="39"/>
      <c r="N339" s="38"/>
      <c r="O339" s="36"/>
      <c r="P339" s="39"/>
      <c r="Q339" s="34"/>
      <c r="R339" s="36"/>
      <c r="S339" s="35"/>
      <c r="T339" s="34"/>
      <c r="U339" s="40" t="str">
        <f t="shared" si="5"/>
        <v/>
      </c>
    </row>
    <row r="340" spans="1:21" ht="12.75" customHeight="1">
      <c r="A340" s="4"/>
      <c r="B340" s="34"/>
      <c r="C340" s="5"/>
      <c r="D340" s="35"/>
      <c r="E340" s="34"/>
      <c r="F340" s="36"/>
      <c r="G340" s="39"/>
      <c r="H340" s="34"/>
      <c r="I340" s="36"/>
      <c r="J340" s="39"/>
      <c r="K340" s="38"/>
      <c r="L340" s="36"/>
      <c r="M340" s="39"/>
      <c r="N340" s="38"/>
      <c r="O340" s="36"/>
      <c r="P340" s="39"/>
      <c r="Q340" s="34"/>
      <c r="R340" s="36"/>
      <c r="S340" s="35"/>
      <c r="T340" s="34"/>
      <c r="U340" s="40" t="str">
        <f t="shared" si="5"/>
        <v/>
      </c>
    </row>
    <row r="341" spans="1:21" ht="12.75" customHeight="1">
      <c r="A341" s="4"/>
      <c r="B341" s="34"/>
      <c r="C341" s="5"/>
      <c r="D341" s="35"/>
      <c r="E341" s="34"/>
      <c r="F341" s="36"/>
      <c r="G341" s="39"/>
      <c r="H341" s="34"/>
      <c r="I341" s="36"/>
      <c r="J341" s="39"/>
      <c r="K341" s="38"/>
      <c r="L341" s="36"/>
      <c r="M341" s="39"/>
      <c r="N341" s="38"/>
      <c r="O341" s="36"/>
      <c r="P341" s="39"/>
      <c r="Q341" s="34"/>
      <c r="R341" s="36"/>
      <c r="S341" s="35"/>
      <c r="T341" s="34"/>
      <c r="U341" s="40" t="str">
        <f t="shared" si="5"/>
        <v/>
      </c>
    </row>
    <row r="342" spans="1:21" ht="12.75" customHeight="1">
      <c r="A342" s="4"/>
      <c r="B342" s="34"/>
      <c r="C342" s="5"/>
      <c r="D342" s="35"/>
      <c r="E342" s="34"/>
      <c r="F342" s="36"/>
      <c r="G342" s="39"/>
      <c r="H342" s="34"/>
      <c r="I342" s="36"/>
      <c r="J342" s="39"/>
      <c r="K342" s="38"/>
      <c r="L342" s="36"/>
      <c r="M342" s="39"/>
      <c r="N342" s="38"/>
      <c r="O342" s="36"/>
      <c r="P342" s="39"/>
      <c r="Q342" s="34"/>
      <c r="R342" s="36"/>
      <c r="S342" s="35"/>
      <c r="T342" s="34"/>
      <c r="U342" s="40" t="str">
        <f t="shared" si="5"/>
        <v/>
      </c>
    </row>
    <row r="343" spans="1:21" ht="12.75" customHeight="1">
      <c r="A343" s="4"/>
      <c r="B343" s="34"/>
      <c r="C343" s="5"/>
      <c r="D343" s="35"/>
      <c r="E343" s="34"/>
      <c r="F343" s="36"/>
      <c r="G343" s="39"/>
      <c r="H343" s="34"/>
      <c r="I343" s="36"/>
      <c r="J343" s="39"/>
      <c r="K343" s="38"/>
      <c r="L343" s="36"/>
      <c r="M343" s="39"/>
      <c r="N343" s="38"/>
      <c r="O343" s="36"/>
      <c r="P343" s="39"/>
      <c r="Q343" s="34"/>
      <c r="R343" s="36"/>
      <c r="S343" s="35"/>
      <c r="T343" s="34"/>
      <c r="U343" s="40" t="str">
        <f t="shared" si="5"/>
        <v/>
      </c>
    </row>
    <row r="344" spans="1:21" ht="12.75" customHeight="1">
      <c r="A344" s="4"/>
      <c r="B344" s="34"/>
      <c r="C344" s="5"/>
      <c r="D344" s="35"/>
      <c r="E344" s="34"/>
      <c r="F344" s="36"/>
      <c r="G344" s="39"/>
      <c r="H344" s="34"/>
      <c r="I344" s="36"/>
      <c r="J344" s="39"/>
      <c r="K344" s="38"/>
      <c r="L344" s="36"/>
      <c r="M344" s="39"/>
      <c r="N344" s="38"/>
      <c r="O344" s="36"/>
      <c r="P344" s="39"/>
      <c r="Q344" s="34"/>
      <c r="R344" s="36"/>
      <c r="S344" s="35"/>
      <c r="T344" s="34"/>
      <c r="U344" s="40" t="str">
        <f t="shared" si="5"/>
        <v/>
      </c>
    </row>
    <row r="345" spans="1:21" ht="12.75" customHeight="1">
      <c r="A345" s="4"/>
      <c r="B345" s="34"/>
      <c r="C345" s="5"/>
      <c r="D345" s="35"/>
      <c r="E345" s="34"/>
      <c r="F345" s="36"/>
      <c r="G345" s="39"/>
      <c r="H345" s="34"/>
      <c r="I345" s="36"/>
      <c r="J345" s="39"/>
      <c r="K345" s="38"/>
      <c r="L345" s="36"/>
      <c r="M345" s="39"/>
      <c r="N345" s="38"/>
      <c r="O345" s="36"/>
      <c r="P345" s="39"/>
      <c r="Q345" s="34"/>
      <c r="R345" s="36"/>
      <c r="S345" s="35"/>
      <c r="T345" s="34"/>
      <c r="U345" s="40" t="str">
        <f t="shared" si="5"/>
        <v/>
      </c>
    </row>
    <row r="346" spans="1:21" ht="12.75" customHeight="1">
      <c r="A346" s="4"/>
      <c r="B346" s="34"/>
      <c r="C346" s="5"/>
      <c r="D346" s="35"/>
      <c r="E346" s="34"/>
      <c r="F346" s="36"/>
      <c r="G346" s="39"/>
      <c r="H346" s="34"/>
      <c r="I346" s="36"/>
      <c r="J346" s="39"/>
      <c r="K346" s="38"/>
      <c r="L346" s="36"/>
      <c r="M346" s="39"/>
      <c r="N346" s="38"/>
      <c r="O346" s="36"/>
      <c r="P346" s="39"/>
      <c r="Q346" s="34"/>
      <c r="R346" s="36"/>
      <c r="S346" s="35"/>
      <c r="T346" s="34"/>
      <c r="U346" s="40" t="str">
        <f t="shared" si="5"/>
        <v/>
      </c>
    </row>
    <row r="347" spans="1:21" ht="12.75" customHeight="1">
      <c r="A347" s="4"/>
      <c r="B347" s="34"/>
      <c r="C347" s="5"/>
      <c r="D347" s="35"/>
      <c r="E347" s="34"/>
      <c r="F347" s="36"/>
      <c r="G347" s="39"/>
      <c r="H347" s="34"/>
      <c r="I347" s="36"/>
      <c r="J347" s="39"/>
      <c r="K347" s="38"/>
      <c r="L347" s="36"/>
      <c r="M347" s="39"/>
      <c r="N347" s="38"/>
      <c r="O347" s="36"/>
      <c r="P347" s="39"/>
      <c r="Q347" s="34"/>
      <c r="R347" s="36"/>
      <c r="S347" s="35"/>
      <c r="T347" s="34"/>
      <c r="U347" s="40" t="str">
        <f t="shared" si="5"/>
        <v/>
      </c>
    </row>
    <row r="348" spans="1:21" ht="12.75" customHeight="1">
      <c r="A348" s="4"/>
      <c r="B348" s="34"/>
      <c r="C348" s="5"/>
      <c r="D348" s="35"/>
      <c r="E348" s="34"/>
      <c r="F348" s="36"/>
      <c r="G348" s="39"/>
      <c r="H348" s="34"/>
      <c r="I348" s="36"/>
      <c r="J348" s="39"/>
      <c r="K348" s="38"/>
      <c r="L348" s="36"/>
      <c r="M348" s="39"/>
      <c r="N348" s="38"/>
      <c r="O348" s="36"/>
      <c r="P348" s="39"/>
      <c r="Q348" s="34"/>
      <c r="R348" s="36"/>
      <c r="S348" s="35"/>
      <c r="T348" s="34"/>
      <c r="U348" s="40" t="str">
        <f t="shared" si="5"/>
        <v/>
      </c>
    </row>
    <row r="349" spans="1:21" ht="12.75" customHeight="1">
      <c r="A349" s="4"/>
      <c r="B349" s="34"/>
      <c r="C349" s="5"/>
      <c r="D349" s="35"/>
      <c r="E349" s="34"/>
      <c r="F349" s="36"/>
      <c r="G349" s="39"/>
      <c r="H349" s="34"/>
      <c r="I349" s="36"/>
      <c r="J349" s="39"/>
      <c r="K349" s="38"/>
      <c r="L349" s="36"/>
      <c r="M349" s="39"/>
      <c r="N349" s="38"/>
      <c r="O349" s="36"/>
      <c r="P349" s="39"/>
      <c r="Q349" s="34"/>
      <c r="R349" s="36"/>
      <c r="S349" s="35"/>
      <c r="T349" s="34"/>
      <c r="U349" s="40" t="str">
        <f t="shared" si="5"/>
        <v/>
      </c>
    </row>
    <row r="350" spans="1:21" ht="12.75" customHeight="1">
      <c r="A350" s="4"/>
      <c r="B350" s="34"/>
      <c r="C350" s="5"/>
      <c r="D350" s="35"/>
      <c r="E350" s="34"/>
      <c r="F350" s="36"/>
      <c r="G350" s="39"/>
      <c r="H350" s="34"/>
      <c r="I350" s="36"/>
      <c r="J350" s="39"/>
      <c r="K350" s="38"/>
      <c r="L350" s="36"/>
      <c r="M350" s="39"/>
      <c r="N350" s="38"/>
      <c r="O350" s="36"/>
      <c r="P350" s="39"/>
      <c r="Q350" s="34"/>
      <c r="R350" s="36"/>
      <c r="S350" s="35"/>
      <c r="T350" s="34" t="str">
        <f>IF(Table1[[#This Row],[Start 6]]="","",IF(S350&gt;0,"Paid",IF(ISNA(MATCH(_xlfn.CONCAT(Table1[[#This Row],[PATIENTS NAME]],DATEVALUE(Table1[[#This Row],[Start 6]])),#REF!,0)),"","In Process")))</f>
        <v/>
      </c>
      <c r="U350" s="40" t="str">
        <f t="shared" si="5"/>
        <v/>
      </c>
    </row>
    <row r="351" spans="1:21" ht="12.75" customHeight="1">
      <c r="A351" s="4"/>
      <c r="B351" s="34"/>
      <c r="C351" s="5"/>
      <c r="D351" s="35"/>
      <c r="E351" s="34"/>
      <c r="F351" s="36"/>
      <c r="G351" s="39"/>
      <c r="H351" s="34"/>
      <c r="I351" s="36"/>
      <c r="J351" s="39"/>
      <c r="K351" s="38"/>
      <c r="L351" s="36"/>
      <c r="M351" s="39"/>
      <c r="N351" s="38"/>
      <c r="O351" s="36"/>
      <c r="P351" s="39"/>
      <c r="Q351" s="34"/>
      <c r="R351" s="36"/>
      <c r="S351" s="35"/>
      <c r="T351" s="34" t="str">
        <f>IF(Table1[[#This Row],[Start 6]]="","",IF(S351&gt;0,"Paid",IF(ISNA(MATCH(_xlfn.CONCAT(Table1[[#This Row],[PATIENTS NAME]],DATEVALUE(Table1[[#This Row],[Start 6]])),#REF!,0)),"","In Process")))</f>
        <v/>
      </c>
      <c r="U351" s="40" t="str">
        <f t="shared" si="5"/>
        <v/>
      </c>
    </row>
    <row r="352" spans="1:21" ht="15.75" customHeight="1">
      <c r="F352" s="3"/>
      <c r="I352" s="3"/>
      <c r="L352" s="3"/>
      <c r="O352" s="3"/>
      <c r="Q352" s="34"/>
      <c r="R352" s="3"/>
      <c r="U352" s="41" t="str">
        <f t="shared" si="5"/>
        <v/>
      </c>
    </row>
  </sheetData>
  <customSheetViews>
    <customSheetView guid="{A0CAE20E-9122-4930-BCDD-9DF555004942}" filter="1" showAutoFilter="1">
      <pageMargins left="0.7" right="0.7" top="0.75" bottom="0.75" header="0.3" footer="0.3"/>
      <autoFilter ref="A2:V1032" xr:uid="{10D68F51-051C-40CB-9FDD-7AD69B234ADC}">
        <sortState xmlns:xlrd2="http://schemas.microsoft.com/office/spreadsheetml/2017/richdata2" ref="A2:V1032">
          <sortCondition ref="A2:A1032"/>
          <sortCondition ref="H2:H1032"/>
          <sortCondition ref="B2:B1032"/>
          <sortCondition ref="E2:E1032"/>
          <sortCondition ref="T2:T1032"/>
          <sortCondition ref="Q2:Q1032"/>
          <sortCondition ref="N2:N1032"/>
          <sortCondition ref="K2:K1032"/>
        </sortState>
      </autoFilter>
    </customSheetView>
  </customSheetViews>
  <phoneticPr fontId="0" type="noConversion"/>
  <conditionalFormatting sqref="B1:B351">
    <cfRule type="cellIs" dxfId="4" priority="1" operator="equal">
      <formula>"Approved"</formula>
    </cfRule>
    <cfRule type="cellIs" dxfId="3" priority="2" operator="equal">
      <formula>"Accepted"</formula>
    </cfRule>
  </conditionalFormatting>
  <conditionalFormatting sqref="C1">
    <cfRule type="cellIs" dxfId="2" priority="3" operator="equal">
      <formula>"Approved"</formula>
    </cfRule>
    <cfRule type="cellIs" dxfId="1" priority="4" operator="equal">
      <formula>"Accepted"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I573"/>
  <sheetViews>
    <sheetView topLeftCell="A354" workbookViewId="0">
      <selection activeCell="F376" sqref="F376"/>
    </sheetView>
  </sheetViews>
  <sheetFormatPr defaultColWidth="15.140625" defaultRowHeight="15.75" customHeight="1"/>
  <cols>
    <col min="1" max="2" width="13.5703125" customWidth="1"/>
    <col min="3" max="3" width="15.5703125" style="11" bestFit="1" customWidth="1"/>
    <col min="4" max="4" width="15.42578125" style="11" bestFit="1" customWidth="1"/>
    <col min="5" max="5" width="14.42578125" style="11" bestFit="1" customWidth="1"/>
    <col min="6" max="6" width="12.5703125" bestFit="1" customWidth="1"/>
  </cols>
  <sheetData>
    <row r="1" spans="1:9" ht="15.75" customHeight="1">
      <c r="A1" s="2" t="s">
        <v>132</v>
      </c>
      <c r="B1" s="2" t="s">
        <v>133</v>
      </c>
      <c r="C1" s="10" t="s">
        <v>134</v>
      </c>
      <c r="D1" s="10" t="s">
        <v>135</v>
      </c>
      <c r="E1" s="11" t="s">
        <v>136</v>
      </c>
      <c r="F1" s="15" t="s">
        <v>137</v>
      </c>
      <c r="G1" s="15"/>
      <c r="H1" s="15"/>
      <c r="I1" s="15" t="s">
        <v>138</v>
      </c>
    </row>
    <row r="2" spans="1:9" ht="15.6" customHeight="1">
      <c r="A2" s="69" t="s">
        <v>139</v>
      </c>
      <c r="B2" s="70"/>
      <c r="C2" s="71"/>
    </row>
    <row r="3" spans="1:9" ht="15.6" customHeight="1">
      <c r="A3" s="62">
        <v>45597</v>
      </c>
      <c r="B3" s="8">
        <v>45601</v>
      </c>
      <c r="C3" s="63">
        <v>2625.45</v>
      </c>
      <c r="F3" t="s">
        <v>140</v>
      </c>
    </row>
    <row r="4" spans="1:9" ht="15.6" customHeight="1">
      <c r="A4" s="62">
        <v>45600</v>
      </c>
      <c r="B4" s="8">
        <v>45602</v>
      </c>
      <c r="C4" s="63"/>
    </row>
    <row r="5" spans="1:9" ht="15.6" customHeight="1">
      <c r="A5" s="62">
        <v>45601</v>
      </c>
      <c r="B5" s="8">
        <v>45603</v>
      </c>
      <c r="C5" s="63"/>
    </row>
    <row r="6" spans="1:9" ht="15.6" customHeight="1">
      <c r="A6" s="62">
        <v>45602</v>
      </c>
      <c r="B6" s="8">
        <v>45604</v>
      </c>
      <c r="C6" s="63"/>
    </row>
    <row r="7" spans="1:9" ht="15.6" customHeight="1">
      <c r="A7" s="62">
        <v>45603</v>
      </c>
      <c r="B7" s="8">
        <v>45607</v>
      </c>
      <c r="C7" s="63"/>
    </row>
    <row r="8" spans="1:9" ht="15.6" customHeight="1">
      <c r="A8" s="62">
        <v>45604</v>
      </c>
      <c r="B8" s="8">
        <v>45608</v>
      </c>
      <c r="C8" s="63"/>
    </row>
    <row r="9" spans="1:9" ht="15.6" customHeight="1">
      <c r="A9" s="62">
        <v>45607</v>
      </c>
      <c r="B9" s="8">
        <v>45609</v>
      </c>
      <c r="C9" s="63"/>
    </row>
    <row r="10" spans="1:9" ht="15.6" customHeight="1">
      <c r="A10" s="62">
        <v>45608</v>
      </c>
      <c r="B10" s="8">
        <v>45610</v>
      </c>
      <c r="C10" s="63"/>
    </row>
    <row r="11" spans="1:9" ht="15.6" customHeight="1">
      <c r="A11" s="62">
        <v>45609</v>
      </c>
      <c r="B11" s="8">
        <v>45611</v>
      </c>
      <c r="C11" s="63"/>
    </row>
    <row r="12" spans="1:9" ht="15.6" customHeight="1">
      <c r="A12" s="62">
        <v>45610</v>
      </c>
      <c r="B12" s="8">
        <v>45614</v>
      </c>
      <c r="C12" s="63"/>
    </row>
    <row r="13" spans="1:9" ht="15.6" customHeight="1">
      <c r="A13" s="62">
        <v>45611</v>
      </c>
      <c r="B13" s="8">
        <v>45615</v>
      </c>
      <c r="C13" s="63"/>
    </row>
    <row r="14" spans="1:9" ht="15.6" customHeight="1">
      <c r="A14" s="62">
        <v>45614</v>
      </c>
      <c r="B14" s="8">
        <v>45616</v>
      </c>
      <c r="C14" s="63">
        <v>14547.15</v>
      </c>
      <c r="F14" t="s">
        <v>140</v>
      </c>
    </row>
    <row r="15" spans="1:9" ht="15.6" customHeight="1">
      <c r="A15" s="62">
        <v>45615</v>
      </c>
      <c r="B15" s="8">
        <v>45617</v>
      </c>
      <c r="C15" s="63"/>
    </row>
    <row r="16" spans="1:9" ht="15.6" customHeight="1">
      <c r="A16" s="62">
        <v>45616</v>
      </c>
      <c r="B16" s="8">
        <v>45618</v>
      </c>
      <c r="C16" s="63"/>
    </row>
    <row r="17" spans="1:6" ht="15.6" customHeight="1">
      <c r="A17" s="62">
        <v>45617</v>
      </c>
      <c r="B17" s="8">
        <v>45621</v>
      </c>
      <c r="C17" s="63">
        <v>50881.16</v>
      </c>
      <c r="F17" t="s">
        <v>140</v>
      </c>
    </row>
    <row r="18" spans="1:6" ht="15.6" customHeight="1">
      <c r="A18" s="62">
        <v>45618</v>
      </c>
      <c r="B18" s="8">
        <v>45622</v>
      </c>
      <c r="C18" s="63">
        <v>11918.29</v>
      </c>
      <c r="F18" t="s">
        <v>140</v>
      </c>
    </row>
    <row r="19" spans="1:6" ht="15.6" customHeight="1">
      <c r="A19" s="62">
        <v>45621</v>
      </c>
      <c r="B19" s="8">
        <v>45623</v>
      </c>
      <c r="C19" s="63">
        <v>759.5</v>
      </c>
      <c r="F19" t="s">
        <v>140</v>
      </c>
    </row>
    <row r="20" spans="1:6" ht="15.6" customHeight="1">
      <c r="A20" s="62">
        <v>45622</v>
      </c>
      <c r="B20" s="8">
        <v>45624</v>
      </c>
      <c r="C20" s="63"/>
    </row>
    <row r="21" spans="1:6" ht="15.6" customHeight="1">
      <c r="A21" s="62">
        <v>45623</v>
      </c>
      <c r="B21" s="8">
        <v>45625</v>
      </c>
      <c r="C21" s="63"/>
    </row>
    <row r="22" spans="1:6" ht="15.6" customHeight="1">
      <c r="A22" s="62">
        <v>45624</v>
      </c>
      <c r="B22" s="8">
        <v>45628</v>
      </c>
      <c r="C22" s="63"/>
    </row>
    <row r="23" spans="1:6" ht="15.6" customHeight="1">
      <c r="A23" s="62">
        <v>45625</v>
      </c>
      <c r="B23" s="8">
        <v>45629</v>
      </c>
      <c r="C23" s="63"/>
    </row>
    <row r="24" spans="1:6" ht="15.6" customHeight="1">
      <c r="A24" s="64" t="s">
        <v>141</v>
      </c>
      <c r="B24" s="65"/>
      <c r="C24" s="66">
        <f>SUM(C3:C23)</f>
        <v>80731.550000000017</v>
      </c>
    </row>
    <row r="25" spans="1:6" ht="15.6" customHeight="1">
      <c r="A25" s="69" t="s">
        <v>142</v>
      </c>
      <c r="B25" s="70"/>
      <c r="C25" s="71"/>
    </row>
    <row r="26" spans="1:6" ht="15.6" customHeight="1">
      <c r="A26" s="62">
        <v>45628</v>
      </c>
      <c r="B26" s="8">
        <v>45630</v>
      </c>
      <c r="C26" s="63"/>
    </row>
    <row r="27" spans="1:6" ht="15.6" customHeight="1">
      <c r="A27" s="62">
        <v>45629</v>
      </c>
      <c r="B27" s="8">
        <v>45631</v>
      </c>
      <c r="C27" s="63"/>
    </row>
    <row r="28" spans="1:6" ht="15.6" customHeight="1">
      <c r="A28" s="62">
        <v>45630</v>
      </c>
      <c r="B28" s="8">
        <v>45632</v>
      </c>
      <c r="C28" s="63">
        <v>2550.88</v>
      </c>
      <c r="F28" t="s">
        <v>140</v>
      </c>
    </row>
    <row r="29" spans="1:6" ht="15.6" customHeight="1">
      <c r="A29" s="62">
        <v>45631</v>
      </c>
      <c r="B29" s="8">
        <v>45635</v>
      </c>
      <c r="C29" s="63"/>
    </row>
    <row r="30" spans="1:6" ht="15.6" customHeight="1">
      <c r="A30" s="62">
        <v>45632</v>
      </c>
      <c r="B30" s="8">
        <v>45636</v>
      </c>
      <c r="C30" s="63"/>
    </row>
    <row r="31" spans="1:6" ht="15.6" customHeight="1">
      <c r="A31" s="62">
        <v>45635</v>
      </c>
      <c r="B31" s="8">
        <v>45637</v>
      </c>
      <c r="C31" s="63"/>
    </row>
    <row r="32" spans="1:6" ht="15.6" customHeight="1">
      <c r="A32" s="62">
        <v>45636</v>
      </c>
      <c r="B32" s="8">
        <v>45638</v>
      </c>
      <c r="C32" s="63"/>
    </row>
    <row r="33" spans="1:6" ht="15.6" customHeight="1">
      <c r="A33" s="62">
        <v>45637</v>
      </c>
      <c r="B33" s="8">
        <v>45639</v>
      </c>
      <c r="C33" s="63"/>
    </row>
    <row r="34" spans="1:6" ht="15.6" customHeight="1">
      <c r="A34" s="62">
        <v>45638</v>
      </c>
      <c r="B34" s="8">
        <v>45642</v>
      </c>
      <c r="C34" s="63"/>
    </row>
    <row r="35" spans="1:6" ht="15.6" customHeight="1">
      <c r="A35" s="62">
        <v>45639</v>
      </c>
      <c r="B35" s="8">
        <v>45643</v>
      </c>
      <c r="C35" s="63"/>
    </row>
    <row r="36" spans="1:6" ht="15.6" customHeight="1">
      <c r="A36" s="62">
        <v>45642</v>
      </c>
      <c r="B36" s="8">
        <v>45644</v>
      </c>
      <c r="C36" s="63"/>
    </row>
    <row r="37" spans="1:6" ht="15.6" customHeight="1">
      <c r="A37" s="62">
        <v>45643</v>
      </c>
      <c r="B37" s="8">
        <v>45645</v>
      </c>
      <c r="C37" s="63"/>
    </row>
    <row r="38" spans="1:6" ht="15.6" customHeight="1">
      <c r="A38" s="62">
        <v>45644</v>
      </c>
      <c r="B38" s="8">
        <v>45646</v>
      </c>
      <c r="C38" s="63"/>
    </row>
    <row r="39" spans="1:6" ht="15.6" customHeight="1">
      <c r="A39" s="62">
        <v>45645</v>
      </c>
      <c r="B39" s="8">
        <v>45649</v>
      </c>
      <c r="C39" s="63"/>
    </row>
    <row r="40" spans="1:6" ht="15.6" customHeight="1">
      <c r="A40" s="62">
        <v>45646</v>
      </c>
      <c r="B40" s="8">
        <v>45650</v>
      </c>
      <c r="C40" s="63"/>
    </row>
    <row r="41" spans="1:6" ht="15.6" customHeight="1">
      <c r="A41" s="62">
        <v>45649</v>
      </c>
      <c r="B41" s="8">
        <v>45651</v>
      </c>
      <c r="C41" s="63">
        <v>8019.01</v>
      </c>
      <c r="F41" t="s">
        <v>140</v>
      </c>
    </row>
    <row r="42" spans="1:6" ht="15.6" customHeight="1">
      <c r="A42" s="62">
        <v>45650</v>
      </c>
      <c r="B42" s="8">
        <v>45652</v>
      </c>
      <c r="C42" s="63"/>
    </row>
    <row r="43" spans="1:6" ht="15.6" customHeight="1">
      <c r="A43" s="62">
        <v>45651</v>
      </c>
      <c r="B43" s="8">
        <v>45653</v>
      </c>
      <c r="C43" s="63"/>
    </row>
    <row r="44" spans="1:6" ht="15.6" customHeight="1">
      <c r="A44" s="62">
        <v>45652</v>
      </c>
      <c r="B44" s="8">
        <v>45656</v>
      </c>
      <c r="C44" s="63"/>
    </row>
    <row r="45" spans="1:6" ht="15.6" customHeight="1">
      <c r="A45" s="62">
        <v>45653</v>
      </c>
      <c r="B45" s="8">
        <v>45657</v>
      </c>
      <c r="C45" s="63"/>
    </row>
    <row r="46" spans="1:6" ht="15.6" customHeight="1">
      <c r="A46" s="62">
        <v>45654</v>
      </c>
      <c r="B46" s="8">
        <v>45658</v>
      </c>
      <c r="C46" s="63"/>
    </row>
    <row r="47" spans="1:6" ht="15.6" customHeight="1">
      <c r="A47" s="62">
        <v>45656</v>
      </c>
      <c r="B47" s="8">
        <v>45658</v>
      </c>
      <c r="C47" s="63"/>
    </row>
    <row r="48" spans="1:6" ht="15.6" customHeight="1">
      <c r="A48" s="62">
        <v>45657</v>
      </c>
      <c r="B48" s="8">
        <v>45659</v>
      </c>
      <c r="C48" s="63"/>
    </row>
    <row r="49" spans="1:6" ht="15.6" customHeight="1">
      <c r="A49" s="64" t="s">
        <v>141</v>
      </c>
      <c r="B49" s="65"/>
      <c r="C49" s="66">
        <f>SUM(C26:C48)</f>
        <v>10569.89</v>
      </c>
    </row>
    <row r="50" spans="1:6" ht="15.75" customHeight="1">
      <c r="A50" s="62">
        <v>45659</v>
      </c>
      <c r="B50" s="8">
        <v>45663</v>
      </c>
      <c r="C50" s="63">
        <v>17714.509999999998</v>
      </c>
      <c r="F50" t="s">
        <v>140</v>
      </c>
    </row>
    <row r="51" spans="1:6" ht="15.75" customHeight="1">
      <c r="A51" s="62">
        <v>45660</v>
      </c>
      <c r="B51" s="8">
        <v>45664</v>
      </c>
      <c r="C51" s="63"/>
    </row>
    <row r="52" spans="1:6" ht="15.75" customHeight="1">
      <c r="A52" s="62">
        <v>45663</v>
      </c>
      <c r="B52" s="8">
        <v>45665</v>
      </c>
      <c r="C52" s="63">
        <v>3441.21</v>
      </c>
      <c r="F52" t="s">
        <v>140</v>
      </c>
    </row>
    <row r="53" spans="1:6" ht="15.75" customHeight="1">
      <c r="A53" s="62">
        <v>45664</v>
      </c>
      <c r="B53" s="8">
        <v>45666</v>
      </c>
      <c r="C53" s="63"/>
    </row>
    <row r="54" spans="1:6" ht="15.75" customHeight="1">
      <c r="A54" s="62">
        <v>45665</v>
      </c>
      <c r="B54" s="8">
        <v>45667</v>
      </c>
      <c r="C54" s="63">
        <v>2845.45</v>
      </c>
      <c r="F54" t="s">
        <v>140</v>
      </c>
    </row>
    <row r="55" spans="1:6" ht="15.75" customHeight="1">
      <c r="A55" s="62">
        <v>45666</v>
      </c>
      <c r="B55" s="8">
        <v>45670</v>
      </c>
      <c r="C55" s="63"/>
    </row>
    <row r="56" spans="1:6" ht="15.75" customHeight="1">
      <c r="A56" s="62">
        <v>45667</v>
      </c>
      <c r="B56" s="8">
        <v>45671</v>
      </c>
      <c r="C56" s="63"/>
    </row>
    <row r="57" spans="1:6" ht="15.75" customHeight="1">
      <c r="A57" s="62">
        <v>45670</v>
      </c>
      <c r="B57" s="8">
        <v>45672</v>
      </c>
      <c r="C57" s="63"/>
    </row>
    <row r="58" spans="1:6" ht="15.75" customHeight="1">
      <c r="A58" s="62">
        <v>45671</v>
      </c>
      <c r="B58" s="8">
        <v>45673</v>
      </c>
      <c r="C58" s="63">
        <v>44154.74</v>
      </c>
      <c r="F58" t="s">
        <v>140</v>
      </c>
    </row>
    <row r="59" spans="1:6" ht="15.75" customHeight="1">
      <c r="A59" s="62">
        <v>45672</v>
      </c>
      <c r="B59" s="8">
        <v>45674</v>
      </c>
      <c r="C59" s="63">
        <v>7907.74</v>
      </c>
      <c r="F59" t="s">
        <v>140</v>
      </c>
    </row>
    <row r="60" spans="1:6" ht="15.75" customHeight="1">
      <c r="A60" s="62">
        <v>45673</v>
      </c>
      <c r="B60" s="8">
        <v>45677</v>
      </c>
      <c r="C60" s="63">
        <v>1914.52</v>
      </c>
      <c r="F60" t="s">
        <v>140</v>
      </c>
    </row>
    <row r="61" spans="1:6" ht="15.75" customHeight="1">
      <c r="A61" s="62">
        <v>45674</v>
      </c>
      <c r="B61" s="8">
        <v>45678</v>
      </c>
      <c r="C61" s="63">
        <v>8019.01</v>
      </c>
      <c r="F61" t="s">
        <v>140</v>
      </c>
    </row>
    <row r="62" spans="1:6" ht="15.75" customHeight="1">
      <c r="A62" s="62">
        <v>45677</v>
      </c>
      <c r="B62" s="8">
        <v>45679</v>
      </c>
      <c r="C62" s="63"/>
    </row>
    <row r="63" spans="1:6" ht="15.75" customHeight="1">
      <c r="A63" s="62">
        <v>45678</v>
      </c>
      <c r="B63" s="8">
        <v>45680</v>
      </c>
      <c r="C63" s="63"/>
    </row>
    <row r="64" spans="1:6" ht="15.75" customHeight="1">
      <c r="A64" s="62">
        <v>45679</v>
      </c>
      <c r="B64" s="8">
        <v>45681</v>
      </c>
      <c r="C64" s="63"/>
    </row>
    <row r="65" spans="1:6" ht="15.75" customHeight="1">
      <c r="A65" s="62">
        <v>45680</v>
      </c>
      <c r="B65" s="8">
        <v>45684</v>
      </c>
      <c r="C65" s="63">
        <v>7760.33</v>
      </c>
      <c r="F65" t="s">
        <v>140</v>
      </c>
    </row>
    <row r="66" spans="1:6" ht="15.75" customHeight="1">
      <c r="A66" s="62">
        <v>45681</v>
      </c>
      <c r="B66" s="8">
        <v>45685</v>
      </c>
      <c r="C66" s="63">
        <v>27248.959999999999</v>
      </c>
      <c r="F66" t="s">
        <v>140</v>
      </c>
    </row>
    <row r="67" spans="1:6" ht="15.75" customHeight="1">
      <c r="A67" s="62">
        <v>45684</v>
      </c>
      <c r="B67" s="8">
        <v>45686</v>
      </c>
      <c r="C67" s="63"/>
    </row>
    <row r="68" spans="1:6" ht="15.75" customHeight="1">
      <c r="A68" s="62">
        <v>45685</v>
      </c>
      <c r="B68" s="8">
        <v>45687</v>
      </c>
      <c r="C68" s="63">
        <v>7907.74</v>
      </c>
      <c r="F68" t="s">
        <v>140</v>
      </c>
    </row>
    <row r="69" spans="1:6" ht="15.75" customHeight="1">
      <c r="A69" s="62">
        <v>45686</v>
      </c>
      <c r="B69" s="8">
        <v>45688</v>
      </c>
      <c r="C69" s="63"/>
    </row>
    <row r="70" spans="1:6" ht="15.75" customHeight="1">
      <c r="A70" s="62">
        <v>45687</v>
      </c>
      <c r="B70" s="8">
        <v>45691</v>
      </c>
      <c r="C70" s="63"/>
    </row>
    <row r="71" spans="1:6" ht="15.75" customHeight="1">
      <c r="A71" s="62">
        <v>45688</v>
      </c>
      <c r="B71" s="8">
        <v>45692</v>
      </c>
      <c r="C71" s="63"/>
    </row>
    <row r="72" spans="1:6" ht="15.75" customHeight="1">
      <c r="A72" s="64" t="s">
        <v>141</v>
      </c>
      <c r="B72" s="65"/>
      <c r="C72" s="66">
        <f>SUM(C50:C71)</f>
        <v>128914.21</v>
      </c>
    </row>
    <row r="73" spans="1:6" ht="15.75" customHeight="1">
      <c r="A73" s="62">
        <v>45691</v>
      </c>
      <c r="B73" s="8">
        <v>45693</v>
      </c>
      <c r="C73" s="63"/>
    </row>
    <row r="74" spans="1:6" ht="15.75" customHeight="1">
      <c r="A74" s="62">
        <v>45692</v>
      </c>
      <c r="B74" s="8">
        <v>45694</v>
      </c>
      <c r="C74" s="63">
        <v>39618.35</v>
      </c>
      <c r="F74" t="s">
        <v>140</v>
      </c>
    </row>
    <row r="75" spans="1:6" ht="15.75" customHeight="1">
      <c r="A75" s="62">
        <v>45693</v>
      </c>
      <c r="B75" s="8">
        <v>45695</v>
      </c>
      <c r="C75" s="63">
        <v>8591.64</v>
      </c>
      <c r="F75" t="s">
        <v>140</v>
      </c>
    </row>
    <row r="76" spans="1:6" ht="15.75" customHeight="1">
      <c r="A76" s="62">
        <v>45694</v>
      </c>
      <c r="B76" s="8">
        <v>45698</v>
      </c>
      <c r="C76" s="63"/>
    </row>
    <row r="77" spans="1:6" ht="15.75" customHeight="1">
      <c r="A77" s="62">
        <v>45695</v>
      </c>
      <c r="B77" s="8">
        <v>45699</v>
      </c>
      <c r="C77" s="63">
        <v>18458.830000000002</v>
      </c>
      <c r="F77" t="s">
        <v>140</v>
      </c>
    </row>
    <row r="78" spans="1:6" ht="15.75" customHeight="1">
      <c r="A78" s="62">
        <v>45698</v>
      </c>
      <c r="B78" s="8">
        <v>45700</v>
      </c>
      <c r="C78" s="63"/>
    </row>
    <row r="79" spans="1:6" ht="15.75" customHeight="1">
      <c r="A79" s="62">
        <v>45699</v>
      </c>
      <c r="B79" s="8">
        <v>45701</v>
      </c>
      <c r="C79" s="63"/>
    </row>
    <row r="80" spans="1:6" ht="15.75" customHeight="1">
      <c r="A80" s="62">
        <v>45700</v>
      </c>
      <c r="B80" s="8">
        <v>45702</v>
      </c>
      <c r="C80" s="63"/>
    </row>
    <row r="81" spans="1:6" ht="15.75" customHeight="1">
      <c r="A81" s="62">
        <v>45701</v>
      </c>
      <c r="B81" s="8">
        <v>45705</v>
      </c>
      <c r="C81" s="63">
        <v>39355.769999999997</v>
      </c>
      <c r="F81" t="s">
        <v>140</v>
      </c>
    </row>
    <row r="82" spans="1:6" ht="15.75" customHeight="1">
      <c r="A82" s="62">
        <v>45702</v>
      </c>
      <c r="B82" s="8">
        <v>45706</v>
      </c>
      <c r="C82" s="63"/>
    </row>
    <row r="83" spans="1:6" ht="15.75" customHeight="1">
      <c r="A83" s="62">
        <v>45705</v>
      </c>
      <c r="B83" s="8">
        <v>45707</v>
      </c>
      <c r="C83" s="63"/>
    </row>
    <row r="84" spans="1:6" ht="15.75" customHeight="1">
      <c r="A84" s="62">
        <v>45706</v>
      </c>
      <c r="B84" s="8">
        <v>45708</v>
      </c>
      <c r="C84" s="63">
        <v>18228.52</v>
      </c>
      <c r="F84" t="s">
        <v>140</v>
      </c>
    </row>
    <row r="85" spans="1:6" ht="15.75" customHeight="1">
      <c r="A85" s="62">
        <v>45707</v>
      </c>
      <c r="B85" s="8">
        <v>45709</v>
      </c>
      <c r="C85" s="63">
        <v>6642.02</v>
      </c>
      <c r="F85" t="s">
        <v>140</v>
      </c>
    </row>
    <row r="86" spans="1:6" ht="15.75" customHeight="1">
      <c r="A86" s="62">
        <v>45708</v>
      </c>
      <c r="B86" s="8">
        <v>45712</v>
      </c>
      <c r="C86" s="63"/>
    </row>
    <row r="87" spans="1:6" ht="15.75" customHeight="1">
      <c r="A87" s="62">
        <v>45709</v>
      </c>
      <c r="B87" s="8">
        <v>45713</v>
      </c>
      <c r="C87" s="63"/>
    </row>
    <row r="88" spans="1:6" ht="15.75" customHeight="1">
      <c r="A88" s="62">
        <v>45712</v>
      </c>
      <c r="B88" s="8">
        <v>45714</v>
      </c>
      <c r="C88" s="63"/>
    </row>
    <row r="89" spans="1:6" ht="15.75" customHeight="1">
      <c r="A89" s="62">
        <v>45713</v>
      </c>
      <c r="B89" s="8">
        <v>45715</v>
      </c>
      <c r="C89" s="63"/>
    </row>
    <row r="90" spans="1:6" ht="15.75" customHeight="1">
      <c r="A90" s="62">
        <v>45714</v>
      </c>
      <c r="B90" s="8">
        <v>45716</v>
      </c>
      <c r="C90" s="63">
        <v>2621.54</v>
      </c>
      <c r="F90" t="s">
        <v>140</v>
      </c>
    </row>
    <row r="91" spans="1:6" ht="15.75" customHeight="1">
      <c r="A91" s="62">
        <v>45715</v>
      </c>
      <c r="B91" s="8">
        <v>45719</v>
      </c>
      <c r="C91" s="63">
        <v>8350.57</v>
      </c>
      <c r="F91" t="s">
        <v>140</v>
      </c>
    </row>
    <row r="92" spans="1:6" ht="15.75" customHeight="1">
      <c r="A92" s="62">
        <v>45716</v>
      </c>
      <c r="B92" s="8">
        <v>45720</v>
      </c>
      <c r="C92" s="63"/>
    </row>
    <row r="93" spans="1:6" ht="15.75" customHeight="1">
      <c r="A93" s="64" t="s">
        <v>141</v>
      </c>
      <c r="B93" s="65"/>
      <c r="C93" s="66">
        <f>SUM(C73:C92)</f>
        <v>141867.24000000002</v>
      </c>
    </row>
    <row r="94" spans="1:6" ht="15.75" customHeight="1">
      <c r="A94" s="62">
        <v>45719</v>
      </c>
      <c r="B94" s="8">
        <v>45721</v>
      </c>
      <c r="C94" s="63"/>
    </row>
    <row r="95" spans="1:6" ht="15.75" customHeight="1">
      <c r="A95" s="62">
        <v>45720</v>
      </c>
      <c r="B95" s="8">
        <v>45722</v>
      </c>
      <c r="C95" s="63"/>
    </row>
    <row r="96" spans="1:6" ht="15.75" customHeight="1">
      <c r="A96" s="62">
        <v>45721</v>
      </c>
      <c r="B96" s="8">
        <v>45723</v>
      </c>
      <c r="C96" s="63"/>
    </row>
    <row r="97" spans="1:3" ht="15.75" customHeight="1">
      <c r="A97" s="62">
        <v>45722</v>
      </c>
      <c r="B97" s="8">
        <v>45726</v>
      </c>
      <c r="C97" s="63"/>
    </row>
    <row r="98" spans="1:3" ht="15.75" customHeight="1">
      <c r="A98" s="62">
        <v>45723</v>
      </c>
      <c r="B98" s="8">
        <v>45727</v>
      </c>
      <c r="C98" s="63"/>
    </row>
    <row r="99" spans="1:3" ht="15.75" customHeight="1">
      <c r="A99" s="62">
        <v>45726</v>
      </c>
      <c r="B99" s="8">
        <v>45728</v>
      </c>
      <c r="C99" s="63"/>
    </row>
    <row r="100" spans="1:3" ht="15.75" customHeight="1">
      <c r="A100" s="62">
        <v>45727</v>
      </c>
      <c r="B100" s="8">
        <v>45729</v>
      </c>
      <c r="C100" s="63"/>
    </row>
    <row r="101" spans="1:3" ht="15.75" customHeight="1">
      <c r="A101" s="62">
        <v>45728</v>
      </c>
      <c r="B101" s="8">
        <v>45730</v>
      </c>
      <c r="C101" s="63"/>
    </row>
    <row r="102" spans="1:3" ht="15.75" customHeight="1">
      <c r="A102" s="62">
        <v>45729</v>
      </c>
      <c r="B102" s="8">
        <v>45733</v>
      </c>
      <c r="C102" s="63"/>
    </row>
    <row r="103" spans="1:3" ht="15.75" customHeight="1">
      <c r="A103" s="62">
        <v>45730</v>
      </c>
      <c r="B103" s="8">
        <v>45734</v>
      </c>
      <c r="C103" s="63"/>
    </row>
    <row r="104" spans="1:3" ht="15.75" customHeight="1">
      <c r="A104" s="62">
        <v>45733</v>
      </c>
      <c r="B104" s="8">
        <v>45735</v>
      </c>
      <c r="C104" s="63"/>
    </row>
    <row r="105" spans="1:3" ht="15.75" customHeight="1">
      <c r="A105" s="62">
        <v>45734</v>
      </c>
      <c r="B105" s="8">
        <v>45736</v>
      </c>
      <c r="C105" s="63"/>
    </row>
    <row r="106" spans="1:3" ht="15.75" customHeight="1">
      <c r="A106" s="62">
        <v>45735</v>
      </c>
      <c r="B106" s="8">
        <v>45737</v>
      </c>
      <c r="C106" s="63"/>
    </row>
    <row r="107" spans="1:3" ht="15.75" customHeight="1">
      <c r="A107" s="62">
        <v>45736</v>
      </c>
      <c r="B107" s="8">
        <v>45740</v>
      </c>
      <c r="C107" s="63"/>
    </row>
    <row r="108" spans="1:3" ht="15.75" customHeight="1">
      <c r="A108" s="62">
        <v>45737</v>
      </c>
      <c r="B108" s="8">
        <v>45741</v>
      </c>
      <c r="C108" s="63"/>
    </row>
    <row r="109" spans="1:3" ht="15.75" customHeight="1">
      <c r="A109" s="62">
        <v>45740</v>
      </c>
      <c r="B109" s="8">
        <v>45742</v>
      </c>
      <c r="C109" s="63"/>
    </row>
    <row r="110" spans="1:3" ht="15.75" customHeight="1">
      <c r="A110" s="62">
        <v>45741</v>
      </c>
      <c r="B110" s="8">
        <v>45743</v>
      </c>
      <c r="C110" s="63"/>
    </row>
    <row r="111" spans="1:3" ht="15.75" customHeight="1">
      <c r="A111" s="62">
        <v>45742</v>
      </c>
      <c r="B111" s="8">
        <v>45744</v>
      </c>
      <c r="C111" s="63"/>
    </row>
    <row r="112" spans="1:3" ht="15.75" customHeight="1">
      <c r="A112" s="62">
        <v>45743</v>
      </c>
      <c r="B112" s="8">
        <v>45747</v>
      </c>
      <c r="C112" s="63"/>
    </row>
    <row r="113" spans="1:6" ht="15.75" customHeight="1">
      <c r="A113" s="62">
        <v>45744</v>
      </c>
      <c r="B113" s="8">
        <v>45748</v>
      </c>
      <c r="C113" s="63"/>
    </row>
    <row r="114" spans="1:6" ht="15.75" customHeight="1">
      <c r="A114" s="62">
        <v>45747</v>
      </c>
      <c r="B114" s="8">
        <v>45749</v>
      </c>
      <c r="C114" s="63">
        <v>2907.91</v>
      </c>
      <c r="F114" t="s">
        <v>140</v>
      </c>
    </row>
    <row r="115" spans="1:6" ht="15.75" customHeight="1">
      <c r="A115" s="64" t="s">
        <v>141</v>
      </c>
      <c r="B115" s="65"/>
      <c r="C115" s="66">
        <f>SUM(C94:C114)</f>
        <v>2907.91</v>
      </c>
    </row>
    <row r="116" spans="1:6" ht="15.75" customHeight="1">
      <c r="A116" s="62">
        <v>45748</v>
      </c>
      <c r="B116" s="8">
        <v>45750</v>
      </c>
      <c r="C116" s="63">
        <v>127895.32</v>
      </c>
      <c r="F116" t="s">
        <v>140</v>
      </c>
    </row>
    <row r="117" spans="1:6" ht="15.75" customHeight="1">
      <c r="A117" s="62">
        <v>45749</v>
      </c>
      <c r="B117" s="8">
        <v>45751</v>
      </c>
      <c r="C117" s="63">
        <v>41137.269999999997</v>
      </c>
      <c r="F117" t="s">
        <v>140</v>
      </c>
    </row>
    <row r="118" spans="1:6" ht="15.75" customHeight="1">
      <c r="A118" s="62">
        <v>45750</v>
      </c>
      <c r="B118" s="8">
        <v>45754</v>
      </c>
      <c r="C118" s="63">
        <v>6122.12</v>
      </c>
      <c r="F118" t="s">
        <v>140</v>
      </c>
    </row>
    <row r="119" spans="1:6" ht="15.75" customHeight="1">
      <c r="A119" s="62">
        <v>45751</v>
      </c>
      <c r="B119" s="8">
        <v>45755</v>
      </c>
      <c r="C119" s="63"/>
    </row>
    <row r="120" spans="1:6" ht="15.75" customHeight="1">
      <c r="A120" s="62">
        <v>45754</v>
      </c>
      <c r="B120" s="8">
        <v>45756</v>
      </c>
      <c r="C120" s="63">
        <v>9799.2000000000007</v>
      </c>
      <c r="F120" t="s">
        <v>140</v>
      </c>
    </row>
    <row r="121" spans="1:6" ht="15.75" customHeight="1">
      <c r="A121" s="62">
        <v>45755</v>
      </c>
      <c r="B121" s="8">
        <v>45757</v>
      </c>
      <c r="C121" s="63"/>
    </row>
    <row r="122" spans="1:6" ht="15.75" customHeight="1">
      <c r="A122" s="62">
        <v>45756</v>
      </c>
      <c r="B122" s="8">
        <v>45758</v>
      </c>
      <c r="C122" s="63">
        <v>7124.46</v>
      </c>
      <c r="F122" t="s">
        <v>140</v>
      </c>
    </row>
    <row r="123" spans="1:6" ht="15.75" customHeight="1">
      <c r="A123" s="62">
        <v>45757</v>
      </c>
      <c r="B123" s="8">
        <v>45761</v>
      </c>
      <c r="C123" s="63"/>
    </row>
    <row r="124" spans="1:6" ht="15.75" customHeight="1">
      <c r="A124" s="62">
        <v>45758</v>
      </c>
      <c r="B124" s="8">
        <v>45762</v>
      </c>
      <c r="C124" s="63">
        <v>6161.97</v>
      </c>
      <c r="F124" t="s">
        <v>140</v>
      </c>
    </row>
    <row r="125" spans="1:6" ht="15.75" customHeight="1">
      <c r="A125" s="62">
        <v>45761</v>
      </c>
      <c r="B125" s="8">
        <v>45763</v>
      </c>
      <c r="C125" s="63"/>
    </row>
    <row r="126" spans="1:6" ht="15.75" customHeight="1">
      <c r="A126" s="62">
        <v>45762</v>
      </c>
      <c r="B126" s="8">
        <v>45764</v>
      </c>
      <c r="C126" s="63">
        <v>647.67999999999995</v>
      </c>
      <c r="F126" t="s">
        <v>140</v>
      </c>
    </row>
    <row r="127" spans="1:6" ht="15.75" customHeight="1">
      <c r="A127" s="62">
        <v>45763</v>
      </c>
      <c r="B127" s="8">
        <v>45765</v>
      </c>
      <c r="C127" s="63"/>
    </row>
    <row r="128" spans="1:6" ht="15.75" customHeight="1">
      <c r="A128" s="62">
        <v>45764</v>
      </c>
      <c r="B128" s="8">
        <v>45768</v>
      </c>
      <c r="C128" s="63"/>
    </row>
    <row r="129" spans="1:6" ht="15.75" customHeight="1">
      <c r="A129" s="62">
        <v>45765</v>
      </c>
      <c r="B129" s="8">
        <v>45769</v>
      </c>
      <c r="C129" s="63"/>
    </row>
    <row r="130" spans="1:6" ht="15.75" customHeight="1">
      <c r="A130" s="62">
        <v>45768</v>
      </c>
      <c r="B130" s="8">
        <v>45770</v>
      </c>
      <c r="C130" s="63"/>
    </row>
    <row r="131" spans="1:6" ht="15.75" customHeight="1">
      <c r="A131" s="62">
        <v>45769</v>
      </c>
      <c r="B131" s="8">
        <v>45771</v>
      </c>
      <c r="C131" s="63">
        <v>28436.62</v>
      </c>
      <c r="F131" t="s">
        <v>140</v>
      </c>
    </row>
    <row r="132" spans="1:6" ht="15.75" customHeight="1">
      <c r="A132" s="62">
        <v>45770</v>
      </c>
      <c r="B132" s="8">
        <v>45772</v>
      </c>
      <c r="C132" s="63">
        <v>7623.73</v>
      </c>
      <c r="F132" t="s">
        <v>140</v>
      </c>
    </row>
    <row r="133" spans="1:6" ht="15.75" customHeight="1">
      <c r="A133" s="62">
        <v>45771</v>
      </c>
      <c r="B133" s="8">
        <v>45775</v>
      </c>
      <c r="C133" s="63"/>
    </row>
    <row r="134" spans="1:6" ht="15.75" customHeight="1">
      <c r="A134" s="62">
        <v>45772</v>
      </c>
      <c r="B134" s="8">
        <v>45776</v>
      </c>
      <c r="C134" s="63"/>
    </row>
    <row r="135" spans="1:6" ht="15.75" customHeight="1">
      <c r="A135" s="62">
        <v>45775</v>
      </c>
      <c r="B135" s="8">
        <v>45777</v>
      </c>
      <c r="C135" s="63"/>
    </row>
    <row r="136" spans="1:6" ht="15.75" customHeight="1">
      <c r="A136" s="62">
        <v>45776</v>
      </c>
      <c r="B136" s="8">
        <v>45778</v>
      </c>
      <c r="C136" s="63"/>
    </row>
    <row r="137" spans="1:6" ht="15.75" customHeight="1">
      <c r="A137" s="62">
        <v>45777</v>
      </c>
      <c r="B137" s="8">
        <v>45779</v>
      </c>
      <c r="C137" s="63">
        <v>17163.47</v>
      </c>
      <c r="F137" t="s">
        <v>140</v>
      </c>
    </row>
    <row r="138" spans="1:6" ht="15.75" customHeight="1">
      <c r="A138" s="64" t="s">
        <v>141</v>
      </c>
      <c r="B138" s="65"/>
      <c r="C138" s="66">
        <f>SUM(C116:C137)</f>
        <v>252111.84</v>
      </c>
    </row>
    <row r="139" spans="1:6" ht="15.75" customHeight="1">
      <c r="A139" s="62">
        <v>45778</v>
      </c>
      <c r="B139" s="8">
        <v>45782</v>
      </c>
      <c r="C139" s="67"/>
    </row>
    <row r="140" spans="1:6" ht="15.75" customHeight="1">
      <c r="A140" s="62">
        <v>45779</v>
      </c>
      <c r="B140" s="8">
        <v>45783</v>
      </c>
      <c r="C140" s="63"/>
    </row>
    <row r="141" spans="1:6" ht="15.75" customHeight="1">
      <c r="A141" s="62">
        <v>45782</v>
      </c>
      <c r="B141" s="8">
        <v>45784</v>
      </c>
      <c r="C141" s="63"/>
    </row>
    <row r="142" spans="1:6" ht="15.75" customHeight="1">
      <c r="A142" s="62">
        <v>45783</v>
      </c>
      <c r="B142" s="8">
        <v>45785</v>
      </c>
      <c r="C142" s="63"/>
    </row>
    <row r="143" spans="1:6" ht="15.75" customHeight="1">
      <c r="A143" s="62">
        <v>45784</v>
      </c>
      <c r="B143" s="8">
        <v>45786</v>
      </c>
      <c r="C143" s="63"/>
    </row>
    <row r="144" spans="1:6" ht="15.75" customHeight="1">
      <c r="A144" s="62">
        <v>45785</v>
      </c>
      <c r="B144" s="8">
        <v>45789</v>
      </c>
      <c r="C144" s="63"/>
    </row>
    <row r="145" spans="1:6" ht="15.75" customHeight="1">
      <c r="A145" s="62">
        <v>45786</v>
      </c>
      <c r="B145" s="8">
        <v>45790</v>
      </c>
      <c r="C145" s="63">
        <v>15815.48</v>
      </c>
      <c r="F145" t="s">
        <v>140</v>
      </c>
    </row>
    <row r="146" spans="1:6" ht="15.75" customHeight="1">
      <c r="A146" s="62">
        <v>45789</v>
      </c>
      <c r="B146" s="8">
        <v>45791</v>
      </c>
      <c r="C146" s="63"/>
    </row>
    <row r="147" spans="1:6" ht="15.75" customHeight="1">
      <c r="A147" s="62">
        <v>45790</v>
      </c>
      <c r="B147" s="8">
        <v>45792</v>
      </c>
      <c r="C147" s="63"/>
    </row>
    <row r="148" spans="1:6" ht="15.75" customHeight="1">
      <c r="A148" s="62">
        <v>45791</v>
      </c>
      <c r="B148" s="8">
        <v>45793</v>
      </c>
      <c r="C148" s="63"/>
    </row>
    <row r="149" spans="1:6" ht="15.75" customHeight="1">
      <c r="A149" s="62">
        <v>45792</v>
      </c>
      <c r="B149" s="8">
        <v>45796</v>
      </c>
      <c r="C149" s="63"/>
    </row>
    <row r="150" spans="1:6" ht="15.75" customHeight="1">
      <c r="A150" s="62">
        <v>45793</v>
      </c>
      <c r="B150" s="8">
        <v>45797</v>
      </c>
      <c r="C150" s="63"/>
    </row>
    <row r="151" spans="1:6" ht="15.75" customHeight="1">
      <c r="A151" s="62">
        <v>45796</v>
      </c>
      <c r="B151" s="8">
        <v>45798</v>
      </c>
      <c r="C151" s="63">
        <v>25944.48</v>
      </c>
      <c r="F151" t="s">
        <v>140</v>
      </c>
    </row>
    <row r="152" spans="1:6" ht="15.75" customHeight="1">
      <c r="A152" s="62">
        <v>45797</v>
      </c>
      <c r="B152" s="8">
        <v>45799</v>
      </c>
      <c r="C152" s="63"/>
    </row>
    <row r="153" spans="1:6" ht="15.75" customHeight="1">
      <c r="A153" s="62">
        <v>45798</v>
      </c>
      <c r="B153" s="8">
        <v>45800</v>
      </c>
      <c r="C153" s="63"/>
    </row>
    <row r="154" spans="1:6" ht="15.75" customHeight="1">
      <c r="A154" s="62">
        <v>45799</v>
      </c>
      <c r="B154" s="8">
        <v>45804</v>
      </c>
      <c r="C154" s="63"/>
    </row>
    <row r="155" spans="1:6" ht="15.75" customHeight="1">
      <c r="A155" s="62">
        <v>45800</v>
      </c>
      <c r="B155" s="8">
        <v>45805</v>
      </c>
      <c r="C155" s="63"/>
    </row>
    <row r="156" spans="1:6" ht="15.75" customHeight="1">
      <c r="A156" s="62">
        <v>45804</v>
      </c>
      <c r="B156" s="8">
        <v>45806</v>
      </c>
      <c r="C156" s="63"/>
    </row>
    <row r="157" spans="1:6" ht="15.75" customHeight="1">
      <c r="A157" s="62">
        <v>45805</v>
      </c>
      <c r="B157" s="8">
        <v>45807</v>
      </c>
      <c r="C157" s="63">
        <v>31120.78</v>
      </c>
      <c r="F157" t="s">
        <v>140</v>
      </c>
    </row>
    <row r="158" spans="1:6" ht="15.75" customHeight="1">
      <c r="A158" s="62">
        <v>45806</v>
      </c>
      <c r="B158" s="8">
        <v>45810</v>
      </c>
      <c r="C158" s="63">
        <v>4132.3900000000003</v>
      </c>
      <c r="F158" t="s">
        <v>140</v>
      </c>
    </row>
    <row r="159" spans="1:6" ht="15.75" customHeight="1">
      <c r="A159" s="62">
        <v>45807</v>
      </c>
      <c r="B159" s="8">
        <v>45811</v>
      </c>
      <c r="C159" s="63"/>
    </row>
    <row r="160" spans="1:6" ht="15.75" customHeight="1">
      <c r="A160" s="64" t="s">
        <v>141</v>
      </c>
      <c r="B160" s="65"/>
      <c r="C160" s="66">
        <f>SUM(C139:C159)</f>
        <v>77013.12999999999</v>
      </c>
    </row>
    <row r="161" spans="1:6" ht="15.75" customHeight="1">
      <c r="A161" s="62">
        <v>45810</v>
      </c>
      <c r="B161" s="8">
        <v>45812</v>
      </c>
      <c r="C161" s="63">
        <v>15609.88</v>
      </c>
      <c r="F161" t="s">
        <v>140</v>
      </c>
    </row>
    <row r="162" spans="1:6" ht="15.75" customHeight="1">
      <c r="A162" s="62">
        <v>45811</v>
      </c>
      <c r="B162" s="8">
        <v>45813</v>
      </c>
      <c r="C162" s="63">
        <v>7907.74</v>
      </c>
      <c r="F162" t="s">
        <v>140</v>
      </c>
    </row>
    <row r="163" spans="1:6" ht="15.75" customHeight="1">
      <c r="A163" s="62">
        <v>45812</v>
      </c>
      <c r="B163" s="8">
        <v>45814</v>
      </c>
      <c r="C163" s="63"/>
    </row>
    <row r="164" spans="1:6" ht="15.75" customHeight="1">
      <c r="A164" s="62">
        <v>45813</v>
      </c>
      <c r="B164" s="8">
        <v>45817</v>
      </c>
      <c r="C164" s="63"/>
    </row>
    <row r="165" spans="1:6" ht="15.75" customHeight="1">
      <c r="A165" s="62">
        <v>45814</v>
      </c>
      <c r="B165" s="8">
        <v>45818</v>
      </c>
      <c r="C165" s="63"/>
    </row>
    <row r="166" spans="1:6" ht="15.75" customHeight="1">
      <c r="A166" s="62">
        <v>45817</v>
      </c>
      <c r="B166" s="8">
        <v>45819</v>
      </c>
      <c r="C166" s="63"/>
    </row>
    <row r="167" spans="1:6" ht="15.75" customHeight="1">
      <c r="A167" s="62">
        <v>45818</v>
      </c>
      <c r="B167" s="8">
        <v>45820</v>
      </c>
      <c r="C167" s="63">
        <v>7652.64</v>
      </c>
      <c r="F167" t="s">
        <v>140</v>
      </c>
    </row>
    <row r="168" spans="1:6" ht="15.75" customHeight="1">
      <c r="A168" s="62">
        <v>45819</v>
      </c>
      <c r="B168" s="8">
        <v>45821</v>
      </c>
      <c r="C168" s="63"/>
    </row>
    <row r="169" spans="1:6" ht="15.75" customHeight="1">
      <c r="A169" s="62">
        <v>45820</v>
      </c>
      <c r="B169" s="8">
        <v>45824</v>
      </c>
      <c r="C169" s="63"/>
    </row>
    <row r="170" spans="1:6" ht="15.75" customHeight="1">
      <c r="A170" s="62">
        <v>45821</v>
      </c>
      <c r="B170" s="8">
        <v>45825</v>
      </c>
      <c r="C170" s="63">
        <v>24696.62</v>
      </c>
      <c r="F170" t="s">
        <v>140</v>
      </c>
    </row>
    <row r="171" spans="1:6" ht="15.75" customHeight="1">
      <c r="A171" s="62">
        <v>45824</v>
      </c>
      <c r="B171" s="8">
        <v>45826</v>
      </c>
      <c r="C171" s="63">
        <v>4857.59</v>
      </c>
      <c r="F171" t="s">
        <v>140</v>
      </c>
    </row>
    <row r="172" spans="1:6" ht="15.75" customHeight="1">
      <c r="A172" s="62">
        <v>45825</v>
      </c>
      <c r="B172" s="8">
        <v>45827</v>
      </c>
      <c r="C172" s="63">
        <v>7652.64</v>
      </c>
      <c r="F172" t="s">
        <v>140</v>
      </c>
    </row>
    <row r="173" spans="1:6" ht="15.75" customHeight="1">
      <c r="A173" s="62">
        <v>45826</v>
      </c>
      <c r="B173" s="8">
        <v>45828</v>
      </c>
      <c r="C173" s="63"/>
    </row>
    <row r="174" spans="1:6" ht="15.75" customHeight="1">
      <c r="A174" s="62">
        <v>45827</v>
      </c>
      <c r="B174" s="8">
        <v>45831</v>
      </c>
      <c r="C174" s="63"/>
    </row>
    <row r="175" spans="1:6" ht="15.75" customHeight="1">
      <c r="A175" s="62">
        <v>45828</v>
      </c>
      <c r="B175" s="8">
        <v>45832</v>
      </c>
      <c r="C175" s="63"/>
    </row>
    <row r="176" spans="1:6" ht="15.75" customHeight="1">
      <c r="A176" s="62">
        <v>45831</v>
      </c>
      <c r="B176" s="8">
        <v>45833</v>
      </c>
      <c r="C176" s="63"/>
    </row>
    <row r="177" spans="1:6" ht="15.75" customHeight="1">
      <c r="A177" s="62">
        <v>45832</v>
      </c>
      <c r="B177" s="8">
        <v>45834</v>
      </c>
      <c r="C177" s="63">
        <v>8814.39</v>
      </c>
      <c r="F177" t="s">
        <v>140</v>
      </c>
    </row>
    <row r="178" spans="1:6" ht="15.75" customHeight="1">
      <c r="A178" s="62">
        <v>45833</v>
      </c>
      <c r="B178" s="8">
        <v>45835</v>
      </c>
      <c r="C178" s="63"/>
    </row>
    <row r="179" spans="1:6" ht="15.75" customHeight="1">
      <c r="A179" s="62">
        <v>45834</v>
      </c>
      <c r="B179" s="8">
        <v>45838</v>
      </c>
      <c r="C179" s="63"/>
    </row>
    <row r="180" spans="1:6" ht="15.75" customHeight="1">
      <c r="A180" s="62">
        <v>45835</v>
      </c>
      <c r="B180" s="8">
        <v>45839</v>
      </c>
      <c r="C180" s="63"/>
    </row>
    <row r="181" spans="1:6" ht="15.75" customHeight="1">
      <c r="A181" s="62">
        <v>45838</v>
      </c>
      <c r="B181" s="8">
        <v>45840</v>
      </c>
      <c r="C181" s="63"/>
    </row>
    <row r="182" spans="1:6" ht="15.75" customHeight="1">
      <c r="A182" s="64" t="s">
        <v>141</v>
      </c>
      <c r="B182" s="65"/>
      <c r="C182" s="66">
        <f>SUM(C161:C181)</f>
        <v>77191.5</v>
      </c>
    </row>
    <row r="183" spans="1:6" ht="15.75" customHeight="1">
      <c r="A183" s="62">
        <v>45839</v>
      </c>
      <c r="B183" s="8">
        <v>45841</v>
      </c>
      <c r="C183" s="63"/>
    </row>
    <row r="184" spans="1:6" ht="15.75" customHeight="1">
      <c r="A184" s="62">
        <v>45840</v>
      </c>
      <c r="B184" s="8">
        <v>45845</v>
      </c>
      <c r="C184" s="63"/>
    </row>
    <row r="185" spans="1:6" ht="15.75" customHeight="1">
      <c r="A185" s="62">
        <v>45841</v>
      </c>
      <c r="B185" s="8">
        <v>45846</v>
      </c>
      <c r="C185" s="63"/>
    </row>
    <row r="186" spans="1:6" ht="15.75" customHeight="1">
      <c r="A186" s="62">
        <v>45845</v>
      </c>
      <c r="B186" s="8">
        <v>45847</v>
      </c>
      <c r="C186" s="63"/>
    </row>
    <row r="187" spans="1:6" ht="15.75" customHeight="1">
      <c r="A187" s="62">
        <v>45846</v>
      </c>
      <c r="B187" s="8">
        <v>45848</v>
      </c>
      <c r="C187" s="63"/>
    </row>
    <row r="188" spans="1:6" ht="15.75" customHeight="1">
      <c r="A188" s="62">
        <v>45847</v>
      </c>
      <c r="B188" s="8">
        <v>45849</v>
      </c>
      <c r="C188" s="63"/>
    </row>
    <row r="189" spans="1:6" ht="15.75" customHeight="1">
      <c r="A189" s="62">
        <v>45848</v>
      </c>
      <c r="B189" s="8">
        <v>45852</v>
      </c>
      <c r="C189" s="63"/>
    </row>
    <row r="190" spans="1:6" ht="15.75" customHeight="1">
      <c r="A190" s="62">
        <v>45849</v>
      </c>
      <c r="B190" s="8">
        <v>45853</v>
      </c>
      <c r="C190" s="63"/>
    </row>
    <row r="191" spans="1:6" ht="15.75" customHeight="1">
      <c r="A191" s="62">
        <v>45852</v>
      </c>
      <c r="B191" s="8">
        <v>45854</v>
      </c>
      <c r="C191" s="63"/>
    </row>
    <row r="192" spans="1:6" ht="15.75" customHeight="1">
      <c r="A192" s="62">
        <v>45853</v>
      </c>
      <c r="B192" s="8">
        <v>45855</v>
      </c>
      <c r="C192" s="63"/>
    </row>
    <row r="193" spans="1:6" ht="15.75" customHeight="1">
      <c r="A193" s="62">
        <v>45854</v>
      </c>
      <c r="B193" s="8">
        <v>45856</v>
      </c>
      <c r="C193" s="63">
        <v>666.45</v>
      </c>
      <c r="F193" t="s">
        <v>140</v>
      </c>
    </row>
    <row r="194" spans="1:6" ht="15.75" customHeight="1">
      <c r="A194" s="62">
        <v>45855</v>
      </c>
      <c r="B194" s="8">
        <v>45859</v>
      </c>
      <c r="C194" s="63"/>
    </row>
    <row r="195" spans="1:6" ht="15.75" customHeight="1">
      <c r="A195" s="62">
        <v>45856</v>
      </c>
      <c r="B195" s="8">
        <v>45860</v>
      </c>
      <c r="C195" s="63"/>
    </row>
    <row r="196" spans="1:6" ht="15.75" customHeight="1">
      <c r="A196" s="62">
        <v>45859</v>
      </c>
      <c r="B196" s="8">
        <v>45861</v>
      </c>
      <c r="C196" s="63"/>
    </row>
    <row r="197" spans="1:6" ht="15.75" customHeight="1">
      <c r="A197" s="62">
        <v>45860</v>
      </c>
      <c r="B197" s="8">
        <v>45862</v>
      </c>
      <c r="C197" s="63"/>
    </row>
    <row r="198" spans="1:6" ht="15.75" customHeight="1">
      <c r="A198" s="62">
        <v>45861</v>
      </c>
      <c r="B198" s="8">
        <v>45863</v>
      </c>
      <c r="C198" s="63">
        <v>6152.95</v>
      </c>
      <c r="F198" t="s">
        <v>140</v>
      </c>
    </row>
    <row r="199" spans="1:6" ht="15.75" customHeight="1">
      <c r="A199" s="62">
        <v>45862</v>
      </c>
      <c r="B199" s="8">
        <v>45866</v>
      </c>
      <c r="C199" s="63"/>
    </row>
    <row r="200" spans="1:6" ht="15.75" customHeight="1">
      <c r="A200" s="62">
        <v>45863</v>
      </c>
      <c r="B200" s="8">
        <v>45867</v>
      </c>
      <c r="C200" s="63"/>
    </row>
    <row r="201" spans="1:6" ht="15.75" customHeight="1">
      <c r="A201" s="62">
        <v>45866</v>
      </c>
      <c r="B201" s="8">
        <v>45868</v>
      </c>
      <c r="C201" s="63"/>
    </row>
    <row r="202" spans="1:6" ht="15.75" customHeight="1">
      <c r="A202" s="62">
        <v>45867</v>
      </c>
      <c r="B202" s="8">
        <v>45869</v>
      </c>
      <c r="C202" s="63">
        <v>111948.97</v>
      </c>
      <c r="F202" t="s">
        <v>140</v>
      </c>
    </row>
    <row r="203" spans="1:6" ht="15.75" customHeight="1">
      <c r="A203" s="62">
        <v>45868</v>
      </c>
      <c r="B203" s="8">
        <v>45870</v>
      </c>
      <c r="C203" s="63">
        <v>4591.58</v>
      </c>
      <c r="F203" t="s">
        <v>140</v>
      </c>
    </row>
    <row r="204" spans="1:6" ht="15.75" customHeight="1">
      <c r="A204" s="62">
        <v>45869</v>
      </c>
      <c r="B204" s="8">
        <v>45873</v>
      </c>
      <c r="C204" s="63"/>
    </row>
    <row r="205" spans="1:6" ht="15.75" customHeight="1">
      <c r="A205" s="64" t="s">
        <v>141</v>
      </c>
      <c r="B205" s="65"/>
      <c r="C205" s="66">
        <f>SUM(C183:C204)</f>
        <v>123359.95</v>
      </c>
    </row>
    <row r="206" spans="1:6" ht="15.75" customHeight="1">
      <c r="A206" s="62">
        <v>45870</v>
      </c>
      <c r="B206" s="8">
        <v>45874</v>
      </c>
      <c r="C206" s="63"/>
    </row>
    <row r="207" spans="1:6" ht="15.75" customHeight="1">
      <c r="A207" s="62">
        <v>45873</v>
      </c>
      <c r="B207" s="8">
        <v>45875</v>
      </c>
      <c r="C207" s="63"/>
    </row>
    <row r="208" spans="1:6" ht="15.75" customHeight="1">
      <c r="A208" s="62">
        <v>45874</v>
      </c>
      <c r="B208" s="8">
        <v>45876</v>
      </c>
      <c r="C208" s="63"/>
    </row>
    <row r="209" spans="1:6" ht="15.75" customHeight="1">
      <c r="A209" s="62">
        <v>45875</v>
      </c>
      <c r="B209" s="8">
        <v>45877</v>
      </c>
      <c r="C209" s="63"/>
    </row>
    <row r="210" spans="1:6" ht="15.75" customHeight="1">
      <c r="A210" s="62">
        <v>45876</v>
      </c>
      <c r="B210" s="8">
        <v>45880</v>
      </c>
      <c r="C210" s="63">
        <v>67564.850000000006</v>
      </c>
      <c r="F210" t="s">
        <v>140</v>
      </c>
    </row>
    <row r="211" spans="1:6" ht="15.75" customHeight="1">
      <c r="A211" s="62">
        <v>45877</v>
      </c>
      <c r="B211" s="8">
        <v>45881</v>
      </c>
      <c r="C211" s="63"/>
    </row>
    <row r="212" spans="1:6" ht="15.75" customHeight="1">
      <c r="A212" s="62">
        <v>45880</v>
      </c>
      <c r="B212" s="8">
        <v>45882</v>
      </c>
      <c r="C212" s="63"/>
    </row>
    <row r="213" spans="1:6" ht="15.75" customHeight="1">
      <c r="A213" s="62">
        <v>45881</v>
      </c>
      <c r="B213" s="8">
        <v>45883</v>
      </c>
      <c r="C213" s="63"/>
    </row>
    <row r="214" spans="1:6" ht="15.75" customHeight="1">
      <c r="A214" s="62">
        <v>45882</v>
      </c>
      <c r="B214" s="8">
        <v>45884</v>
      </c>
      <c r="C214" s="63">
        <v>15778.53</v>
      </c>
      <c r="F214" t="s">
        <v>140</v>
      </c>
    </row>
    <row r="215" spans="1:6" ht="15.75" customHeight="1">
      <c r="A215" s="62">
        <v>45883</v>
      </c>
      <c r="B215" s="8">
        <v>45887</v>
      </c>
      <c r="C215" s="63">
        <v>324.31</v>
      </c>
      <c r="F215" t="s">
        <v>140</v>
      </c>
    </row>
    <row r="216" spans="1:6" ht="15.75" customHeight="1">
      <c r="A216" s="62">
        <v>45884</v>
      </c>
      <c r="B216" s="8">
        <v>45888</v>
      </c>
      <c r="C216" s="63"/>
    </row>
    <row r="217" spans="1:6" ht="15.75" customHeight="1">
      <c r="A217" s="62">
        <v>45887</v>
      </c>
      <c r="B217" s="8">
        <v>45889</v>
      </c>
      <c r="C217" s="63"/>
    </row>
    <row r="218" spans="1:6" ht="15.75" customHeight="1">
      <c r="A218" s="62">
        <v>45888</v>
      </c>
      <c r="B218" s="8">
        <v>45890</v>
      </c>
      <c r="C218" s="63"/>
    </row>
    <row r="219" spans="1:6" ht="15.75" customHeight="1">
      <c r="A219" s="62">
        <v>45889</v>
      </c>
      <c r="B219" s="8">
        <v>45891</v>
      </c>
      <c r="C219" s="63"/>
    </row>
    <row r="220" spans="1:6" ht="15.75" customHeight="1">
      <c r="A220" s="62">
        <v>45890</v>
      </c>
      <c r="B220" s="8">
        <v>45894</v>
      </c>
      <c r="C220" s="63">
        <v>1887.55</v>
      </c>
      <c r="F220" t="s">
        <v>140</v>
      </c>
    </row>
    <row r="221" spans="1:6" ht="15.75" customHeight="1">
      <c r="A221" s="62">
        <v>45891</v>
      </c>
      <c r="B221" s="8">
        <v>45895</v>
      </c>
      <c r="C221" s="63">
        <v>3065.55</v>
      </c>
      <c r="F221" t="s">
        <v>140</v>
      </c>
    </row>
    <row r="222" spans="1:6" ht="15.75" customHeight="1">
      <c r="A222" s="62">
        <v>45894</v>
      </c>
      <c r="B222" s="8">
        <v>45896</v>
      </c>
      <c r="C222" s="63">
        <v>9729.42</v>
      </c>
      <c r="F222" t="s">
        <v>140</v>
      </c>
    </row>
    <row r="223" spans="1:6" ht="15.75" customHeight="1">
      <c r="A223" s="62">
        <v>45895</v>
      </c>
      <c r="B223" s="8">
        <v>45897</v>
      </c>
      <c r="C223" s="63"/>
    </row>
    <row r="224" spans="1:6" ht="15.75" customHeight="1">
      <c r="A224" s="62">
        <v>45896</v>
      </c>
      <c r="B224" s="8">
        <v>45898</v>
      </c>
      <c r="C224" s="63">
        <v>18987.73</v>
      </c>
      <c r="F224" t="s">
        <v>140</v>
      </c>
    </row>
    <row r="225" spans="1:6" ht="15.75" customHeight="1">
      <c r="A225" s="62">
        <v>45897</v>
      </c>
      <c r="B225" s="8">
        <v>45902</v>
      </c>
      <c r="C225" s="63"/>
    </row>
    <row r="226" spans="1:6" ht="15.75" customHeight="1">
      <c r="A226" s="62">
        <v>45898</v>
      </c>
      <c r="B226" s="8">
        <v>45903</v>
      </c>
      <c r="C226" s="63"/>
    </row>
    <row r="227" spans="1:6" ht="15.75" customHeight="1">
      <c r="A227" s="64" t="s">
        <v>141</v>
      </c>
      <c r="B227" s="65"/>
      <c r="C227" s="66">
        <f>SUM(C206:C226)</f>
        <v>117337.94</v>
      </c>
    </row>
    <row r="228" spans="1:6" ht="15.75" customHeight="1">
      <c r="A228" s="62">
        <v>45902</v>
      </c>
      <c r="B228" s="8">
        <v>45904</v>
      </c>
      <c r="C228" s="63">
        <v>7663.86</v>
      </c>
      <c r="F228" t="s">
        <v>140</v>
      </c>
    </row>
    <row r="229" spans="1:6" ht="15.75" customHeight="1">
      <c r="A229" s="62">
        <v>45903</v>
      </c>
      <c r="B229" s="8">
        <v>45905</v>
      </c>
      <c r="C229" s="63"/>
    </row>
    <row r="230" spans="1:6" ht="15.75" customHeight="1">
      <c r="A230" s="62">
        <v>45904</v>
      </c>
      <c r="B230" s="8">
        <v>45908</v>
      </c>
      <c r="C230" s="63"/>
    </row>
    <row r="231" spans="1:6" ht="15.75" customHeight="1">
      <c r="A231" s="62">
        <v>45905</v>
      </c>
      <c r="B231" s="8">
        <v>45909</v>
      </c>
      <c r="C231" s="63"/>
    </row>
    <row r="232" spans="1:6" ht="15.75" customHeight="1">
      <c r="A232" s="62">
        <v>45908</v>
      </c>
      <c r="B232" s="8">
        <v>45910</v>
      </c>
      <c r="C232" s="63"/>
    </row>
    <row r="233" spans="1:6" ht="15.75" customHeight="1">
      <c r="A233" s="62">
        <v>45909</v>
      </c>
      <c r="B233" s="8">
        <v>45911</v>
      </c>
      <c r="C233" s="63">
        <v>15560.38</v>
      </c>
      <c r="F233" t="s">
        <v>140</v>
      </c>
    </row>
    <row r="234" spans="1:6" ht="15.75" customHeight="1">
      <c r="A234" s="62">
        <v>45910</v>
      </c>
      <c r="B234" s="8">
        <v>45912</v>
      </c>
      <c r="C234" s="63"/>
    </row>
    <row r="235" spans="1:6" ht="15.75" customHeight="1">
      <c r="A235" s="62">
        <v>45911</v>
      </c>
      <c r="B235" s="8">
        <v>45915</v>
      </c>
      <c r="C235" s="63">
        <v>27511.16</v>
      </c>
      <c r="F235" t="s">
        <v>140</v>
      </c>
    </row>
    <row r="236" spans="1:6" ht="15.75" customHeight="1">
      <c r="A236" s="62">
        <v>45912</v>
      </c>
      <c r="B236" s="8">
        <v>45916</v>
      </c>
      <c r="C236" s="63"/>
    </row>
    <row r="237" spans="1:6" ht="15.75" customHeight="1">
      <c r="A237" s="62">
        <v>45915</v>
      </c>
      <c r="B237" s="8">
        <v>45917</v>
      </c>
      <c r="C237" s="63"/>
    </row>
    <row r="238" spans="1:6" ht="15.75" customHeight="1">
      <c r="A238" s="62">
        <v>45916</v>
      </c>
      <c r="B238" s="8">
        <v>45918</v>
      </c>
      <c r="C238" s="63">
        <v>7652.64</v>
      </c>
      <c r="F238" t="s">
        <v>140</v>
      </c>
    </row>
    <row r="239" spans="1:6" ht="15.75" customHeight="1">
      <c r="A239" s="62">
        <v>45917</v>
      </c>
      <c r="B239" s="8">
        <v>45919</v>
      </c>
      <c r="C239" s="63"/>
    </row>
    <row r="240" spans="1:6" ht="15.75" customHeight="1">
      <c r="A240" s="62">
        <v>45918</v>
      </c>
      <c r="B240" s="8">
        <v>45922</v>
      </c>
      <c r="C240" s="63"/>
    </row>
    <row r="241" spans="1:6" ht="15.75" customHeight="1">
      <c r="A241" s="62">
        <v>45919</v>
      </c>
      <c r="B241" s="8">
        <v>45923</v>
      </c>
      <c r="C241" s="63">
        <v>11441.35</v>
      </c>
      <c r="F241" t="s">
        <v>140</v>
      </c>
    </row>
    <row r="242" spans="1:6" ht="15.75" customHeight="1">
      <c r="A242" s="62">
        <v>45922</v>
      </c>
      <c r="B242" s="8">
        <v>45924</v>
      </c>
      <c r="C242" s="63"/>
    </row>
    <row r="243" spans="1:6" ht="15.75" customHeight="1">
      <c r="A243" s="62">
        <v>45923</v>
      </c>
      <c r="B243" s="8">
        <v>45925</v>
      </c>
      <c r="C243" s="63">
        <v>9916.0300000000007</v>
      </c>
      <c r="F243" t="s">
        <v>140</v>
      </c>
    </row>
    <row r="244" spans="1:6" ht="15.75" customHeight="1">
      <c r="A244" s="62">
        <v>45924</v>
      </c>
      <c r="B244" s="8">
        <v>45926</v>
      </c>
      <c r="C244" s="63"/>
    </row>
    <row r="245" spans="1:6" ht="15.75" customHeight="1">
      <c r="A245" s="62">
        <v>45925</v>
      </c>
      <c r="B245" s="8">
        <v>45929</v>
      </c>
      <c r="C245" s="63"/>
    </row>
    <row r="246" spans="1:6" ht="15.75" customHeight="1">
      <c r="A246" s="62">
        <v>45926</v>
      </c>
      <c r="B246" s="8">
        <v>45930</v>
      </c>
      <c r="C246" s="63"/>
    </row>
    <row r="247" spans="1:6" ht="15.75" customHeight="1">
      <c r="A247" s="62">
        <v>45929</v>
      </c>
      <c r="B247" s="8">
        <v>45931</v>
      </c>
      <c r="C247" s="63">
        <v>8583.39</v>
      </c>
      <c r="F247" t="s">
        <v>140</v>
      </c>
    </row>
    <row r="248" spans="1:6" ht="15.75" customHeight="1">
      <c r="A248" s="62">
        <v>45930</v>
      </c>
      <c r="B248" s="8">
        <v>45932</v>
      </c>
      <c r="C248" s="63"/>
    </row>
    <row r="249" spans="1:6" ht="15.75" customHeight="1">
      <c r="A249" s="64" t="s">
        <v>141</v>
      </c>
      <c r="B249" s="65"/>
      <c r="C249" s="66">
        <f>SUM(C228:C248)</f>
        <v>88328.81</v>
      </c>
    </row>
    <row r="250" spans="1:6" ht="15.75" customHeight="1">
      <c r="A250" s="62">
        <v>45931</v>
      </c>
      <c r="B250" s="8">
        <v>45933</v>
      </c>
      <c r="C250" s="63"/>
    </row>
    <row r="251" spans="1:6" ht="15.75" customHeight="1">
      <c r="A251" s="62">
        <v>45932</v>
      </c>
      <c r="B251" s="8">
        <v>45936</v>
      </c>
      <c r="C251" s="63">
        <v>6433.26</v>
      </c>
      <c r="F251" t="s">
        <v>140</v>
      </c>
    </row>
    <row r="252" spans="1:6" ht="15.75" customHeight="1">
      <c r="A252" s="62">
        <v>45933</v>
      </c>
      <c r="B252" s="8">
        <v>45937</v>
      </c>
      <c r="C252" s="63"/>
    </row>
    <row r="253" spans="1:6" ht="15.75" customHeight="1">
      <c r="A253" s="62">
        <v>45936</v>
      </c>
      <c r="B253" s="8">
        <v>45938</v>
      </c>
      <c r="C253" s="63">
        <v>10218.49</v>
      </c>
      <c r="F253" t="s">
        <v>140</v>
      </c>
    </row>
    <row r="254" spans="1:6" ht="15.75" customHeight="1">
      <c r="A254" s="62">
        <v>45937</v>
      </c>
      <c r="B254" s="8">
        <v>45939</v>
      </c>
      <c r="C254" s="63"/>
    </row>
    <row r="255" spans="1:6" ht="15.75" customHeight="1">
      <c r="A255" s="62">
        <v>45938</v>
      </c>
      <c r="B255" s="8">
        <v>45940</v>
      </c>
      <c r="C255" s="63">
        <v>10329.9</v>
      </c>
      <c r="F255" t="s">
        <v>140</v>
      </c>
    </row>
    <row r="256" spans="1:6" ht="15.75" customHeight="1">
      <c r="A256" s="62">
        <v>45939</v>
      </c>
      <c r="B256" s="8">
        <v>45943</v>
      </c>
      <c r="C256" s="63"/>
    </row>
    <row r="257" spans="1:6" ht="15.75" customHeight="1">
      <c r="A257" s="62">
        <v>45940</v>
      </c>
      <c r="B257" s="8">
        <v>45944</v>
      </c>
      <c r="C257" s="63"/>
    </row>
    <row r="258" spans="1:6" ht="15.75" customHeight="1">
      <c r="A258" s="62">
        <v>45943</v>
      </c>
      <c r="B258" s="8">
        <v>45945</v>
      </c>
      <c r="C258" s="63"/>
    </row>
    <row r="259" spans="1:6" ht="15.75" customHeight="1">
      <c r="A259" s="62">
        <v>45944</v>
      </c>
      <c r="B259" s="8">
        <v>45946</v>
      </c>
      <c r="C259" s="63"/>
    </row>
    <row r="260" spans="1:6" ht="15.75" customHeight="1">
      <c r="A260" s="62">
        <v>45945</v>
      </c>
      <c r="B260" s="8">
        <v>45947</v>
      </c>
      <c r="C260" s="63"/>
    </row>
    <row r="261" spans="1:6" ht="15.75" customHeight="1">
      <c r="A261" s="62">
        <v>45946</v>
      </c>
      <c r="B261" s="8">
        <v>45950</v>
      </c>
      <c r="C261" s="63"/>
    </row>
    <row r="262" spans="1:6" ht="15.75" customHeight="1">
      <c r="A262" s="62">
        <v>45947</v>
      </c>
      <c r="B262" s="8">
        <v>45951</v>
      </c>
      <c r="C262" s="63">
        <v>972.94</v>
      </c>
      <c r="F262" t="s">
        <v>140</v>
      </c>
    </row>
    <row r="263" spans="1:6" ht="15.75" customHeight="1">
      <c r="A263" s="62">
        <v>45950</v>
      </c>
      <c r="B263" s="8">
        <v>45952</v>
      </c>
      <c r="C263" s="63"/>
    </row>
    <row r="264" spans="1:6" ht="15.75" customHeight="1">
      <c r="A264" s="62">
        <v>45951</v>
      </c>
      <c r="B264" s="8">
        <v>45953</v>
      </c>
      <c r="C264" s="63">
        <v>10053.73</v>
      </c>
      <c r="F264" t="s">
        <v>140</v>
      </c>
    </row>
    <row r="265" spans="1:6" ht="15.75" customHeight="1">
      <c r="A265" s="62">
        <v>45952</v>
      </c>
      <c r="B265" s="8">
        <v>45954</v>
      </c>
      <c r="C265" s="63"/>
    </row>
    <row r="266" spans="1:6" ht="15.75" customHeight="1">
      <c r="A266" s="62">
        <v>45953</v>
      </c>
      <c r="B266" s="8">
        <v>45957</v>
      </c>
      <c r="C266" s="63"/>
    </row>
    <row r="267" spans="1:6" ht="15.75" customHeight="1">
      <c r="A267" s="62">
        <v>45954</v>
      </c>
      <c r="B267" s="8">
        <v>45958</v>
      </c>
      <c r="C267" s="63"/>
    </row>
    <row r="268" spans="1:6" ht="15.75" customHeight="1">
      <c r="A268" s="62">
        <v>45957</v>
      </c>
      <c r="B268" s="8">
        <v>45959</v>
      </c>
      <c r="C268" s="63">
        <v>9344.1299999999992</v>
      </c>
      <c r="F268" t="s">
        <v>140</v>
      </c>
    </row>
    <row r="269" spans="1:6" ht="15.75" customHeight="1">
      <c r="A269" s="62">
        <v>45958</v>
      </c>
      <c r="B269" s="8">
        <v>45960</v>
      </c>
      <c r="C269" s="63"/>
    </row>
    <row r="270" spans="1:6" ht="15.75" customHeight="1">
      <c r="A270" s="62">
        <v>45959</v>
      </c>
      <c r="B270" s="8">
        <v>45961</v>
      </c>
      <c r="C270" s="63"/>
    </row>
    <row r="271" spans="1:6" ht="15.75" customHeight="1">
      <c r="A271" s="62">
        <v>45960</v>
      </c>
      <c r="B271" s="8">
        <v>45964</v>
      </c>
      <c r="C271" s="63"/>
    </row>
    <row r="272" spans="1:6" ht="15.75" customHeight="1">
      <c r="A272" s="62">
        <v>45961</v>
      </c>
      <c r="B272" s="8">
        <v>45965</v>
      </c>
      <c r="C272" s="63">
        <v>6486.28</v>
      </c>
      <c r="F272" t="s">
        <v>140</v>
      </c>
    </row>
    <row r="273" spans="1:6" ht="15.75" customHeight="1">
      <c r="A273" s="64" t="s">
        <v>141</v>
      </c>
      <c r="B273" s="65"/>
      <c r="C273" s="66">
        <f>SUM(C250:C272)</f>
        <v>53838.729999999996</v>
      </c>
    </row>
    <row r="274" spans="1:6" ht="15.75" customHeight="1">
      <c r="A274" s="62">
        <v>45964</v>
      </c>
      <c r="B274" s="8">
        <v>45966</v>
      </c>
      <c r="C274" s="63"/>
    </row>
    <row r="275" spans="1:6" ht="15.75" customHeight="1">
      <c r="A275" s="62">
        <v>45965</v>
      </c>
      <c r="B275" s="8">
        <v>45967</v>
      </c>
      <c r="C275" s="63"/>
    </row>
    <row r="276" spans="1:6" ht="15.75" customHeight="1">
      <c r="A276" s="62">
        <v>45966</v>
      </c>
      <c r="B276" s="8">
        <v>45968</v>
      </c>
      <c r="C276" s="63"/>
    </row>
    <row r="277" spans="1:6" ht="15.75" customHeight="1">
      <c r="A277" s="62">
        <v>45967</v>
      </c>
      <c r="B277" s="8">
        <v>45971</v>
      </c>
      <c r="C277" s="63"/>
    </row>
    <row r="278" spans="1:6" ht="15.75" customHeight="1">
      <c r="A278" s="62">
        <v>45968</v>
      </c>
      <c r="B278" s="8">
        <v>45972</v>
      </c>
      <c r="C278" s="63">
        <v>2001.44</v>
      </c>
      <c r="F278" t="s">
        <v>140</v>
      </c>
    </row>
    <row r="279" spans="1:6" ht="15.75" customHeight="1">
      <c r="A279" s="62">
        <v>45971</v>
      </c>
      <c r="B279" s="8">
        <v>45973</v>
      </c>
      <c r="C279" s="63"/>
    </row>
    <row r="280" spans="1:6" ht="15.75" customHeight="1">
      <c r="A280" s="62">
        <v>45972</v>
      </c>
      <c r="B280" s="8">
        <v>45974</v>
      </c>
      <c r="C280" s="63"/>
    </row>
    <row r="281" spans="1:6" ht="15.75" customHeight="1">
      <c r="A281" s="62">
        <v>45973</v>
      </c>
      <c r="B281" s="8">
        <v>45975</v>
      </c>
      <c r="C281" s="63"/>
    </row>
    <row r="282" spans="1:6" ht="15.75" customHeight="1">
      <c r="A282" s="62">
        <v>45974</v>
      </c>
      <c r="B282" s="8">
        <v>45978</v>
      </c>
      <c r="C282" s="63"/>
    </row>
    <row r="283" spans="1:6" ht="15.75" customHeight="1">
      <c r="A283" s="62">
        <v>45975</v>
      </c>
      <c r="B283" s="8">
        <v>45979</v>
      </c>
      <c r="C283" s="63">
        <v>10329.9</v>
      </c>
      <c r="F283" t="s">
        <v>140</v>
      </c>
    </row>
    <row r="284" spans="1:6" ht="15.75" customHeight="1">
      <c r="A284" s="62">
        <v>45978</v>
      </c>
      <c r="B284" s="8">
        <v>45980</v>
      </c>
      <c r="C284" s="63"/>
    </row>
    <row r="285" spans="1:6" ht="15.75" customHeight="1">
      <c r="A285" s="62">
        <v>45979</v>
      </c>
      <c r="B285" s="8">
        <v>45981</v>
      </c>
      <c r="C285" s="63">
        <v>2665.78</v>
      </c>
      <c r="F285" t="s">
        <v>140</v>
      </c>
    </row>
    <row r="286" spans="1:6" ht="15.75" customHeight="1">
      <c r="A286" s="62">
        <v>45980</v>
      </c>
      <c r="B286" s="8">
        <v>45982</v>
      </c>
      <c r="C286" s="63">
        <v>4533.74</v>
      </c>
      <c r="F286" t="s">
        <v>140</v>
      </c>
    </row>
    <row r="287" spans="1:6" ht="15.75" customHeight="1">
      <c r="A287" s="62">
        <v>45981</v>
      </c>
      <c r="B287" s="8">
        <v>45985</v>
      </c>
      <c r="C287" s="63"/>
    </row>
    <row r="288" spans="1:6" ht="15.75" customHeight="1">
      <c r="A288" s="62">
        <v>45982</v>
      </c>
      <c r="B288" s="8">
        <v>45986</v>
      </c>
      <c r="C288" s="63"/>
    </row>
    <row r="289" spans="1:6" ht="15.75" customHeight="1">
      <c r="A289" s="62">
        <v>45985</v>
      </c>
      <c r="B289" s="8">
        <v>45987</v>
      </c>
      <c r="C289" s="63">
        <v>9784.4500000000007</v>
      </c>
      <c r="F289" t="s">
        <v>140</v>
      </c>
    </row>
    <row r="290" spans="1:6" ht="15.75" customHeight="1">
      <c r="A290" s="62">
        <v>45986</v>
      </c>
      <c r="B290" s="8">
        <v>45992</v>
      </c>
      <c r="C290" s="63"/>
    </row>
    <row r="291" spans="1:6" ht="15.75" customHeight="1">
      <c r="A291" s="62">
        <v>45987</v>
      </c>
      <c r="B291" s="8">
        <v>45993</v>
      </c>
      <c r="C291" s="63"/>
    </row>
    <row r="292" spans="1:6" ht="15.75" customHeight="1">
      <c r="A292" s="64" t="s">
        <v>141</v>
      </c>
      <c r="B292" s="65"/>
      <c r="C292" s="66">
        <f>SUM(C274:C291)</f>
        <v>29315.31</v>
      </c>
    </row>
    <row r="293" spans="1:6" ht="15.75" customHeight="1">
      <c r="A293" s="62">
        <v>45992</v>
      </c>
      <c r="B293" s="8">
        <v>45994</v>
      </c>
      <c r="C293" s="63">
        <v>1049.9100000000001</v>
      </c>
      <c r="F293" t="s">
        <v>140</v>
      </c>
    </row>
    <row r="294" spans="1:6" ht="15.75" customHeight="1">
      <c r="A294" s="62">
        <v>45993</v>
      </c>
      <c r="B294" s="8">
        <v>45995</v>
      </c>
      <c r="C294" s="63"/>
    </row>
    <row r="295" spans="1:6" ht="15.75" customHeight="1">
      <c r="A295" s="62">
        <v>45994</v>
      </c>
      <c r="B295" s="8">
        <v>45996</v>
      </c>
      <c r="C295" s="63"/>
    </row>
    <row r="296" spans="1:6" ht="15.75" customHeight="1">
      <c r="A296" s="62">
        <v>45995</v>
      </c>
      <c r="B296" s="8">
        <v>45999</v>
      </c>
      <c r="C296" s="63"/>
    </row>
    <row r="297" spans="1:6" ht="15.75" customHeight="1">
      <c r="A297" s="62">
        <v>45996</v>
      </c>
      <c r="B297" s="8">
        <v>46000</v>
      </c>
      <c r="C297" s="63"/>
    </row>
    <row r="298" spans="1:6" ht="15.75" customHeight="1">
      <c r="A298" s="62">
        <v>45999</v>
      </c>
      <c r="B298" s="8">
        <v>46001</v>
      </c>
      <c r="C298" s="63"/>
    </row>
    <row r="299" spans="1:6" ht="15.75" customHeight="1">
      <c r="A299" s="62">
        <v>46000</v>
      </c>
      <c r="B299" s="8">
        <v>46002</v>
      </c>
      <c r="C299" s="63"/>
    </row>
    <row r="300" spans="1:6" ht="15.75" customHeight="1">
      <c r="A300" s="62">
        <v>46001</v>
      </c>
      <c r="B300" s="8">
        <v>46003</v>
      </c>
      <c r="C300" s="63"/>
    </row>
    <row r="301" spans="1:6" ht="15.75" customHeight="1">
      <c r="A301" s="62">
        <v>46002</v>
      </c>
      <c r="B301" s="8">
        <v>46006</v>
      </c>
      <c r="C301" s="63"/>
    </row>
    <row r="302" spans="1:6" ht="15.75" customHeight="1">
      <c r="A302" s="62">
        <v>46003</v>
      </c>
      <c r="B302" s="8">
        <v>46007</v>
      </c>
      <c r="C302" s="63"/>
    </row>
    <row r="303" spans="1:6" ht="15.75" customHeight="1">
      <c r="A303" s="62">
        <v>46006</v>
      </c>
      <c r="B303" s="8">
        <v>46008</v>
      </c>
      <c r="C303" s="63">
        <v>13482.51</v>
      </c>
      <c r="F303" t="s">
        <v>140</v>
      </c>
    </row>
    <row r="304" spans="1:6" ht="15.75" customHeight="1">
      <c r="A304" s="62">
        <v>46007</v>
      </c>
      <c r="B304" s="8">
        <v>46009</v>
      </c>
      <c r="C304" s="63"/>
    </row>
    <row r="305" spans="1:8" ht="15.75" customHeight="1">
      <c r="A305" s="62">
        <v>46008</v>
      </c>
      <c r="B305" s="8">
        <v>46010</v>
      </c>
      <c r="C305" s="63"/>
    </row>
    <row r="306" spans="1:8" ht="15.75" customHeight="1">
      <c r="A306" s="62">
        <v>46009</v>
      </c>
      <c r="B306" s="8">
        <v>46013</v>
      </c>
      <c r="C306" s="63"/>
    </row>
    <row r="307" spans="1:8" ht="15.75" customHeight="1">
      <c r="A307" s="62">
        <v>46010</v>
      </c>
      <c r="B307" s="8">
        <v>46014</v>
      </c>
      <c r="C307" s="63"/>
    </row>
    <row r="308" spans="1:8" ht="15.75" customHeight="1">
      <c r="A308" s="62">
        <v>46013</v>
      </c>
      <c r="B308" s="8">
        <v>46017</v>
      </c>
      <c r="C308" s="63">
        <v>8101.44</v>
      </c>
      <c r="F308" t="s">
        <v>140</v>
      </c>
    </row>
    <row r="309" spans="1:8" ht="15.75" customHeight="1">
      <c r="A309" s="62">
        <v>46014</v>
      </c>
      <c r="B309" s="8">
        <v>46020</v>
      </c>
      <c r="C309" s="63"/>
    </row>
    <row r="310" spans="1:8" ht="15.75" customHeight="1">
      <c r="A310" s="62">
        <v>46017</v>
      </c>
      <c r="B310" s="8">
        <v>46021</v>
      </c>
      <c r="C310" s="63"/>
    </row>
    <row r="311" spans="1:8" ht="15.75" customHeight="1">
      <c r="A311" s="62">
        <v>46020</v>
      </c>
      <c r="B311" s="8">
        <v>46022</v>
      </c>
      <c r="C311" s="63"/>
    </row>
    <row r="312" spans="1:8" ht="15.75" customHeight="1">
      <c r="A312" s="62">
        <v>46021</v>
      </c>
      <c r="B312" s="8">
        <v>46024</v>
      </c>
      <c r="C312" s="63"/>
    </row>
    <row r="313" spans="1:8" ht="15.75" customHeight="1">
      <c r="A313" s="62">
        <v>46022</v>
      </c>
      <c r="B313" s="8">
        <v>46027</v>
      </c>
      <c r="C313" s="63"/>
    </row>
    <row r="314" spans="1:8" ht="15.75" customHeight="1">
      <c r="A314" s="42" t="s">
        <v>141</v>
      </c>
      <c r="B314" s="43"/>
      <c r="C314" s="44">
        <f>SUM(C293:C312)</f>
        <v>22633.86</v>
      </c>
    </row>
    <row r="315" spans="1:8" ht="15.75" customHeight="1">
      <c r="A315" s="8">
        <v>46024</v>
      </c>
      <c r="B315" s="8">
        <v>46028</v>
      </c>
      <c r="C315" s="16"/>
      <c r="F315" s="17"/>
      <c r="G315" s="18"/>
      <c r="H315" s="18"/>
    </row>
    <row r="316" spans="1:8" ht="15.75" customHeight="1">
      <c r="A316" s="8">
        <v>46027</v>
      </c>
      <c r="B316" s="8">
        <v>46029</v>
      </c>
      <c r="C316" s="16"/>
      <c r="F316" s="17"/>
      <c r="G316" s="18"/>
      <c r="H316" s="18"/>
    </row>
    <row r="317" spans="1:8" ht="15.75" customHeight="1">
      <c r="A317" s="8">
        <v>46028</v>
      </c>
      <c r="B317" s="8">
        <v>46030</v>
      </c>
      <c r="C317" s="16"/>
      <c r="F317" s="17"/>
      <c r="G317" s="18"/>
      <c r="H317" s="18"/>
    </row>
    <row r="318" spans="1:8" ht="15.75" customHeight="1">
      <c r="A318" s="8">
        <v>46029</v>
      </c>
      <c r="B318" s="19">
        <v>46031</v>
      </c>
      <c r="C318" s="16"/>
      <c r="F318" s="17"/>
      <c r="G318" s="18"/>
      <c r="H318" s="18"/>
    </row>
    <row r="319" spans="1:8" ht="15.75" customHeight="1">
      <c r="A319" s="8">
        <v>46030</v>
      </c>
      <c r="B319" s="8">
        <v>46034</v>
      </c>
      <c r="C319" s="16"/>
      <c r="F319" s="17"/>
      <c r="G319" s="18"/>
      <c r="H319" s="18"/>
    </row>
    <row r="320" spans="1:8" ht="15.75" customHeight="1">
      <c r="A320" s="8">
        <v>46031</v>
      </c>
      <c r="B320" s="8">
        <v>46035</v>
      </c>
      <c r="C320" s="16"/>
      <c r="F320" s="17"/>
      <c r="G320" s="18"/>
      <c r="H320" s="18"/>
    </row>
    <row r="321" spans="1:8" ht="15.75" customHeight="1">
      <c r="A321" s="8">
        <v>46034</v>
      </c>
      <c r="B321" s="8">
        <v>46036</v>
      </c>
      <c r="C321" s="16"/>
      <c r="F321" s="17"/>
      <c r="G321" s="18"/>
      <c r="H321" s="18"/>
    </row>
    <row r="322" spans="1:8" ht="15.75" customHeight="1">
      <c r="A322" s="8">
        <v>46035</v>
      </c>
      <c r="B322" s="8">
        <v>46037</v>
      </c>
      <c r="C322" s="16"/>
      <c r="F322" s="17"/>
      <c r="G322" s="18"/>
      <c r="H322" s="18"/>
    </row>
    <row r="323" spans="1:8" ht="15.75" customHeight="1">
      <c r="A323" s="8">
        <v>46036</v>
      </c>
      <c r="B323" s="8">
        <v>46038</v>
      </c>
      <c r="C323" s="16"/>
      <c r="F323" s="17"/>
      <c r="G323" s="18"/>
      <c r="H323" s="18"/>
    </row>
    <row r="324" spans="1:8" ht="15.75" customHeight="1">
      <c r="A324" s="8">
        <v>46037</v>
      </c>
      <c r="B324" s="8">
        <v>46042</v>
      </c>
      <c r="C324" s="16"/>
      <c r="F324" s="17"/>
      <c r="G324" s="18"/>
      <c r="H324" s="18"/>
    </row>
    <row r="325" spans="1:8" ht="15.75" customHeight="1">
      <c r="A325" s="8">
        <v>46038</v>
      </c>
      <c r="B325" s="19">
        <v>46043</v>
      </c>
      <c r="C325" s="16"/>
      <c r="F325" s="17"/>
      <c r="G325" s="18"/>
      <c r="H325" s="18"/>
    </row>
    <row r="326" spans="1:8" ht="15.75" customHeight="1">
      <c r="A326" s="8">
        <v>46042</v>
      </c>
      <c r="B326" s="8">
        <v>46044</v>
      </c>
      <c r="C326" s="16">
        <v>11552.94</v>
      </c>
      <c r="F326" s="17" t="s">
        <v>140</v>
      </c>
      <c r="G326" s="18"/>
      <c r="H326" s="18"/>
    </row>
    <row r="327" spans="1:8" ht="15.75" customHeight="1">
      <c r="A327" s="8">
        <v>46043</v>
      </c>
      <c r="B327" s="8">
        <v>46045</v>
      </c>
      <c r="C327" s="16"/>
      <c r="F327" s="17"/>
      <c r="G327" s="18"/>
      <c r="H327" s="18"/>
    </row>
    <row r="328" spans="1:8" ht="15.75" customHeight="1">
      <c r="A328" s="8">
        <v>46044</v>
      </c>
      <c r="B328" s="8">
        <v>46048</v>
      </c>
      <c r="C328" s="16"/>
      <c r="F328" s="17"/>
      <c r="G328" s="18"/>
      <c r="H328" s="18"/>
    </row>
    <row r="329" spans="1:8" ht="15.75" customHeight="1">
      <c r="A329" s="8">
        <v>46045</v>
      </c>
      <c r="B329" s="8">
        <v>46049</v>
      </c>
      <c r="C329" s="16"/>
      <c r="F329" s="17"/>
      <c r="G329" s="18"/>
      <c r="H329" s="18"/>
    </row>
    <row r="330" spans="1:8" ht="15.75" customHeight="1">
      <c r="A330" s="8">
        <v>46048</v>
      </c>
      <c r="B330" s="8">
        <v>46050</v>
      </c>
      <c r="C330" s="16"/>
      <c r="F330" s="17"/>
      <c r="G330" s="18"/>
      <c r="H330" s="18"/>
    </row>
    <row r="331" spans="1:8" ht="15.75" customHeight="1">
      <c r="A331" s="8">
        <v>46049</v>
      </c>
      <c r="B331" s="8">
        <v>46051</v>
      </c>
      <c r="C331" s="16"/>
      <c r="F331" s="17"/>
      <c r="G331" s="18"/>
      <c r="H331" s="18"/>
    </row>
    <row r="332" spans="1:8" ht="15.75" customHeight="1">
      <c r="A332" s="8">
        <v>46050</v>
      </c>
      <c r="B332" s="19">
        <v>46052</v>
      </c>
      <c r="C332" s="16"/>
      <c r="F332" s="17"/>
      <c r="G332" s="18"/>
      <c r="H332" s="18"/>
    </row>
    <row r="333" spans="1:8" ht="15.75" customHeight="1">
      <c r="A333" s="8">
        <v>46051</v>
      </c>
      <c r="B333" s="8">
        <v>46055</v>
      </c>
      <c r="C333" s="16"/>
      <c r="F333" s="17"/>
      <c r="G333" s="18"/>
      <c r="H333" s="18"/>
    </row>
    <row r="334" spans="1:8" ht="15.75" customHeight="1">
      <c r="A334" s="8">
        <v>46052</v>
      </c>
      <c r="B334" s="8">
        <v>46056</v>
      </c>
      <c r="C334" s="16"/>
      <c r="F334" s="17"/>
      <c r="G334" s="18"/>
      <c r="H334" s="18"/>
    </row>
    <row r="335" spans="1:8" ht="15.75" customHeight="1">
      <c r="A335" s="45" t="s">
        <v>141</v>
      </c>
      <c r="B335" s="46"/>
      <c r="C335" s="47">
        <f>SUM(C315:C334)</f>
        <v>11552.94</v>
      </c>
      <c r="F335" s="17"/>
      <c r="G335" s="18"/>
      <c r="H335" s="18"/>
    </row>
    <row r="336" spans="1:8" ht="15.75" customHeight="1">
      <c r="A336" s="8">
        <v>46055</v>
      </c>
      <c r="B336" s="8">
        <v>46057</v>
      </c>
      <c r="C336" s="16"/>
      <c r="F336" s="17"/>
      <c r="G336" s="18"/>
      <c r="H336" s="18"/>
    </row>
    <row r="337" spans="1:8" ht="15.75" customHeight="1">
      <c r="A337" s="8">
        <v>46056</v>
      </c>
      <c r="B337" s="8">
        <v>46058</v>
      </c>
      <c r="C337" s="16"/>
      <c r="F337" s="17"/>
      <c r="G337" s="18"/>
      <c r="H337" s="18"/>
    </row>
    <row r="338" spans="1:8" ht="15.75" customHeight="1">
      <c r="A338" s="8">
        <v>46057</v>
      </c>
      <c r="B338" s="19">
        <v>46059</v>
      </c>
      <c r="C338" s="16"/>
      <c r="F338" s="17"/>
      <c r="G338" s="18"/>
      <c r="H338" s="18"/>
    </row>
    <row r="339" spans="1:8" ht="15.75" customHeight="1">
      <c r="A339" s="8">
        <v>46058</v>
      </c>
      <c r="B339" s="8">
        <v>46062</v>
      </c>
      <c r="C339" s="16"/>
      <c r="F339" s="17"/>
      <c r="G339" s="18"/>
      <c r="H339" s="18"/>
    </row>
    <row r="340" spans="1:8" ht="15.75" customHeight="1">
      <c r="A340" s="8">
        <v>46059</v>
      </c>
      <c r="B340" s="8">
        <v>46063</v>
      </c>
      <c r="C340" s="16"/>
      <c r="F340" s="17"/>
      <c r="G340" s="18"/>
      <c r="H340" s="18"/>
    </row>
    <row r="341" spans="1:8" ht="15.75" customHeight="1">
      <c r="A341" s="8">
        <v>46062</v>
      </c>
      <c r="B341" s="8">
        <v>46064</v>
      </c>
      <c r="C341" s="16">
        <v>16068.76</v>
      </c>
      <c r="F341" s="17" t="s">
        <v>140</v>
      </c>
      <c r="G341" s="18"/>
      <c r="H341" s="18"/>
    </row>
    <row r="342" spans="1:8" ht="15.75" customHeight="1">
      <c r="A342" s="8">
        <v>46063</v>
      </c>
      <c r="B342" s="8">
        <v>46065</v>
      </c>
      <c r="C342" s="16">
        <v>18576.689999999999</v>
      </c>
      <c r="F342" s="17" t="s">
        <v>140</v>
      </c>
      <c r="G342" s="18"/>
      <c r="H342" s="18"/>
    </row>
    <row r="343" spans="1:8" ht="15.75" customHeight="1">
      <c r="A343" s="8">
        <v>46064</v>
      </c>
      <c r="B343" s="8">
        <v>46066</v>
      </c>
      <c r="C343" s="16">
        <v>8260.91</v>
      </c>
      <c r="F343" s="17" t="s">
        <v>140</v>
      </c>
      <c r="G343" s="18"/>
      <c r="H343" s="18"/>
    </row>
    <row r="344" spans="1:8" ht="15.75" customHeight="1">
      <c r="A344" s="8">
        <v>46065</v>
      </c>
      <c r="B344" s="8">
        <v>46070</v>
      </c>
      <c r="C344" s="16"/>
      <c r="F344" s="17"/>
      <c r="G344" s="18"/>
      <c r="H344" s="18"/>
    </row>
    <row r="345" spans="1:8" ht="15.75" customHeight="1">
      <c r="A345" s="8">
        <v>46066</v>
      </c>
      <c r="B345" s="19">
        <v>46071</v>
      </c>
      <c r="C345" s="16"/>
      <c r="F345" s="17"/>
      <c r="G345" s="18"/>
      <c r="H345" s="18"/>
    </row>
    <row r="346" spans="1:8" ht="15.75" customHeight="1">
      <c r="A346" s="8">
        <v>46070</v>
      </c>
      <c r="B346" s="8">
        <v>46072</v>
      </c>
      <c r="C346" s="16"/>
      <c r="F346" s="17"/>
      <c r="G346" s="18"/>
      <c r="H346" s="18"/>
    </row>
    <row r="347" spans="1:8" ht="15.75" customHeight="1">
      <c r="A347" s="8">
        <v>46071</v>
      </c>
      <c r="B347" s="8">
        <v>46073</v>
      </c>
      <c r="C347" s="16"/>
      <c r="F347" s="17"/>
      <c r="G347" s="18"/>
      <c r="H347" s="18"/>
    </row>
    <row r="348" spans="1:8" ht="15.75" customHeight="1">
      <c r="A348" s="8">
        <v>46072</v>
      </c>
      <c r="B348" s="8">
        <v>46076</v>
      </c>
      <c r="C348" s="16"/>
      <c r="F348" s="17"/>
      <c r="G348" s="18"/>
      <c r="H348" s="18"/>
    </row>
    <row r="349" spans="1:8" ht="15.75" customHeight="1">
      <c r="A349" s="8">
        <v>46073</v>
      </c>
      <c r="B349" s="8">
        <v>46077</v>
      </c>
      <c r="C349" s="16"/>
      <c r="F349" s="17"/>
      <c r="G349" s="18"/>
      <c r="H349" s="18"/>
    </row>
    <row r="350" spans="1:8" ht="15.75" customHeight="1">
      <c r="A350" s="8">
        <v>46076</v>
      </c>
      <c r="B350" s="8">
        <v>46078</v>
      </c>
      <c r="C350" s="16">
        <v>23549.88</v>
      </c>
      <c r="F350" s="17" t="s">
        <v>140</v>
      </c>
      <c r="G350" s="18"/>
      <c r="H350" s="18"/>
    </row>
    <row r="351" spans="1:8" ht="15.75" customHeight="1">
      <c r="A351" s="8">
        <v>46077</v>
      </c>
      <c r="B351" s="8">
        <v>46079</v>
      </c>
      <c r="C351" s="16">
        <v>7662.26</v>
      </c>
      <c r="F351" s="17" t="s">
        <v>140</v>
      </c>
      <c r="G351" s="18"/>
      <c r="H351" s="18"/>
    </row>
    <row r="352" spans="1:8" ht="15.75" customHeight="1">
      <c r="A352" s="8">
        <v>46078</v>
      </c>
      <c r="B352" s="19">
        <v>46080</v>
      </c>
      <c r="C352" s="16"/>
      <c r="F352" s="17"/>
      <c r="G352" s="18"/>
      <c r="H352" s="18"/>
    </row>
    <row r="353" spans="1:8" ht="15.75" customHeight="1">
      <c r="A353" s="8">
        <v>46079</v>
      </c>
      <c r="B353" s="8">
        <v>46083</v>
      </c>
      <c r="C353" s="16">
        <v>20260.07</v>
      </c>
      <c r="F353" s="17" t="s">
        <v>140</v>
      </c>
      <c r="G353" s="18"/>
      <c r="H353" s="18"/>
    </row>
    <row r="354" spans="1:8" ht="15.75" customHeight="1">
      <c r="A354" s="8">
        <v>46080</v>
      </c>
      <c r="B354" s="8">
        <v>46084</v>
      </c>
      <c r="C354" s="16">
        <v>26666.19</v>
      </c>
      <c r="F354" s="17" t="s">
        <v>140</v>
      </c>
      <c r="G354" s="18"/>
      <c r="H354" s="18"/>
    </row>
    <row r="355" spans="1:8" ht="15.75" customHeight="1">
      <c r="A355" s="45" t="s">
        <v>141</v>
      </c>
      <c r="B355" s="46"/>
      <c r="C355" s="47">
        <f>SUM(C336:C354)</f>
        <v>121044.76000000001</v>
      </c>
      <c r="F355" s="17"/>
      <c r="G355" s="18"/>
      <c r="H355" s="18"/>
    </row>
    <row r="356" spans="1:8" ht="15.75" customHeight="1">
      <c r="A356" s="8">
        <v>46083</v>
      </c>
      <c r="B356" s="8">
        <v>46085</v>
      </c>
      <c r="C356" s="16">
        <v>8903.2000000000007</v>
      </c>
      <c r="F356" s="17" t="s">
        <v>140</v>
      </c>
      <c r="G356" s="18"/>
      <c r="H356" s="18"/>
    </row>
    <row r="357" spans="1:8" ht="15.75" customHeight="1">
      <c r="A357" s="8">
        <v>46084</v>
      </c>
      <c r="B357" s="8">
        <v>46086</v>
      </c>
      <c r="C357" s="16">
        <v>10990.43</v>
      </c>
      <c r="F357" s="17" t="s">
        <v>140</v>
      </c>
      <c r="G357" s="18"/>
      <c r="H357" s="18"/>
    </row>
    <row r="358" spans="1:8" ht="15.75" customHeight="1">
      <c r="A358" s="8">
        <v>46085</v>
      </c>
      <c r="B358" s="8">
        <v>46087</v>
      </c>
      <c r="C358" s="16"/>
      <c r="F358" s="17"/>
      <c r="G358" s="18"/>
      <c r="H358" s="18"/>
    </row>
    <row r="359" spans="1:8" ht="15.75" customHeight="1">
      <c r="A359" s="8">
        <v>46086</v>
      </c>
      <c r="B359" s="19">
        <v>46090</v>
      </c>
      <c r="C359" s="16">
        <v>8102.16</v>
      </c>
      <c r="F359" s="17" t="s">
        <v>140</v>
      </c>
      <c r="G359" s="18"/>
      <c r="H359" s="18"/>
    </row>
    <row r="360" spans="1:8" ht="15.75" customHeight="1">
      <c r="A360" s="8">
        <v>46087</v>
      </c>
      <c r="B360" s="8">
        <v>46091</v>
      </c>
      <c r="C360" s="16"/>
      <c r="F360" s="17"/>
      <c r="G360" s="18"/>
      <c r="H360" s="18"/>
    </row>
    <row r="361" spans="1:8" ht="15.75" customHeight="1">
      <c r="A361" s="8">
        <v>46090</v>
      </c>
      <c r="B361" s="8">
        <v>46092</v>
      </c>
      <c r="C361" s="16"/>
      <c r="F361" s="17"/>
      <c r="G361" s="18"/>
      <c r="H361" s="18"/>
    </row>
    <row r="362" spans="1:8" ht="15.75" customHeight="1">
      <c r="A362" s="8">
        <v>46091</v>
      </c>
      <c r="B362" s="8">
        <v>46093</v>
      </c>
      <c r="C362" s="16">
        <v>16150.44</v>
      </c>
      <c r="F362" s="17" t="s">
        <v>140</v>
      </c>
      <c r="G362" s="18"/>
      <c r="H362" s="18"/>
    </row>
    <row r="363" spans="1:8" ht="15.75" customHeight="1">
      <c r="A363" s="8">
        <v>46092</v>
      </c>
      <c r="B363" s="8">
        <v>46094</v>
      </c>
      <c r="C363" s="16"/>
      <c r="F363" s="17"/>
      <c r="G363" s="18"/>
      <c r="H363" s="18"/>
    </row>
    <row r="364" spans="1:8" ht="15.75" customHeight="1">
      <c r="A364" s="8">
        <v>46093</v>
      </c>
      <c r="B364" s="8">
        <v>46097</v>
      </c>
      <c r="C364" s="16">
        <v>971.51</v>
      </c>
      <c r="F364" s="17" t="s">
        <v>140</v>
      </c>
      <c r="G364" s="18"/>
      <c r="H364" s="18"/>
    </row>
    <row r="365" spans="1:8" ht="15.75" customHeight="1">
      <c r="A365" s="8">
        <v>46094</v>
      </c>
      <c r="B365" s="8">
        <v>46098</v>
      </c>
      <c r="C365" s="16">
        <v>7948.52</v>
      </c>
      <c r="F365" s="17" t="s">
        <v>140</v>
      </c>
      <c r="G365" s="18"/>
      <c r="H365" s="18"/>
    </row>
    <row r="366" spans="1:8" ht="15.75" customHeight="1">
      <c r="A366" s="8">
        <v>46097</v>
      </c>
      <c r="B366" s="19">
        <v>46099</v>
      </c>
      <c r="C366" s="16"/>
      <c r="F366" s="17"/>
      <c r="G366" s="18"/>
      <c r="H366" s="18"/>
    </row>
    <row r="367" spans="1:8" ht="15.75" customHeight="1">
      <c r="A367" s="8">
        <v>46098</v>
      </c>
      <c r="B367" s="8">
        <v>46100</v>
      </c>
      <c r="C367" s="16"/>
      <c r="F367" s="17"/>
      <c r="G367" s="18"/>
      <c r="H367" s="18"/>
    </row>
    <row r="368" spans="1:8" ht="15.75" customHeight="1">
      <c r="A368" s="8">
        <v>46099</v>
      </c>
      <c r="B368" s="8">
        <v>46101</v>
      </c>
      <c r="C368" s="16">
        <v>4102.46</v>
      </c>
      <c r="F368" s="17" t="s">
        <v>140</v>
      </c>
      <c r="G368" s="18"/>
      <c r="H368" s="18"/>
    </row>
    <row r="369" spans="1:8" ht="15.75" customHeight="1">
      <c r="A369" s="8">
        <v>46100</v>
      </c>
      <c r="B369" s="8">
        <v>46104</v>
      </c>
      <c r="C369" s="16"/>
      <c r="F369" s="17"/>
      <c r="G369" s="18"/>
      <c r="H369" s="18"/>
    </row>
    <row r="370" spans="1:8" ht="15.75" customHeight="1">
      <c r="A370" s="8">
        <v>46101</v>
      </c>
      <c r="B370" s="8">
        <v>46105</v>
      </c>
      <c r="C370" s="16">
        <v>5108.17</v>
      </c>
      <c r="F370" s="17" t="s">
        <v>140</v>
      </c>
      <c r="G370" s="18"/>
      <c r="H370" s="18"/>
    </row>
    <row r="371" spans="1:8" ht="15.75" customHeight="1">
      <c r="A371" s="8">
        <v>46104</v>
      </c>
      <c r="B371" s="8">
        <v>46106</v>
      </c>
      <c r="C371" s="16"/>
      <c r="F371" s="17"/>
      <c r="G371" s="18"/>
      <c r="H371" s="18"/>
    </row>
    <row r="372" spans="1:8" ht="15.75" customHeight="1">
      <c r="A372" s="8">
        <v>46105</v>
      </c>
      <c r="B372" s="8">
        <v>46107</v>
      </c>
      <c r="C372" s="16"/>
      <c r="F372" s="17"/>
      <c r="G372" s="18"/>
      <c r="H372" s="18"/>
    </row>
    <row r="373" spans="1:8" ht="15.75" customHeight="1">
      <c r="A373" s="8">
        <v>46106</v>
      </c>
      <c r="B373" s="19">
        <v>46108</v>
      </c>
      <c r="C373" s="16"/>
      <c r="F373" s="17"/>
      <c r="G373" s="18"/>
      <c r="H373" s="18"/>
    </row>
    <row r="374" spans="1:8" ht="15.75" customHeight="1">
      <c r="A374" s="8">
        <v>46107</v>
      </c>
      <c r="B374" s="8">
        <v>46111</v>
      </c>
      <c r="C374" s="16"/>
      <c r="F374" s="17"/>
      <c r="G374" s="18"/>
      <c r="H374" s="18"/>
    </row>
    <row r="375" spans="1:8" ht="15.75" customHeight="1">
      <c r="A375" s="8">
        <v>46108</v>
      </c>
      <c r="B375" s="8">
        <v>46112</v>
      </c>
      <c r="C375" s="16"/>
      <c r="F375" s="17"/>
      <c r="G375" s="18"/>
      <c r="H375" s="18"/>
    </row>
    <row r="376" spans="1:8" ht="15.75" customHeight="1">
      <c r="A376" s="8">
        <v>46111</v>
      </c>
      <c r="B376" s="8">
        <v>46113</v>
      </c>
      <c r="F376" s="17"/>
      <c r="G376" s="18"/>
      <c r="H376" s="18"/>
    </row>
    <row r="377" spans="1:8" ht="15.75" customHeight="1">
      <c r="A377" s="23">
        <v>46112</v>
      </c>
      <c r="B377" s="24">
        <v>46114</v>
      </c>
      <c r="C377" s="16">
        <v>7807.69</v>
      </c>
      <c r="F377" s="17" t="s">
        <v>140</v>
      </c>
      <c r="G377" s="18"/>
      <c r="H377" s="18"/>
    </row>
    <row r="378" spans="1:8" ht="15.75" customHeight="1">
      <c r="A378" s="45" t="s">
        <v>141</v>
      </c>
      <c r="B378" s="46"/>
      <c r="C378" s="47">
        <f>SUM(C356:C377)</f>
        <v>70084.58</v>
      </c>
      <c r="F378" s="17"/>
      <c r="G378" s="18"/>
      <c r="H378" s="18"/>
    </row>
    <row r="379" spans="1:8" ht="15.75" customHeight="1">
      <c r="A379" s="8">
        <v>46113</v>
      </c>
      <c r="B379" s="8">
        <v>46115</v>
      </c>
      <c r="C379" s="16"/>
      <c r="F379" s="17"/>
      <c r="G379" s="18"/>
      <c r="H379" s="18"/>
    </row>
    <row r="380" spans="1:8" ht="15.75" customHeight="1">
      <c r="A380" s="8">
        <v>46114</v>
      </c>
      <c r="B380" s="8">
        <v>46118</v>
      </c>
      <c r="C380" s="16"/>
      <c r="F380" s="17"/>
      <c r="G380" s="18"/>
      <c r="H380" s="18"/>
    </row>
    <row r="381" spans="1:8" ht="15.75" customHeight="1">
      <c r="A381" s="8">
        <v>46115</v>
      </c>
      <c r="B381" s="8">
        <v>46119</v>
      </c>
      <c r="C381" s="16">
        <v>16107.9</v>
      </c>
      <c r="F381" s="17" t="s">
        <v>140</v>
      </c>
      <c r="G381" s="18"/>
      <c r="H381" s="18"/>
    </row>
    <row r="382" spans="1:8" ht="15.75" customHeight="1">
      <c r="A382" s="8">
        <v>46118</v>
      </c>
      <c r="B382" s="19">
        <v>46120</v>
      </c>
      <c r="C382" s="16">
        <v>12029.28</v>
      </c>
      <c r="F382" s="17" t="s">
        <v>140</v>
      </c>
      <c r="G382" s="18"/>
      <c r="H382" s="18"/>
    </row>
    <row r="383" spans="1:8" ht="15.75" customHeight="1">
      <c r="A383" s="8">
        <v>46119</v>
      </c>
      <c r="B383" s="8">
        <v>46121</v>
      </c>
      <c r="C383" s="16"/>
      <c r="F383" s="17" t="s">
        <v>143</v>
      </c>
      <c r="G383" s="18"/>
      <c r="H383" s="18"/>
    </row>
    <row r="384" spans="1:8" ht="15.75" customHeight="1">
      <c r="A384" s="8">
        <v>46120</v>
      </c>
      <c r="B384" s="8">
        <v>46122</v>
      </c>
      <c r="C384" s="16"/>
      <c r="F384" s="17"/>
      <c r="G384" s="18"/>
      <c r="H384" s="18"/>
    </row>
    <row r="385" spans="1:8" ht="15.75" customHeight="1">
      <c r="A385" s="8">
        <v>46121</v>
      </c>
      <c r="B385" s="8">
        <v>46125</v>
      </c>
      <c r="C385" s="16"/>
      <c r="F385" s="17"/>
      <c r="G385" s="18"/>
      <c r="H385" s="18"/>
    </row>
    <row r="386" spans="1:8" ht="15.75" customHeight="1">
      <c r="A386" s="8">
        <v>46122</v>
      </c>
      <c r="B386" s="8">
        <v>46126</v>
      </c>
      <c r="C386" s="16">
        <v>7151.44</v>
      </c>
      <c r="F386" s="17" t="s">
        <v>143</v>
      </c>
      <c r="G386" s="18"/>
      <c r="H386" s="18"/>
    </row>
    <row r="387" spans="1:8" ht="15.75" customHeight="1">
      <c r="A387" s="8">
        <v>46125</v>
      </c>
      <c r="B387" s="8">
        <v>46127</v>
      </c>
      <c r="C387" s="16"/>
      <c r="F387" s="17"/>
      <c r="G387" s="18"/>
      <c r="H387" s="18"/>
    </row>
    <row r="388" spans="1:8" ht="15.75" customHeight="1">
      <c r="A388" s="8">
        <v>46126</v>
      </c>
      <c r="B388" s="8">
        <v>46128</v>
      </c>
      <c r="C388" s="16"/>
      <c r="F388" s="17"/>
      <c r="G388" s="18"/>
      <c r="H388" s="18"/>
    </row>
    <row r="389" spans="1:8" ht="15.75" customHeight="1">
      <c r="A389" s="8">
        <v>46127</v>
      </c>
      <c r="B389" s="19">
        <v>46129</v>
      </c>
      <c r="C389" s="16"/>
      <c r="F389" s="17"/>
      <c r="G389" s="18"/>
      <c r="H389" s="18"/>
    </row>
    <row r="390" spans="1:8" ht="15.75" customHeight="1">
      <c r="A390" s="8">
        <v>46128</v>
      </c>
      <c r="B390" s="8">
        <v>46132</v>
      </c>
      <c r="C390" s="16"/>
      <c r="F390" s="17"/>
      <c r="G390" s="18"/>
      <c r="H390" s="18"/>
    </row>
    <row r="391" spans="1:8" ht="15.75" customHeight="1">
      <c r="A391" s="8">
        <v>46129</v>
      </c>
      <c r="B391" s="8">
        <v>46133</v>
      </c>
      <c r="C391" s="16"/>
      <c r="F391" s="17"/>
      <c r="G391" s="18"/>
      <c r="H391" s="18"/>
    </row>
    <row r="392" spans="1:8" ht="15.75" customHeight="1">
      <c r="A392" s="8">
        <v>46132</v>
      </c>
      <c r="B392" s="8">
        <v>46134</v>
      </c>
      <c r="C392" s="16">
        <v>648.11</v>
      </c>
      <c r="F392" s="17" t="s">
        <v>143</v>
      </c>
      <c r="G392" s="18"/>
      <c r="H392" s="18"/>
    </row>
    <row r="393" spans="1:8" ht="15.75" customHeight="1">
      <c r="A393" s="8">
        <v>46133</v>
      </c>
      <c r="B393" s="8">
        <v>46135</v>
      </c>
      <c r="C393" s="16">
        <v>5508.98</v>
      </c>
      <c r="F393" s="17" t="s">
        <v>143</v>
      </c>
      <c r="G393" s="18"/>
      <c r="H393" s="18"/>
    </row>
    <row r="394" spans="1:8" ht="15.75" customHeight="1">
      <c r="A394" s="8">
        <v>46134</v>
      </c>
      <c r="B394" s="8">
        <v>46136</v>
      </c>
      <c r="C394" s="16">
        <v>7739.08</v>
      </c>
      <c r="F394" s="17" t="s">
        <v>143</v>
      </c>
      <c r="G394" s="18"/>
      <c r="H394" s="18"/>
    </row>
    <row r="395" spans="1:8" ht="15.75" customHeight="1">
      <c r="A395" s="8">
        <v>46135</v>
      </c>
      <c r="B395" s="8">
        <v>46139</v>
      </c>
      <c r="C395" s="16"/>
      <c r="F395" s="17"/>
      <c r="G395" s="18"/>
      <c r="H395" s="18"/>
    </row>
    <row r="396" spans="1:8" ht="15.75" customHeight="1">
      <c r="A396" s="8">
        <v>46136</v>
      </c>
      <c r="B396" s="19">
        <v>46140</v>
      </c>
      <c r="C396" s="16"/>
      <c r="F396" s="17"/>
      <c r="G396" s="18"/>
      <c r="H396" s="18"/>
    </row>
    <row r="397" spans="1:8" ht="15.75" customHeight="1">
      <c r="A397" s="8">
        <v>46139</v>
      </c>
      <c r="B397" s="8">
        <v>46141</v>
      </c>
      <c r="C397" s="16"/>
      <c r="F397" s="17"/>
      <c r="G397" s="18"/>
      <c r="H397" s="18"/>
    </row>
    <row r="398" spans="1:8" ht="15.75" customHeight="1">
      <c r="A398" s="8">
        <v>46140</v>
      </c>
      <c r="B398" s="8">
        <v>46142</v>
      </c>
      <c r="C398" s="16"/>
      <c r="F398" s="17"/>
      <c r="G398" s="18"/>
      <c r="H398" s="18"/>
    </row>
    <row r="399" spans="1:8" ht="15.75" customHeight="1">
      <c r="A399" s="8">
        <v>46141</v>
      </c>
      <c r="B399" s="8">
        <v>46143</v>
      </c>
      <c r="C399" s="16"/>
      <c r="F399" s="17"/>
      <c r="G399" s="18"/>
      <c r="H399" s="18"/>
    </row>
    <row r="400" spans="1:8" ht="15.75" customHeight="1">
      <c r="A400" s="8">
        <v>46142</v>
      </c>
      <c r="B400" s="8">
        <v>46146</v>
      </c>
      <c r="C400" s="16"/>
      <c r="F400" s="17"/>
      <c r="G400" s="18"/>
      <c r="H400" s="18"/>
    </row>
    <row r="401" spans="1:8" ht="15.75" customHeight="1">
      <c r="A401" s="45" t="s">
        <v>141</v>
      </c>
      <c r="B401" s="46"/>
      <c r="C401" s="47">
        <f>SUM(C379:C400)</f>
        <v>49184.790000000008</v>
      </c>
      <c r="F401" s="17"/>
      <c r="G401" s="18"/>
      <c r="H401" s="18"/>
    </row>
    <row r="402" spans="1:8" ht="15.75" customHeight="1">
      <c r="A402" s="8">
        <v>46143</v>
      </c>
      <c r="B402" s="8">
        <v>46147</v>
      </c>
      <c r="C402" s="20"/>
      <c r="F402" s="17"/>
      <c r="G402" s="18"/>
      <c r="H402" s="18"/>
    </row>
    <row r="403" spans="1:8" ht="15.75" customHeight="1">
      <c r="A403" s="8">
        <v>46146</v>
      </c>
      <c r="B403" s="8">
        <v>46148</v>
      </c>
      <c r="C403" s="21"/>
      <c r="F403" s="17"/>
      <c r="G403" s="18"/>
      <c r="H403" s="18"/>
    </row>
    <row r="404" spans="1:8" ht="15.75" customHeight="1">
      <c r="A404" s="8">
        <v>46147</v>
      </c>
      <c r="B404" s="19">
        <v>46149</v>
      </c>
      <c r="C404" s="21"/>
      <c r="F404" s="17"/>
      <c r="G404" s="18"/>
      <c r="H404" s="18"/>
    </row>
    <row r="405" spans="1:8" ht="15.75" customHeight="1">
      <c r="A405" s="8">
        <v>46148</v>
      </c>
      <c r="B405" s="8">
        <v>46150</v>
      </c>
      <c r="C405" s="21"/>
      <c r="F405" s="17"/>
      <c r="G405" s="18"/>
      <c r="H405" s="18"/>
    </row>
    <row r="406" spans="1:8" ht="15.75" customHeight="1">
      <c r="A406" s="8">
        <v>46149</v>
      </c>
      <c r="B406" s="8">
        <v>46153</v>
      </c>
      <c r="C406" s="21"/>
      <c r="F406" s="17"/>
      <c r="G406" s="18"/>
      <c r="H406" s="18"/>
    </row>
    <row r="407" spans="1:8" ht="15.75" customHeight="1">
      <c r="A407" s="8">
        <v>46150</v>
      </c>
      <c r="B407" s="8">
        <v>46154</v>
      </c>
      <c r="C407" s="21"/>
      <c r="F407" s="17"/>
      <c r="G407" s="18"/>
      <c r="H407" s="18"/>
    </row>
    <row r="408" spans="1:8" ht="15.75" customHeight="1">
      <c r="A408" s="8">
        <v>46153</v>
      </c>
      <c r="B408" s="8">
        <v>46155</v>
      </c>
      <c r="C408" s="21"/>
      <c r="F408" s="17"/>
      <c r="G408" s="18"/>
      <c r="H408" s="18"/>
    </row>
    <row r="409" spans="1:8" ht="15.75" customHeight="1">
      <c r="A409" s="8">
        <v>46154</v>
      </c>
      <c r="B409" s="8">
        <v>46156</v>
      </c>
      <c r="C409" s="21"/>
      <c r="F409" s="17"/>
      <c r="G409" s="18"/>
      <c r="H409" s="18"/>
    </row>
    <row r="410" spans="1:8" ht="15.75" customHeight="1">
      <c r="A410" s="8">
        <v>46155</v>
      </c>
      <c r="B410" s="8">
        <v>46157</v>
      </c>
      <c r="C410" s="21"/>
      <c r="F410" s="17"/>
      <c r="G410" s="18"/>
      <c r="H410" s="18"/>
    </row>
    <row r="411" spans="1:8" ht="15.75" customHeight="1">
      <c r="A411" s="8">
        <v>46156</v>
      </c>
      <c r="B411" s="19">
        <v>46160</v>
      </c>
      <c r="C411" s="21"/>
      <c r="F411" s="17"/>
      <c r="G411" s="18"/>
      <c r="H411" s="18"/>
    </row>
    <row r="412" spans="1:8" ht="15.75" customHeight="1">
      <c r="A412" s="8">
        <v>46157</v>
      </c>
      <c r="B412" s="8">
        <v>46161</v>
      </c>
      <c r="C412" s="21"/>
      <c r="F412" s="17"/>
      <c r="G412" s="18"/>
      <c r="H412" s="18"/>
    </row>
    <row r="413" spans="1:8" ht="15.75" customHeight="1">
      <c r="A413" s="8">
        <v>46160</v>
      </c>
      <c r="B413" s="8">
        <v>46162</v>
      </c>
      <c r="C413" s="21"/>
      <c r="F413" s="17"/>
      <c r="G413" s="18"/>
      <c r="H413" s="18"/>
    </row>
    <row r="414" spans="1:8" ht="15.75" customHeight="1">
      <c r="A414" s="8">
        <v>46161</v>
      </c>
      <c r="B414" s="8">
        <v>46163</v>
      </c>
      <c r="C414" s="21"/>
      <c r="F414" s="17"/>
      <c r="G414" s="18"/>
      <c r="H414" s="18"/>
    </row>
    <row r="415" spans="1:8" ht="15.75" customHeight="1">
      <c r="A415" s="8">
        <v>46162</v>
      </c>
      <c r="B415" s="8">
        <v>46164</v>
      </c>
      <c r="C415" s="21"/>
      <c r="F415" s="17"/>
      <c r="G415" s="18"/>
      <c r="H415" s="18"/>
    </row>
    <row r="416" spans="1:8" ht="15.75" customHeight="1">
      <c r="A416" s="8">
        <v>46163</v>
      </c>
      <c r="B416" s="8">
        <v>46168</v>
      </c>
      <c r="C416" s="21"/>
      <c r="F416" s="17"/>
      <c r="G416" s="18"/>
      <c r="H416" s="18"/>
    </row>
    <row r="417" spans="1:8" ht="15.75" customHeight="1">
      <c r="A417" s="8">
        <v>46164</v>
      </c>
      <c r="B417" s="8">
        <v>46169</v>
      </c>
      <c r="C417" s="21"/>
      <c r="F417" s="17"/>
      <c r="G417" s="18"/>
      <c r="H417" s="18"/>
    </row>
    <row r="418" spans="1:8" ht="15.75" customHeight="1">
      <c r="A418" s="8">
        <v>46168</v>
      </c>
      <c r="B418" s="19">
        <v>46170</v>
      </c>
      <c r="C418" s="21"/>
      <c r="F418" s="17"/>
      <c r="G418" s="18"/>
      <c r="H418" s="18"/>
    </row>
    <row r="419" spans="1:8" ht="15.75" customHeight="1">
      <c r="A419" s="8">
        <v>46169</v>
      </c>
      <c r="B419" s="8">
        <v>46171</v>
      </c>
      <c r="C419" s="21"/>
      <c r="F419" s="17"/>
      <c r="G419" s="18"/>
      <c r="H419" s="18"/>
    </row>
    <row r="420" spans="1:8" ht="15.75" customHeight="1">
      <c r="A420" s="8">
        <v>46170</v>
      </c>
      <c r="B420" s="8">
        <v>46174</v>
      </c>
      <c r="C420" s="21"/>
      <c r="F420" s="17"/>
      <c r="G420" s="18"/>
      <c r="H420" s="18"/>
    </row>
    <row r="421" spans="1:8" ht="15.75" customHeight="1">
      <c r="A421" s="8">
        <v>46171</v>
      </c>
      <c r="B421" s="8">
        <v>46175</v>
      </c>
      <c r="C421" s="21"/>
      <c r="F421" s="17"/>
      <c r="G421" s="18"/>
      <c r="H421" s="18"/>
    </row>
    <row r="422" spans="1:8" ht="15.75" customHeight="1">
      <c r="A422" s="45" t="s">
        <v>141</v>
      </c>
      <c r="B422" s="46"/>
      <c r="C422" s="47">
        <f>SUM(C402:C421)</f>
        <v>0</v>
      </c>
      <c r="F422" s="17"/>
      <c r="G422" s="18"/>
      <c r="H422" s="18"/>
    </row>
    <row r="423" spans="1:8" ht="15.75" customHeight="1">
      <c r="A423" s="8">
        <v>46174</v>
      </c>
      <c r="B423" s="8">
        <v>46176</v>
      </c>
      <c r="C423" s="21"/>
      <c r="F423" s="17"/>
      <c r="G423" s="18"/>
      <c r="H423" s="18"/>
    </row>
    <row r="424" spans="1:8" ht="15.75" customHeight="1">
      <c r="A424" s="8">
        <v>46175</v>
      </c>
      <c r="B424" s="19">
        <v>46177</v>
      </c>
      <c r="C424" s="21"/>
      <c r="F424" s="17"/>
      <c r="G424" s="18"/>
      <c r="H424" s="18"/>
    </row>
    <row r="425" spans="1:8" ht="15.75" customHeight="1">
      <c r="A425" s="8">
        <v>46176</v>
      </c>
      <c r="B425" s="8">
        <v>46178</v>
      </c>
      <c r="C425" s="21"/>
      <c r="F425" s="17"/>
      <c r="G425" s="18"/>
      <c r="H425" s="18"/>
    </row>
    <row r="426" spans="1:8" ht="15.75" customHeight="1">
      <c r="A426" s="8">
        <v>46177</v>
      </c>
      <c r="B426" s="8">
        <v>46181</v>
      </c>
      <c r="C426" s="21"/>
      <c r="F426" s="17"/>
      <c r="G426" s="18"/>
      <c r="H426" s="18"/>
    </row>
    <row r="427" spans="1:8" ht="15.75" customHeight="1">
      <c r="A427" s="8">
        <v>46178</v>
      </c>
      <c r="B427" s="8">
        <v>46182</v>
      </c>
      <c r="C427" s="21"/>
      <c r="F427" s="17"/>
      <c r="G427" s="18"/>
      <c r="H427" s="18"/>
    </row>
    <row r="428" spans="1:8" ht="15.75" customHeight="1">
      <c r="A428" s="8">
        <v>46181</v>
      </c>
      <c r="B428" s="8">
        <v>46183</v>
      </c>
      <c r="C428" s="21"/>
      <c r="F428" s="17"/>
      <c r="G428" s="18"/>
      <c r="H428" s="18"/>
    </row>
    <row r="429" spans="1:8" ht="15.75" customHeight="1">
      <c r="A429" s="8">
        <v>46182</v>
      </c>
      <c r="B429" s="8">
        <v>46184</v>
      </c>
      <c r="C429" s="21"/>
      <c r="F429" s="17"/>
      <c r="G429" s="18"/>
      <c r="H429" s="18"/>
    </row>
    <row r="430" spans="1:8" ht="15.75" customHeight="1">
      <c r="A430" s="8">
        <v>46183</v>
      </c>
      <c r="B430" s="8">
        <v>46185</v>
      </c>
      <c r="C430" s="21"/>
      <c r="F430" s="17"/>
      <c r="G430" s="18"/>
      <c r="H430" s="18"/>
    </row>
    <row r="431" spans="1:8" ht="15.75" customHeight="1">
      <c r="A431" s="8">
        <v>46184</v>
      </c>
      <c r="B431" s="19">
        <v>46188</v>
      </c>
      <c r="C431" s="21"/>
      <c r="F431" s="17"/>
      <c r="G431" s="18"/>
      <c r="H431" s="18"/>
    </row>
    <row r="432" spans="1:8" ht="15.75" customHeight="1">
      <c r="A432" s="8">
        <v>46185</v>
      </c>
      <c r="B432" s="8">
        <v>46189</v>
      </c>
      <c r="C432" s="21"/>
      <c r="F432" s="17"/>
      <c r="G432" s="18"/>
      <c r="H432" s="18"/>
    </row>
    <row r="433" spans="1:8" ht="15.75" customHeight="1">
      <c r="A433" s="8">
        <v>46188</v>
      </c>
      <c r="B433" s="8">
        <v>46190</v>
      </c>
      <c r="C433" s="21"/>
      <c r="F433" s="17"/>
      <c r="G433" s="18"/>
      <c r="H433" s="18"/>
    </row>
    <row r="434" spans="1:8" ht="15.75" customHeight="1">
      <c r="A434" s="8">
        <v>46189</v>
      </c>
      <c r="B434" s="8">
        <v>46191</v>
      </c>
      <c r="C434" s="21"/>
      <c r="F434" s="17"/>
      <c r="G434" s="18"/>
      <c r="H434" s="18"/>
    </row>
    <row r="435" spans="1:8" ht="15.75" customHeight="1">
      <c r="A435" s="8">
        <v>46190</v>
      </c>
      <c r="B435" s="8">
        <v>46195</v>
      </c>
      <c r="C435" s="21"/>
      <c r="F435" s="17"/>
      <c r="G435" s="18"/>
      <c r="H435" s="18"/>
    </row>
    <row r="436" spans="1:8" ht="15.75" customHeight="1">
      <c r="A436" s="8">
        <v>46191</v>
      </c>
      <c r="B436" s="8">
        <v>46196</v>
      </c>
      <c r="C436" s="21"/>
      <c r="F436" s="17"/>
      <c r="G436" s="18"/>
      <c r="H436" s="18"/>
    </row>
    <row r="437" spans="1:8" ht="15.75" customHeight="1">
      <c r="A437" s="8">
        <v>46195</v>
      </c>
      <c r="B437" s="8">
        <v>46197</v>
      </c>
      <c r="C437" s="21"/>
      <c r="F437" s="17"/>
      <c r="G437" s="18"/>
      <c r="H437" s="18"/>
    </row>
    <row r="438" spans="1:8" ht="15.75" customHeight="1">
      <c r="A438" s="8">
        <v>46196</v>
      </c>
      <c r="B438" s="19">
        <v>46198</v>
      </c>
      <c r="C438" s="21"/>
      <c r="F438" s="17"/>
      <c r="G438" s="18"/>
      <c r="H438" s="18"/>
    </row>
    <row r="439" spans="1:8" ht="15.75" customHeight="1">
      <c r="A439" s="8">
        <v>46197</v>
      </c>
      <c r="B439" s="8">
        <v>46199</v>
      </c>
      <c r="C439" s="21"/>
      <c r="F439" s="17"/>
      <c r="G439" s="18"/>
      <c r="H439" s="18"/>
    </row>
    <row r="440" spans="1:8" ht="15.75" customHeight="1">
      <c r="A440" s="8">
        <v>46198</v>
      </c>
      <c r="B440" s="8">
        <v>46202</v>
      </c>
      <c r="C440" s="21"/>
      <c r="F440" s="17"/>
      <c r="G440" s="18"/>
      <c r="H440" s="18"/>
    </row>
    <row r="441" spans="1:8" ht="15.75" customHeight="1">
      <c r="A441" s="8">
        <v>46199</v>
      </c>
      <c r="B441" s="8">
        <v>46203</v>
      </c>
      <c r="C441" s="21"/>
      <c r="F441" s="17"/>
      <c r="G441" s="18"/>
      <c r="H441" s="18"/>
    </row>
    <row r="442" spans="1:8" ht="15.75" customHeight="1">
      <c r="A442" s="8">
        <v>46202</v>
      </c>
      <c r="B442" s="8">
        <v>46204</v>
      </c>
      <c r="C442" s="21"/>
      <c r="F442" s="17"/>
      <c r="G442" s="18"/>
      <c r="H442" s="18"/>
    </row>
    <row r="443" spans="1:8" ht="15.75" customHeight="1">
      <c r="A443" s="8">
        <v>46203</v>
      </c>
      <c r="B443" s="8">
        <v>46205</v>
      </c>
      <c r="C443" s="21"/>
      <c r="F443" s="17"/>
      <c r="G443" s="18"/>
      <c r="H443" s="18"/>
    </row>
    <row r="444" spans="1:8" ht="15.75" customHeight="1">
      <c r="A444" s="45" t="s">
        <v>141</v>
      </c>
      <c r="B444" s="46"/>
      <c r="C444" s="47">
        <f>SUM(C423:C443)</f>
        <v>0</v>
      </c>
      <c r="F444" s="17"/>
      <c r="G444" s="18"/>
      <c r="H444" s="18"/>
    </row>
    <row r="445" spans="1:8" ht="15.75" customHeight="1">
      <c r="A445" s="8">
        <v>46204</v>
      </c>
      <c r="B445" s="8">
        <v>46209</v>
      </c>
      <c r="C445" s="21"/>
      <c r="F445" s="17"/>
      <c r="G445" s="18"/>
      <c r="H445" s="18"/>
    </row>
    <row r="446" spans="1:8" ht="15.75" customHeight="1">
      <c r="A446" s="8">
        <v>46205</v>
      </c>
      <c r="B446" s="19">
        <v>46210</v>
      </c>
      <c r="C446" s="21"/>
      <c r="F446" s="17"/>
      <c r="G446" s="18"/>
      <c r="H446" s="18"/>
    </row>
    <row r="447" spans="1:8" ht="15.75" customHeight="1">
      <c r="A447" s="8">
        <v>46209</v>
      </c>
      <c r="B447" s="8">
        <v>46211</v>
      </c>
      <c r="C447" s="21"/>
      <c r="F447" s="17"/>
      <c r="G447" s="18"/>
      <c r="H447" s="18"/>
    </row>
    <row r="448" spans="1:8" ht="15.75" customHeight="1">
      <c r="A448" s="8">
        <v>46210</v>
      </c>
      <c r="B448" s="8">
        <v>46212</v>
      </c>
      <c r="C448" s="21"/>
      <c r="F448" s="17"/>
      <c r="G448" s="18"/>
      <c r="H448" s="18"/>
    </row>
    <row r="449" spans="1:8" ht="15.75" customHeight="1">
      <c r="A449" s="8">
        <v>46211</v>
      </c>
      <c r="B449" s="8">
        <v>46213</v>
      </c>
      <c r="C449" s="21"/>
      <c r="F449" s="17"/>
      <c r="G449" s="18"/>
      <c r="H449" s="18"/>
    </row>
    <row r="450" spans="1:8" ht="15.75" customHeight="1">
      <c r="A450" s="8">
        <v>46212</v>
      </c>
      <c r="B450" s="8">
        <v>46216</v>
      </c>
      <c r="C450" s="21"/>
      <c r="F450" s="17"/>
      <c r="G450" s="18"/>
      <c r="H450" s="18"/>
    </row>
    <row r="451" spans="1:8" ht="15.75" customHeight="1">
      <c r="A451" s="8">
        <v>46213</v>
      </c>
      <c r="B451" s="8">
        <v>46217</v>
      </c>
      <c r="C451" s="21"/>
      <c r="F451" s="17"/>
      <c r="G451" s="18"/>
      <c r="H451" s="18"/>
    </row>
    <row r="452" spans="1:8" ht="15.75" customHeight="1">
      <c r="A452" s="8">
        <v>46216</v>
      </c>
      <c r="B452" s="19">
        <v>46218</v>
      </c>
      <c r="C452" s="21"/>
      <c r="F452" s="17"/>
      <c r="G452" s="18"/>
      <c r="H452" s="18"/>
    </row>
    <row r="453" spans="1:8" ht="15.75" customHeight="1">
      <c r="A453" s="8">
        <v>46217</v>
      </c>
      <c r="B453" s="8">
        <v>46219</v>
      </c>
      <c r="C453" s="21"/>
      <c r="F453" s="17"/>
      <c r="G453" s="18"/>
      <c r="H453" s="18"/>
    </row>
    <row r="454" spans="1:8" ht="15.75" customHeight="1">
      <c r="A454" s="8">
        <v>46218</v>
      </c>
      <c r="B454" s="8">
        <v>46220</v>
      </c>
      <c r="C454" s="21"/>
      <c r="F454" s="17"/>
      <c r="G454" s="18"/>
      <c r="H454" s="18"/>
    </row>
    <row r="455" spans="1:8" ht="15.75" customHeight="1">
      <c r="A455" s="8">
        <v>46219</v>
      </c>
      <c r="B455" s="8">
        <v>46223</v>
      </c>
      <c r="C455" s="21"/>
      <c r="F455" s="17"/>
      <c r="G455" s="18"/>
      <c r="H455" s="18"/>
    </row>
    <row r="456" spans="1:8" ht="15.75" customHeight="1">
      <c r="A456" s="8">
        <v>46220</v>
      </c>
      <c r="B456" s="8">
        <v>46224</v>
      </c>
      <c r="C456" s="21"/>
      <c r="F456" s="17"/>
      <c r="G456" s="18"/>
      <c r="H456" s="18"/>
    </row>
    <row r="457" spans="1:8" ht="15.75" customHeight="1">
      <c r="A457" s="8">
        <v>46223</v>
      </c>
      <c r="B457" s="8">
        <v>46225</v>
      </c>
      <c r="C457" s="21"/>
      <c r="F457" s="17"/>
      <c r="G457" s="18"/>
      <c r="H457" s="18"/>
    </row>
    <row r="458" spans="1:8" ht="15.75" customHeight="1">
      <c r="A458" s="8">
        <v>46224</v>
      </c>
      <c r="B458" s="8">
        <v>46226</v>
      </c>
      <c r="C458" s="21"/>
      <c r="F458" s="17"/>
      <c r="G458" s="18"/>
      <c r="H458" s="18"/>
    </row>
    <row r="459" spans="1:8" ht="15.75" customHeight="1">
      <c r="A459" s="8">
        <v>46225</v>
      </c>
      <c r="B459" s="19">
        <v>46227</v>
      </c>
      <c r="C459" s="21"/>
      <c r="F459" s="17"/>
      <c r="G459" s="18"/>
      <c r="H459" s="18"/>
    </row>
    <row r="460" spans="1:8" ht="15.75" customHeight="1">
      <c r="A460" s="8">
        <v>46226</v>
      </c>
      <c r="B460" s="8">
        <v>46230</v>
      </c>
      <c r="C460" s="21"/>
      <c r="F460" s="17"/>
      <c r="G460" s="18"/>
      <c r="H460" s="18"/>
    </row>
    <row r="461" spans="1:8" ht="15.75" customHeight="1">
      <c r="A461" s="8">
        <v>46227</v>
      </c>
      <c r="B461" s="8">
        <v>46231</v>
      </c>
      <c r="C461" s="21"/>
      <c r="F461" s="17"/>
      <c r="G461" s="18"/>
      <c r="H461" s="18"/>
    </row>
    <row r="462" spans="1:8" ht="15.75" customHeight="1">
      <c r="A462" s="8">
        <v>46230</v>
      </c>
      <c r="B462" s="8">
        <v>46232</v>
      </c>
      <c r="C462" s="21"/>
      <c r="F462" s="17"/>
      <c r="G462" s="18"/>
      <c r="H462" s="18"/>
    </row>
    <row r="463" spans="1:8" ht="15.75" customHeight="1">
      <c r="A463" s="8">
        <v>46231</v>
      </c>
      <c r="B463" s="8">
        <v>46233</v>
      </c>
      <c r="C463" s="21"/>
      <c r="F463" s="17"/>
      <c r="G463" s="18"/>
      <c r="H463" s="18"/>
    </row>
    <row r="464" spans="1:8" ht="15.75" customHeight="1">
      <c r="A464" s="8">
        <v>46232</v>
      </c>
      <c r="B464" s="8">
        <v>46234</v>
      </c>
      <c r="C464" s="21"/>
      <c r="F464" s="17"/>
      <c r="G464" s="18"/>
      <c r="H464" s="18"/>
    </row>
    <row r="465" spans="1:8" ht="15.75" customHeight="1">
      <c r="A465" s="8">
        <v>46233</v>
      </c>
      <c r="B465" s="8">
        <v>46237</v>
      </c>
      <c r="C465" s="21"/>
      <c r="F465" s="17"/>
      <c r="G465" s="18"/>
      <c r="H465" s="18"/>
    </row>
    <row r="466" spans="1:8" ht="15.75" customHeight="1">
      <c r="A466" s="8">
        <v>46234</v>
      </c>
      <c r="B466" s="19">
        <v>46238</v>
      </c>
      <c r="C466" s="21"/>
      <c r="F466" s="17"/>
      <c r="G466" s="18"/>
      <c r="H466" s="18"/>
    </row>
    <row r="467" spans="1:8" ht="15.75" customHeight="1">
      <c r="A467" s="45" t="s">
        <v>141</v>
      </c>
      <c r="B467" s="46"/>
      <c r="C467" s="47">
        <f>SUM(C445:C466)</f>
        <v>0</v>
      </c>
      <c r="F467" s="17"/>
      <c r="G467" s="18"/>
      <c r="H467" s="18"/>
    </row>
    <row r="468" spans="1:8" ht="15.75" customHeight="1">
      <c r="A468" s="8">
        <v>46237</v>
      </c>
      <c r="B468" s="8">
        <v>46239</v>
      </c>
      <c r="C468" s="21"/>
      <c r="F468" s="17"/>
      <c r="G468" s="18"/>
      <c r="H468" s="18"/>
    </row>
    <row r="469" spans="1:8" ht="15.75" customHeight="1">
      <c r="A469" s="8">
        <v>46238</v>
      </c>
      <c r="B469" s="8">
        <v>46240</v>
      </c>
      <c r="C469" s="21"/>
      <c r="F469" s="17"/>
      <c r="G469" s="18"/>
      <c r="H469" s="18"/>
    </row>
    <row r="470" spans="1:8" ht="15.75" customHeight="1">
      <c r="A470" s="8">
        <v>46239</v>
      </c>
      <c r="B470" s="8">
        <v>46241</v>
      </c>
      <c r="C470" s="21"/>
      <c r="F470" s="17"/>
      <c r="G470" s="18"/>
      <c r="H470" s="18"/>
    </row>
    <row r="471" spans="1:8" ht="15.75" customHeight="1">
      <c r="A471" s="8">
        <v>46240</v>
      </c>
      <c r="B471" s="8">
        <v>46244</v>
      </c>
      <c r="C471" s="21"/>
      <c r="F471" s="17"/>
      <c r="G471" s="18"/>
      <c r="H471" s="18"/>
    </row>
    <row r="472" spans="1:8" ht="15.75" customHeight="1">
      <c r="A472" s="8">
        <v>46241</v>
      </c>
      <c r="B472" s="8">
        <v>46245</v>
      </c>
      <c r="C472" s="21"/>
      <c r="F472" s="17"/>
      <c r="G472" s="18"/>
      <c r="H472" s="18"/>
    </row>
    <row r="473" spans="1:8" ht="15.75" customHeight="1">
      <c r="A473" s="8">
        <v>46244</v>
      </c>
      <c r="B473" s="8">
        <v>46246</v>
      </c>
      <c r="C473" s="21"/>
      <c r="F473" s="17"/>
      <c r="G473" s="18"/>
      <c r="H473" s="18"/>
    </row>
    <row r="474" spans="1:8" ht="15.75" customHeight="1">
      <c r="A474" s="8">
        <v>46245</v>
      </c>
      <c r="B474" s="19">
        <v>46247</v>
      </c>
      <c r="C474" s="21"/>
      <c r="F474" s="17"/>
      <c r="G474" s="18"/>
      <c r="H474" s="18"/>
    </row>
    <row r="475" spans="1:8" ht="15.75" customHeight="1">
      <c r="A475" s="8">
        <v>46246</v>
      </c>
      <c r="B475" s="8">
        <v>46248</v>
      </c>
      <c r="C475" s="21"/>
      <c r="F475" s="17"/>
      <c r="G475" s="18"/>
      <c r="H475" s="18"/>
    </row>
    <row r="476" spans="1:8" ht="15.75" customHeight="1">
      <c r="A476" s="8">
        <v>46247</v>
      </c>
      <c r="B476" s="8">
        <v>46251</v>
      </c>
      <c r="C476" s="21"/>
      <c r="F476" s="17"/>
      <c r="G476" s="18"/>
      <c r="H476" s="18"/>
    </row>
    <row r="477" spans="1:8" ht="15.75" customHeight="1">
      <c r="A477" s="8">
        <v>46248</v>
      </c>
      <c r="B477" s="8">
        <v>46252</v>
      </c>
      <c r="C477" s="21"/>
      <c r="F477" s="17"/>
      <c r="G477" s="18"/>
      <c r="H477" s="18"/>
    </row>
    <row r="478" spans="1:8" ht="15.75" customHeight="1">
      <c r="A478" s="8">
        <v>46251</v>
      </c>
      <c r="B478" s="8">
        <v>46253</v>
      </c>
      <c r="C478" s="21"/>
      <c r="F478" s="17"/>
      <c r="G478" s="18"/>
      <c r="H478" s="18"/>
    </row>
    <row r="479" spans="1:8" ht="15.75" customHeight="1">
      <c r="A479" s="8">
        <v>46252</v>
      </c>
      <c r="B479" s="8">
        <v>46254</v>
      </c>
      <c r="C479" s="21"/>
      <c r="F479" s="17"/>
      <c r="G479" s="18"/>
      <c r="H479" s="18"/>
    </row>
    <row r="480" spans="1:8" ht="15.75" customHeight="1">
      <c r="A480" s="8">
        <v>46253</v>
      </c>
      <c r="B480" s="8">
        <v>46255</v>
      </c>
      <c r="C480" s="21"/>
      <c r="F480" s="17"/>
      <c r="G480" s="18"/>
      <c r="H480" s="18"/>
    </row>
    <row r="481" spans="1:8" ht="15.75" customHeight="1">
      <c r="A481" s="8">
        <v>46254</v>
      </c>
      <c r="B481" s="19">
        <v>46258</v>
      </c>
      <c r="C481" s="21"/>
      <c r="F481" s="17"/>
      <c r="G481" s="18"/>
      <c r="H481" s="18"/>
    </row>
    <row r="482" spans="1:8" ht="15.75" customHeight="1">
      <c r="A482" s="8">
        <v>46255</v>
      </c>
      <c r="B482" s="8">
        <v>46259</v>
      </c>
      <c r="C482" s="21"/>
      <c r="F482" s="17"/>
      <c r="G482" s="18"/>
      <c r="H482" s="18"/>
    </row>
    <row r="483" spans="1:8" ht="15.75" customHeight="1">
      <c r="A483" s="8">
        <v>46258</v>
      </c>
      <c r="B483" s="8">
        <v>46260</v>
      </c>
      <c r="C483" s="21"/>
      <c r="F483" s="17"/>
      <c r="G483" s="18"/>
      <c r="H483" s="18"/>
    </row>
    <row r="484" spans="1:8" ht="15.75" customHeight="1">
      <c r="A484" s="8">
        <v>46259</v>
      </c>
      <c r="B484" s="8">
        <v>46261</v>
      </c>
      <c r="C484" s="21"/>
      <c r="F484" s="17"/>
      <c r="G484" s="18"/>
      <c r="H484" s="18"/>
    </row>
    <row r="485" spans="1:8" ht="15.75" customHeight="1">
      <c r="A485" s="8">
        <v>46260</v>
      </c>
      <c r="B485" s="8">
        <v>46262</v>
      </c>
      <c r="C485" s="21"/>
      <c r="F485" s="17"/>
      <c r="G485" s="18"/>
      <c r="H485" s="18"/>
    </row>
    <row r="486" spans="1:8" ht="15.75" customHeight="1">
      <c r="A486" s="8">
        <v>46261</v>
      </c>
      <c r="B486" s="8">
        <v>46265</v>
      </c>
      <c r="C486" s="21"/>
      <c r="F486" s="17"/>
      <c r="G486" s="18"/>
      <c r="H486" s="18"/>
    </row>
    <row r="487" spans="1:8" ht="15.75" customHeight="1">
      <c r="A487" s="8">
        <v>46262</v>
      </c>
      <c r="B487" s="8">
        <v>46266</v>
      </c>
      <c r="C487" s="21"/>
      <c r="F487" s="17"/>
      <c r="G487" s="18"/>
      <c r="H487" s="18"/>
    </row>
    <row r="488" spans="1:8" ht="15.75" customHeight="1">
      <c r="A488" s="8">
        <v>46265</v>
      </c>
      <c r="B488" s="19">
        <v>46267</v>
      </c>
      <c r="C488" s="21"/>
      <c r="F488" s="17"/>
      <c r="G488" s="18"/>
      <c r="H488" s="18"/>
    </row>
    <row r="489" spans="1:8" ht="15.75" customHeight="1">
      <c r="A489" s="45" t="s">
        <v>141</v>
      </c>
      <c r="B489" s="46"/>
      <c r="C489" s="47">
        <f>SUM(C468:C488)</f>
        <v>0</v>
      </c>
      <c r="F489" s="17"/>
      <c r="G489" s="18"/>
      <c r="H489" s="18"/>
    </row>
    <row r="490" spans="1:8" ht="15.75" customHeight="1">
      <c r="A490" s="8">
        <v>46266</v>
      </c>
      <c r="B490" s="8">
        <v>46268</v>
      </c>
      <c r="C490" s="21"/>
      <c r="F490" s="17"/>
      <c r="G490" s="18"/>
      <c r="H490" s="18"/>
    </row>
    <row r="491" spans="1:8" ht="15.75" customHeight="1">
      <c r="A491" s="8">
        <v>46267</v>
      </c>
      <c r="B491" s="8">
        <v>46269</v>
      </c>
      <c r="C491" s="21"/>
      <c r="F491" s="17"/>
      <c r="G491" s="18"/>
      <c r="H491" s="18"/>
    </row>
    <row r="492" spans="1:8" ht="15.75" customHeight="1">
      <c r="A492" s="8">
        <v>46268</v>
      </c>
      <c r="B492" s="8">
        <v>46273</v>
      </c>
      <c r="C492" s="21"/>
      <c r="F492" s="17"/>
      <c r="G492" s="18"/>
      <c r="H492" s="18"/>
    </row>
    <row r="493" spans="1:8" ht="15.75" customHeight="1">
      <c r="A493" s="8">
        <v>46269</v>
      </c>
      <c r="B493" s="8">
        <v>46274</v>
      </c>
      <c r="C493" s="21"/>
      <c r="F493" s="17"/>
      <c r="G493" s="18"/>
      <c r="H493" s="18"/>
    </row>
    <row r="494" spans="1:8" ht="15.75" customHeight="1">
      <c r="A494" s="8">
        <v>46273</v>
      </c>
      <c r="B494" s="8">
        <v>46275</v>
      </c>
      <c r="C494" s="21"/>
      <c r="F494" s="17"/>
      <c r="G494" s="18"/>
      <c r="H494" s="18"/>
    </row>
    <row r="495" spans="1:8" ht="15.75" customHeight="1">
      <c r="A495" s="8">
        <v>46274</v>
      </c>
      <c r="B495" s="19">
        <v>46276</v>
      </c>
      <c r="C495" s="21"/>
      <c r="F495" s="17"/>
      <c r="G495" s="18"/>
      <c r="H495" s="18"/>
    </row>
    <row r="496" spans="1:8" ht="15.75" customHeight="1">
      <c r="A496" s="8">
        <v>46275</v>
      </c>
      <c r="B496" s="8">
        <v>46279</v>
      </c>
      <c r="C496" s="21"/>
      <c r="F496" s="17"/>
      <c r="G496" s="18"/>
      <c r="H496" s="18"/>
    </row>
    <row r="497" spans="1:8" ht="15.75" customHeight="1">
      <c r="A497" s="8">
        <v>46276</v>
      </c>
      <c r="B497" s="8">
        <v>46280</v>
      </c>
      <c r="C497" s="21"/>
      <c r="F497" s="17"/>
      <c r="G497" s="18"/>
      <c r="H497" s="18"/>
    </row>
    <row r="498" spans="1:8" ht="15.75" customHeight="1">
      <c r="A498" s="8">
        <v>46279</v>
      </c>
      <c r="B498" s="8">
        <v>46281</v>
      </c>
      <c r="C498" s="21"/>
      <c r="F498" s="17"/>
      <c r="G498" s="18"/>
      <c r="H498" s="18"/>
    </row>
    <row r="499" spans="1:8" ht="15.75" customHeight="1">
      <c r="A499" s="8">
        <v>46280</v>
      </c>
      <c r="B499" s="8">
        <v>46282</v>
      </c>
      <c r="C499" s="21"/>
      <c r="F499" s="17"/>
      <c r="G499" s="18"/>
      <c r="H499" s="18"/>
    </row>
    <row r="500" spans="1:8" ht="15.75" customHeight="1">
      <c r="A500" s="8">
        <v>46281</v>
      </c>
      <c r="B500" s="8">
        <v>46283</v>
      </c>
      <c r="C500" s="21"/>
      <c r="F500" s="17"/>
      <c r="G500" s="18"/>
      <c r="H500" s="18"/>
    </row>
    <row r="501" spans="1:8" ht="15.75" customHeight="1">
      <c r="A501" s="8">
        <v>46282</v>
      </c>
      <c r="B501" s="8">
        <v>46286</v>
      </c>
      <c r="C501" s="21"/>
      <c r="F501" s="17"/>
      <c r="G501" s="18"/>
      <c r="H501" s="18"/>
    </row>
    <row r="502" spans="1:8" ht="15.75" customHeight="1">
      <c r="A502" s="8">
        <v>46283</v>
      </c>
      <c r="B502" s="19">
        <v>46287</v>
      </c>
      <c r="C502" s="21"/>
      <c r="F502" s="17"/>
      <c r="G502" s="18"/>
      <c r="H502" s="18"/>
    </row>
    <row r="503" spans="1:8" ht="15.75" customHeight="1">
      <c r="A503" s="8">
        <v>46286</v>
      </c>
      <c r="B503" s="8">
        <v>46288</v>
      </c>
      <c r="C503" s="21"/>
      <c r="F503" s="17"/>
      <c r="G503" s="18"/>
      <c r="H503" s="18"/>
    </row>
    <row r="504" spans="1:8" ht="15.75" customHeight="1">
      <c r="A504" s="8">
        <v>46287</v>
      </c>
      <c r="B504" s="8">
        <v>46289</v>
      </c>
      <c r="C504" s="21"/>
      <c r="F504" s="17"/>
      <c r="G504" s="18"/>
      <c r="H504" s="18"/>
    </row>
    <row r="505" spans="1:8" ht="15.75" customHeight="1">
      <c r="A505" s="8">
        <v>46288</v>
      </c>
      <c r="B505" s="8">
        <v>46290</v>
      </c>
      <c r="C505" s="21"/>
      <c r="F505" s="17"/>
      <c r="G505" s="18"/>
      <c r="H505" s="18"/>
    </row>
    <row r="506" spans="1:8" ht="15.75" customHeight="1">
      <c r="A506" s="8">
        <v>46289</v>
      </c>
      <c r="B506" s="8">
        <v>46293</v>
      </c>
      <c r="C506" s="21"/>
      <c r="F506" s="17"/>
      <c r="G506" s="18"/>
      <c r="H506" s="18"/>
    </row>
    <row r="507" spans="1:8" ht="15.75" customHeight="1">
      <c r="A507" s="8">
        <v>46290</v>
      </c>
      <c r="B507" s="8">
        <v>46294</v>
      </c>
      <c r="C507" s="21"/>
      <c r="F507" s="17"/>
      <c r="G507" s="18"/>
      <c r="H507" s="18"/>
    </row>
    <row r="508" spans="1:8" ht="15.75" customHeight="1">
      <c r="A508" s="8">
        <v>46293</v>
      </c>
      <c r="B508" s="8">
        <v>46295</v>
      </c>
      <c r="C508" s="21"/>
      <c r="F508" s="17"/>
      <c r="G508" s="18"/>
      <c r="H508" s="18"/>
    </row>
    <row r="509" spans="1:8" ht="15.75" customHeight="1">
      <c r="A509" s="8">
        <v>46294</v>
      </c>
      <c r="B509" s="19">
        <v>46296</v>
      </c>
      <c r="C509" s="21"/>
      <c r="F509" s="17"/>
      <c r="G509" s="18"/>
      <c r="H509" s="18"/>
    </row>
    <row r="510" spans="1:8" ht="15.75" customHeight="1">
      <c r="A510" s="8">
        <v>46295</v>
      </c>
      <c r="B510" s="8">
        <v>46297</v>
      </c>
      <c r="C510" s="21"/>
      <c r="F510" s="17"/>
      <c r="G510" s="18"/>
      <c r="H510" s="18"/>
    </row>
    <row r="511" spans="1:8" ht="15.75" customHeight="1">
      <c r="A511" s="45" t="s">
        <v>141</v>
      </c>
      <c r="B511" s="46"/>
      <c r="C511" s="47">
        <f>SUM(C490:C510)</f>
        <v>0</v>
      </c>
      <c r="F511" s="17"/>
      <c r="G511" s="18"/>
      <c r="H511" s="18"/>
    </row>
    <row r="512" spans="1:8" ht="15.75" customHeight="1">
      <c r="A512" s="8">
        <v>46296</v>
      </c>
      <c r="B512" s="8">
        <v>46300</v>
      </c>
      <c r="C512" s="21"/>
      <c r="F512" s="17"/>
      <c r="G512" s="18"/>
      <c r="H512" s="18"/>
    </row>
    <row r="513" spans="1:8" ht="15.75" customHeight="1">
      <c r="A513" s="8">
        <v>46297</v>
      </c>
      <c r="B513" s="8">
        <v>46301</v>
      </c>
      <c r="C513" s="21"/>
      <c r="F513" s="17"/>
      <c r="G513" s="18"/>
      <c r="H513" s="18"/>
    </row>
    <row r="514" spans="1:8" ht="15.75" customHeight="1">
      <c r="A514" s="8">
        <v>46300</v>
      </c>
      <c r="B514" s="8">
        <v>46302</v>
      </c>
      <c r="C514" s="21"/>
      <c r="F514" s="17"/>
      <c r="G514" s="18"/>
      <c r="H514" s="18"/>
    </row>
    <row r="515" spans="1:8" ht="15.75" customHeight="1">
      <c r="A515" s="8">
        <v>46301</v>
      </c>
      <c r="B515" s="8">
        <v>46303</v>
      </c>
      <c r="C515" s="21"/>
      <c r="F515" s="17"/>
      <c r="G515" s="18"/>
      <c r="H515" s="18"/>
    </row>
    <row r="516" spans="1:8" ht="15.75" customHeight="1">
      <c r="A516" s="8">
        <v>46302</v>
      </c>
      <c r="B516" s="8">
        <v>46304</v>
      </c>
      <c r="C516" s="21"/>
      <c r="F516" s="17"/>
      <c r="G516" s="18"/>
      <c r="H516" s="18"/>
    </row>
    <row r="517" spans="1:8" ht="15.75" customHeight="1">
      <c r="A517" s="8">
        <v>46303</v>
      </c>
      <c r="B517" s="19">
        <v>46308</v>
      </c>
      <c r="C517" s="21"/>
      <c r="F517" s="17"/>
      <c r="G517" s="18"/>
      <c r="H517" s="18"/>
    </row>
    <row r="518" spans="1:8" ht="15.75" customHeight="1">
      <c r="A518" s="8">
        <v>46304</v>
      </c>
      <c r="B518" s="8">
        <v>46309</v>
      </c>
      <c r="C518" s="21"/>
      <c r="F518" s="17"/>
      <c r="G518" s="18"/>
      <c r="H518" s="18"/>
    </row>
    <row r="519" spans="1:8" ht="15.75" customHeight="1">
      <c r="A519" s="8">
        <v>46308</v>
      </c>
      <c r="B519" s="8">
        <v>46310</v>
      </c>
      <c r="C519" s="21"/>
      <c r="F519" s="17"/>
      <c r="G519" s="18"/>
      <c r="H519" s="18"/>
    </row>
    <row r="520" spans="1:8" ht="15.75" customHeight="1">
      <c r="A520" s="8">
        <v>46309</v>
      </c>
      <c r="B520" s="8">
        <v>46311</v>
      </c>
      <c r="C520" s="21"/>
      <c r="F520" s="17"/>
      <c r="G520" s="18"/>
      <c r="H520" s="18"/>
    </row>
    <row r="521" spans="1:8" ht="15.75" customHeight="1">
      <c r="A521" s="8">
        <v>46310</v>
      </c>
      <c r="B521" s="8">
        <v>46314</v>
      </c>
      <c r="C521" s="21"/>
      <c r="F521" s="17"/>
      <c r="G521" s="18"/>
      <c r="H521" s="18"/>
    </row>
    <row r="522" spans="1:8" ht="15.75" customHeight="1">
      <c r="A522" s="8">
        <v>46311</v>
      </c>
      <c r="B522" s="8">
        <v>46315</v>
      </c>
      <c r="C522" s="21"/>
      <c r="F522" s="17"/>
      <c r="G522" s="18"/>
      <c r="H522" s="18"/>
    </row>
    <row r="523" spans="1:8" ht="15.75" customHeight="1">
      <c r="A523" s="8">
        <v>46314</v>
      </c>
      <c r="B523" s="8">
        <v>46316</v>
      </c>
      <c r="C523" s="21"/>
      <c r="F523" s="17"/>
      <c r="G523" s="18"/>
      <c r="H523" s="18"/>
    </row>
    <row r="524" spans="1:8" ht="15.75" customHeight="1">
      <c r="A524" s="8">
        <v>46315</v>
      </c>
      <c r="B524" s="19">
        <v>46317</v>
      </c>
      <c r="C524" s="21"/>
      <c r="F524" s="17"/>
      <c r="G524" s="18"/>
      <c r="H524" s="18"/>
    </row>
    <row r="525" spans="1:8" ht="15.75" customHeight="1">
      <c r="A525" s="8">
        <v>46316</v>
      </c>
      <c r="B525" s="8">
        <v>46318</v>
      </c>
      <c r="C525" s="21"/>
      <c r="F525" s="17"/>
      <c r="G525" s="18"/>
      <c r="H525" s="18"/>
    </row>
    <row r="526" spans="1:8" ht="15.75" customHeight="1">
      <c r="A526" s="8">
        <v>46317</v>
      </c>
      <c r="B526" s="8">
        <v>46321</v>
      </c>
      <c r="C526" s="21"/>
      <c r="F526" s="17"/>
      <c r="G526" s="18"/>
      <c r="H526" s="18"/>
    </row>
    <row r="527" spans="1:8" ht="15.75" customHeight="1">
      <c r="A527" s="8">
        <v>46318</v>
      </c>
      <c r="B527" s="8">
        <v>46322</v>
      </c>
      <c r="C527" s="21"/>
      <c r="F527" s="17"/>
      <c r="G527" s="18"/>
      <c r="H527" s="18"/>
    </row>
    <row r="528" spans="1:8" ht="15.75" customHeight="1">
      <c r="A528" s="8">
        <v>46321</v>
      </c>
      <c r="B528" s="8">
        <v>46323</v>
      </c>
      <c r="C528" s="21"/>
      <c r="F528" s="17"/>
      <c r="G528" s="18"/>
      <c r="H528" s="18"/>
    </row>
    <row r="529" spans="1:8" ht="15.75" customHeight="1">
      <c r="A529" s="8">
        <v>46322</v>
      </c>
      <c r="B529" s="8">
        <v>46324</v>
      </c>
      <c r="C529" s="21"/>
      <c r="F529" s="17"/>
      <c r="G529" s="18"/>
      <c r="H529" s="18"/>
    </row>
    <row r="530" spans="1:8" ht="15.75" customHeight="1">
      <c r="A530" s="8">
        <v>46323</v>
      </c>
      <c r="B530" s="8">
        <v>46325</v>
      </c>
      <c r="C530" s="21"/>
      <c r="F530" s="17"/>
      <c r="G530" s="18"/>
      <c r="H530" s="18"/>
    </row>
    <row r="531" spans="1:8" ht="15.75" customHeight="1">
      <c r="A531" s="8">
        <v>46324</v>
      </c>
      <c r="B531" s="19">
        <v>46328</v>
      </c>
      <c r="C531" s="21"/>
      <c r="F531" s="17"/>
      <c r="G531" s="18"/>
      <c r="H531" s="18"/>
    </row>
    <row r="532" spans="1:8" ht="15.75" customHeight="1">
      <c r="A532" s="8">
        <v>46325</v>
      </c>
      <c r="B532" s="8">
        <v>46329</v>
      </c>
      <c r="C532" s="21"/>
      <c r="F532" s="17"/>
      <c r="G532" s="18"/>
      <c r="H532" s="18"/>
    </row>
    <row r="533" spans="1:8" ht="15.75" customHeight="1">
      <c r="A533" s="45" t="s">
        <v>141</v>
      </c>
      <c r="B533" s="46"/>
      <c r="C533" s="47">
        <f>SUM(C512:C532)</f>
        <v>0</v>
      </c>
      <c r="F533" s="17"/>
      <c r="G533" s="18"/>
      <c r="H533" s="18"/>
    </row>
    <row r="534" spans="1:8" ht="15.75" customHeight="1">
      <c r="A534" s="8">
        <v>46328</v>
      </c>
      <c r="B534" s="8">
        <v>46330</v>
      </c>
      <c r="C534" s="21"/>
      <c r="F534" s="17"/>
      <c r="G534" s="18"/>
      <c r="H534" s="18"/>
    </row>
    <row r="535" spans="1:8" ht="15.75" customHeight="1">
      <c r="A535" s="8">
        <v>46329</v>
      </c>
      <c r="B535" s="8">
        <v>46331</v>
      </c>
      <c r="C535" s="21"/>
      <c r="F535" s="17"/>
      <c r="G535" s="18"/>
      <c r="H535" s="18"/>
    </row>
    <row r="536" spans="1:8" ht="15.75" customHeight="1">
      <c r="A536" s="8">
        <v>46330</v>
      </c>
      <c r="B536" s="8">
        <v>46332</v>
      </c>
      <c r="C536" s="21"/>
      <c r="F536" s="17"/>
      <c r="G536" s="18"/>
      <c r="H536" s="18"/>
    </row>
    <row r="537" spans="1:8" ht="15.75" customHeight="1">
      <c r="A537" s="8">
        <v>46331</v>
      </c>
      <c r="B537" s="19">
        <v>46335</v>
      </c>
      <c r="C537" s="21"/>
      <c r="F537" s="17"/>
      <c r="G537" s="18"/>
      <c r="H537" s="18"/>
    </row>
    <row r="538" spans="1:8" ht="15.75" customHeight="1">
      <c r="A538" s="8">
        <v>46332</v>
      </c>
      <c r="B538" s="8">
        <v>46336</v>
      </c>
      <c r="C538" s="21"/>
      <c r="F538" s="17"/>
      <c r="G538" s="18"/>
      <c r="H538" s="18"/>
    </row>
    <row r="539" spans="1:8" ht="15.75" customHeight="1">
      <c r="A539" s="8">
        <v>46335</v>
      </c>
      <c r="B539" s="8">
        <v>46338</v>
      </c>
      <c r="C539" s="21"/>
      <c r="F539" s="17"/>
      <c r="G539" s="18"/>
      <c r="H539" s="18"/>
    </row>
    <row r="540" spans="1:8" ht="15.75" customHeight="1">
      <c r="A540" s="8">
        <v>46336</v>
      </c>
      <c r="B540" s="8">
        <v>46339</v>
      </c>
      <c r="C540" s="21"/>
      <c r="F540" s="17"/>
      <c r="G540" s="18"/>
      <c r="H540" s="18"/>
    </row>
    <row r="541" spans="1:8" ht="15.75" customHeight="1">
      <c r="A541" s="8">
        <v>46338</v>
      </c>
      <c r="B541" s="8">
        <v>46342</v>
      </c>
      <c r="C541" s="21"/>
      <c r="F541" s="17"/>
      <c r="G541" s="18"/>
      <c r="H541" s="18"/>
    </row>
    <row r="542" spans="1:8" ht="15.75" customHeight="1">
      <c r="A542" s="8">
        <v>46339</v>
      </c>
      <c r="B542" s="8">
        <v>46343</v>
      </c>
      <c r="C542" s="21"/>
      <c r="F542" s="17"/>
      <c r="G542" s="18"/>
      <c r="H542" s="18"/>
    </row>
    <row r="543" spans="1:8" ht="15.75" customHeight="1">
      <c r="A543" s="8">
        <v>46342</v>
      </c>
      <c r="B543" s="8">
        <v>46344</v>
      </c>
      <c r="C543" s="21"/>
      <c r="F543" s="17"/>
      <c r="G543" s="18"/>
      <c r="H543" s="18"/>
    </row>
    <row r="544" spans="1:8" ht="15.75" customHeight="1">
      <c r="A544" s="8">
        <v>46343</v>
      </c>
      <c r="B544" s="19">
        <v>46345</v>
      </c>
      <c r="C544" s="21"/>
      <c r="F544" s="17"/>
      <c r="G544" s="18"/>
      <c r="H544" s="18"/>
    </row>
    <row r="545" spans="1:8" ht="15.75" customHeight="1">
      <c r="A545" s="8">
        <v>46344</v>
      </c>
      <c r="B545" s="8">
        <v>46346</v>
      </c>
      <c r="C545" s="21"/>
      <c r="F545" s="17"/>
      <c r="G545" s="18"/>
      <c r="H545" s="18"/>
    </row>
    <row r="546" spans="1:8" ht="15.75" customHeight="1">
      <c r="A546" s="8">
        <v>46345</v>
      </c>
      <c r="B546" s="8">
        <v>46349</v>
      </c>
      <c r="C546" s="21"/>
      <c r="F546" s="17"/>
      <c r="G546" s="18"/>
      <c r="H546" s="18"/>
    </row>
    <row r="547" spans="1:8" ht="15.75" customHeight="1">
      <c r="A547" s="8">
        <v>46346</v>
      </c>
      <c r="B547" s="8">
        <v>46350</v>
      </c>
      <c r="C547" s="21"/>
      <c r="F547" s="17"/>
      <c r="G547" s="18"/>
      <c r="H547" s="18"/>
    </row>
    <row r="548" spans="1:8" ht="15.75" customHeight="1">
      <c r="A548" s="8">
        <v>46349</v>
      </c>
      <c r="B548" s="8">
        <v>46351</v>
      </c>
      <c r="C548" s="21"/>
      <c r="F548" s="17"/>
      <c r="G548" s="18"/>
      <c r="H548" s="18"/>
    </row>
    <row r="549" spans="1:8" ht="15.75" customHeight="1">
      <c r="A549" s="8">
        <v>46350</v>
      </c>
      <c r="B549" s="8">
        <v>46356</v>
      </c>
      <c r="C549" s="21"/>
      <c r="F549" s="17"/>
      <c r="G549" s="18"/>
      <c r="H549" s="18"/>
    </row>
    <row r="550" spans="1:8" ht="15.75" customHeight="1">
      <c r="A550" s="8">
        <v>46351</v>
      </c>
      <c r="B550" s="8">
        <v>46357</v>
      </c>
      <c r="C550" s="21"/>
      <c r="F550" s="17"/>
      <c r="G550" s="18"/>
      <c r="H550" s="18"/>
    </row>
    <row r="551" spans="1:8" ht="15.75" customHeight="1">
      <c r="A551" s="8">
        <v>46356</v>
      </c>
      <c r="B551" s="19">
        <v>46358</v>
      </c>
      <c r="C551" s="21"/>
      <c r="F551" s="17"/>
      <c r="G551" s="18"/>
      <c r="H551" s="18"/>
    </row>
    <row r="552" spans="1:8" ht="15.75" customHeight="1">
      <c r="A552" s="45" t="s">
        <v>141</v>
      </c>
      <c r="B552" s="46"/>
      <c r="C552" s="47">
        <f>SUM(C534:C551)</f>
        <v>0</v>
      </c>
      <c r="F552" s="17"/>
      <c r="G552" s="18"/>
      <c r="H552" s="18"/>
    </row>
    <row r="553" spans="1:8" ht="15.75" customHeight="1">
      <c r="A553" s="8">
        <v>46357</v>
      </c>
      <c r="B553" s="8">
        <v>46359</v>
      </c>
      <c r="C553" s="21"/>
      <c r="F553" s="17"/>
      <c r="G553" s="18"/>
      <c r="H553" s="18"/>
    </row>
    <row r="554" spans="1:8" ht="15.75" customHeight="1">
      <c r="A554" s="8">
        <v>46358</v>
      </c>
      <c r="B554" s="8">
        <v>46360</v>
      </c>
      <c r="C554" s="21"/>
      <c r="F554" s="17"/>
      <c r="G554" s="18"/>
      <c r="H554" s="18"/>
    </row>
    <row r="555" spans="1:8" ht="15.75" customHeight="1">
      <c r="A555" s="8">
        <v>46359</v>
      </c>
      <c r="B555" s="8">
        <v>46363</v>
      </c>
      <c r="C555" s="21"/>
      <c r="F555" s="17"/>
      <c r="G555" s="18"/>
      <c r="H555" s="18"/>
    </row>
    <row r="556" spans="1:8" ht="15.75" customHeight="1">
      <c r="A556" s="8">
        <v>46360</v>
      </c>
      <c r="B556" s="8">
        <v>46364</v>
      </c>
      <c r="C556" s="21"/>
      <c r="F556" s="17"/>
      <c r="G556" s="18"/>
      <c r="H556" s="18"/>
    </row>
    <row r="557" spans="1:8" ht="15.75" customHeight="1">
      <c r="A557" s="8">
        <v>46363</v>
      </c>
      <c r="B557" s="19">
        <v>46365</v>
      </c>
      <c r="C557" s="21"/>
      <c r="F557" s="17"/>
      <c r="G557" s="18"/>
      <c r="H557" s="18"/>
    </row>
    <row r="558" spans="1:8" ht="15.75" customHeight="1">
      <c r="A558" s="8">
        <v>46364</v>
      </c>
      <c r="B558" s="8">
        <v>46366</v>
      </c>
      <c r="C558" s="21"/>
      <c r="F558" s="17"/>
      <c r="G558" s="18"/>
      <c r="H558" s="18"/>
    </row>
    <row r="559" spans="1:8" ht="15.75" customHeight="1">
      <c r="A559" s="8">
        <v>46365</v>
      </c>
      <c r="B559" s="8">
        <v>46367</v>
      </c>
      <c r="C559" s="21"/>
      <c r="F559" s="17"/>
      <c r="G559" s="18"/>
      <c r="H559" s="18"/>
    </row>
    <row r="560" spans="1:8" ht="15.75" customHeight="1">
      <c r="A560" s="8">
        <v>46366</v>
      </c>
      <c r="B560" s="8">
        <v>46370</v>
      </c>
      <c r="C560" s="21"/>
      <c r="F560" s="17"/>
      <c r="G560" s="18"/>
      <c r="H560" s="18"/>
    </row>
    <row r="561" spans="1:8" ht="15.75" customHeight="1">
      <c r="A561" s="8">
        <v>46367</v>
      </c>
      <c r="B561" s="8">
        <v>46371</v>
      </c>
      <c r="C561" s="21"/>
      <c r="F561" s="17"/>
      <c r="G561" s="18"/>
      <c r="H561" s="18"/>
    </row>
    <row r="562" spans="1:8" ht="15.75" customHeight="1">
      <c r="A562" s="8">
        <v>46370</v>
      </c>
      <c r="B562" s="8">
        <v>46372</v>
      </c>
      <c r="C562" s="21"/>
      <c r="F562" s="17"/>
      <c r="G562" s="18"/>
      <c r="H562" s="18"/>
    </row>
    <row r="563" spans="1:8" ht="15.75" customHeight="1">
      <c r="A563" s="8">
        <v>46371</v>
      </c>
      <c r="B563" s="8">
        <v>46373</v>
      </c>
      <c r="C563" s="21"/>
      <c r="F563" s="17"/>
      <c r="G563" s="18"/>
      <c r="H563" s="18"/>
    </row>
    <row r="564" spans="1:8" ht="15.75" customHeight="1">
      <c r="A564" s="8">
        <v>46372</v>
      </c>
      <c r="B564" s="19">
        <v>46374</v>
      </c>
      <c r="C564" s="21"/>
      <c r="F564" s="17"/>
      <c r="G564" s="18"/>
      <c r="H564" s="18"/>
    </row>
    <row r="565" spans="1:8" ht="15.75" customHeight="1">
      <c r="A565" s="8">
        <v>46373</v>
      </c>
      <c r="B565" s="8">
        <v>46377</v>
      </c>
      <c r="C565" s="21"/>
      <c r="F565" s="17"/>
      <c r="G565" s="18"/>
      <c r="H565" s="18"/>
    </row>
    <row r="566" spans="1:8" ht="15.75" customHeight="1">
      <c r="A566" s="8">
        <v>46374</v>
      </c>
      <c r="B566" s="8">
        <v>46378</v>
      </c>
      <c r="C566" s="21"/>
      <c r="F566" s="17"/>
      <c r="G566" s="18"/>
      <c r="H566" s="18"/>
    </row>
    <row r="567" spans="1:8" ht="15.75" customHeight="1">
      <c r="A567" s="8">
        <v>46377</v>
      </c>
      <c r="B567" s="8">
        <v>46379</v>
      </c>
      <c r="C567" s="21"/>
      <c r="F567" s="17"/>
      <c r="G567" s="18"/>
      <c r="H567" s="18"/>
    </row>
    <row r="568" spans="1:8" ht="15.75" customHeight="1">
      <c r="A568" s="8">
        <v>46378</v>
      </c>
      <c r="B568" s="8">
        <v>46384</v>
      </c>
      <c r="C568" s="21"/>
      <c r="F568" s="17"/>
      <c r="G568" s="18"/>
      <c r="H568" s="18"/>
    </row>
    <row r="569" spans="1:8" ht="15.75" customHeight="1">
      <c r="A569" s="8">
        <v>46379</v>
      </c>
      <c r="B569" s="8">
        <v>46385</v>
      </c>
      <c r="C569" s="21"/>
      <c r="F569" s="17"/>
      <c r="G569" s="18"/>
      <c r="H569" s="18"/>
    </row>
    <row r="570" spans="1:8" ht="15.75" customHeight="1">
      <c r="A570" s="8">
        <v>46384</v>
      </c>
      <c r="B570" s="8">
        <v>46386</v>
      </c>
      <c r="C570" s="21"/>
      <c r="F570" s="17"/>
      <c r="G570" s="18"/>
      <c r="H570" s="18"/>
    </row>
    <row r="571" spans="1:8" ht="15.75" customHeight="1">
      <c r="A571" s="8">
        <v>46385</v>
      </c>
      <c r="B571" s="22">
        <v>46391</v>
      </c>
      <c r="C571" s="21"/>
      <c r="F571" s="17"/>
      <c r="G571" s="18"/>
      <c r="H571" s="18"/>
    </row>
    <row r="572" spans="1:8" ht="15.75" customHeight="1">
      <c r="A572" s="8">
        <v>46386</v>
      </c>
      <c r="B572" s="22">
        <v>46392</v>
      </c>
      <c r="C572" s="21"/>
      <c r="F572" s="17"/>
      <c r="G572" s="18"/>
      <c r="H572" s="18"/>
    </row>
    <row r="573" spans="1:8" ht="15.75" customHeight="1">
      <c r="A573" s="45" t="s">
        <v>141</v>
      </c>
      <c r="B573" s="46"/>
      <c r="C573" s="47">
        <f>SUM(C553:C572)</f>
        <v>0</v>
      </c>
      <c r="F573" s="17"/>
      <c r="G573" s="18"/>
      <c r="H573" s="18"/>
    </row>
  </sheetData>
  <mergeCells count="2">
    <mergeCell ref="A2:C2"/>
    <mergeCell ref="A25:C25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CDCF-E9DA-469F-984B-61A42A08C8D1}">
  <dimension ref="A1:Q1994"/>
  <sheetViews>
    <sheetView workbookViewId="0">
      <selection activeCell="D3" sqref="D3"/>
    </sheetView>
  </sheetViews>
  <sheetFormatPr defaultRowHeight="12.75"/>
  <cols>
    <col min="1" max="1" width="20.5703125" bestFit="1" customWidth="1"/>
    <col min="2" max="2" width="10.140625" style="12" bestFit="1" customWidth="1"/>
    <col min="3" max="3" width="11.42578125" style="1" bestFit="1" customWidth="1"/>
    <col min="4" max="4" width="10.140625" style="3" bestFit="1" customWidth="1"/>
    <col min="5" max="5" width="10.42578125" bestFit="1" customWidth="1"/>
    <col min="6" max="6" width="15.42578125" hidden="1" customWidth="1"/>
  </cols>
  <sheetData>
    <row r="1" spans="1:6" ht="15" customHeight="1">
      <c r="A1" s="48" t="s">
        <v>0</v>
      </c>
      <c r="B1" s="49" t="s">
        <v>144</v>
      </c>
      <c r="C1" s="50" t="s">
        <v>145</v>
      </c>
      <c r="D1" s="51" t="s">
        <v>146</v>
      </c>
      <c r="E1" s="52" t="s">
        <v>147</v>
      </c>
      <c r="F1" s="48" t="s">
        <v>21</v>
      </c>
    </row>
    <row r="2" spans="1:6">
      <c r="A2" t="s">
        <v>148</v>
      </c>
      <c r="B2" s="12" t="s">
        <v>149</v>
      </c>
      <c r="C2" s="1">
        <v>5508.98</v>
      </c>
      <c r="D2" s="3">
        <v>46133</v>
      </c>
      <c r="F2" t="s">
        <v>150</v>
      </c>
    </row>
    <row r="3" spans="1:6">
      <c r="A3" t="s">
        <v>151</v>
      </c>
      <c r="B3" s="12" t="s">
        <v>152</v>
      </c>
      <c r="C3" s="1">
        <v>7151.44</v>
      </c>
      <c r="D3" s="3">
        <v>46122</v>
      </c>
      <c r="F3" t="s">
        <v>153</v>
      </c>
    </row>
    <row r="4" spans="1:6">
      <c r="A4" t="s">
        <v>154</v>
      </c>
      <c r="B4" s="12" t="s">
        <v>155</v>
      </c>
      <c r="C4" s="1">
        <v>10084.93</v>
      </c>
      <c r="D4" s="3">
        <v>46118</v>
      </c>
      <c r="F4" t="s">
        <v>156</v>
      </c>
    </row>
    <row r="5" spans="1:6">
      <c r="A5" t="s">
        <v>157</v>
      </c>
      <c r="B5" s="12" t="s">
        <v>158</v>
      </c>
      <c r="C5" s="1">
        <v>1944.35</v>
      </c>
      <c r="D5" s="3">
        <v>46118</v>
      </c>
      <c r="F5" t="s">
        <v>159</v>
      </c>
    </row>
    <row r="6" spans="1:6">
      <c r="A6" t="s">
        <v>160</v>
      </c>
      <c r="B6" s="12" t="s">
        <v>161</v>
      </c>
      <c r="C6" s="1">
        <v>6022.97</v>
      </c>
      <c r="D6" s="3">
        <v>46115</v>
      </c>
      <c r="F6" t="s">
        <v>162</v>
      </c>
    </row>
    <row r="7" spans="1:6">
      <c r="A7" t="s">
        <v>163</v>
      </c>
      <c r="B7" s="12" t="s">
        <v>155</v>
      </c>
      <c r="C7" s="1">
        <v>10084.93</v>
      </c>
      <c r="D7" s="3">
        <v>46115</v>
      </c>
      <c r="F7" t="s">
        <v>164</v>
      </c>
    </row>
    <row r="8" spans="1:6">
      <c r="A8" t="s">
        <v>163</v>
      </c>
      <c r="B8" s="12" t="s">
        <v>165</v>
      </c>
      <c r="C8" s="1">
        <v>7807.69</v>
      </c>
      <c r="D8" s="3">
        <v>46112</v>
      </c>
      <c r="F8" t="s">
        <v>164</v>
      </c>
    </row>
    <row r="9" spans="1:6">
      <c r="A9" t="s">
        <v>166</v>
      </c>
      <c r="B9" s="14" t="s">
        <v>155</v>
      </c>
      <c r="C9" s="6">
        <v>5108.17</v>
      </c>
      <c r="D9" s="7">
        <v>46101</v>
      </c>
      <c r="F9" t="s">
        <v>167</v>
      </c>
    </row>
    <row r="10" spans="1:6">
      <c r="A10" t="s">
        <v>168</v>
      </c>
      <c r="B10" s="14" t="s">
        <v>155</v>
      </c>
      <c r="C10" s="6">
        <v>4102.46</v>
      </c>
      <c r="D10" s="7">
        <v>46099</v>
      </c>
      <c r="F10" t="s">
        <v>169</v>
      </c>
    </row>
    <row r="11" spans="1:6">
      <c r="A11" t="s">
        <v>168</v>
      </c>
      <c r="B11" s="14" t="s">
        <v>170</v>
      </c>
      <c r="C11" s="6">
        <v>7948.52</v>
      </c>
      <c r="D11" s="7">
        <v>46094</v>
      </c>
      <c r="F11" t="s">
        <v>169</v>
      </c>
    </row>
    <row r="12" spans="1:6">
      <c r="A12" t="s">
        <v>171</v>
      </c>
      <c r="B12" s="14" t="s">
        <v>172</v>
      </c>
      <c r="C12" s="6">
        <v>971.51</v>
      </c>
      <c r="D12" s="7">
        <v>46093</v>
      </c>
      <c r="F12" t="s">
        <v>173</v>
      </c>
    </row>
    <row r="13" spans="1:6">
      <c r="A13" t="s">
        <v>174</v>
      </c>
      <c r="B13" s="14" t="s">
        <v>175</v>
      </c>
      <c r="C13" s="6">
        <v>8458.33</v>
      </c>
      <c r="D13" s="7">
        <v>46091</v>
      </c>
      <c r="E13" t="s">
        <v>176</v>
      </c>
      <c r="F13" t="s">
        <v>177</v>
      </c>
    </row>
    <row r="14" spans="1:6">
      <c r="A14" t="s">
        <v>168</v>
      </c>
      <c r="B14" s="14" t="s">
        <v>178</v>
      </c>
      <c r="C14" s="6">
        <v>7692.11</v>
      </c>
      <c r="D14" s="7">
        <v>46091</v>
      </c>
      <c r="F14" t="s">
        <v>169</v>
      </c>
    </row>
    <row r="15" spans="1:6">
      <c r="A15" t="s">
        <v>179</v>
      </c>
      <c r="B15" s="14" t="s">
        <v>155</v>
      </c>
      <c r="C15" s="6">
        <v>153.63999999999999</v>
      </c>
      <c r="D15" s="7">
        <v>46086</v>
      </c>
      <c r="E15" t="s">
        <v>176</v>
      </c>
      <c r="F15" t="s">
        <v>180</v>
      </c>
    </row>
    <row r="16" spans="1:6">
      <c r="A16" t="s">
        <v>168</v>
      </c>
      <c r="B16" s="14" t="s">
        <v>181</v>
      </c>
      <c r="C16" s="6">
        <v>7948.52</v>
      </c>
      <c r="D16" s="7">
        <v>46086</v>
      </c>
      <c r="F16" t="s">
        <v>169</v>
      </c>
    </row>
    <row r="17" spans="1:6">
      <c r="A17" t="s">
        <v>182</v>
      </c>
      <c r="B17" s="14" t="s">
        <v>170</v>
      </c>
      <c r="C17" s="6">
        <v>4846.74</v>
      </c>
      <c r="D17" s="7">
        <v>46084</v>
      </c>
      <c r="F17" t="s">
        <v>183</v>
      </c>
    </row>
    <row r="18" spans="1:6">
      <c r="A18" t="s">
        <v>154</v>
      </c>
      <c r="B18" s="14" t="s">
        <v>184</v>
      </c>
      <c r="C18" s="6">
        <v>5530.44</v>
      </c>
      <c r="D18" s="7">
        <v>46084</v>
      </c>
      <c r="F18" t="s">
        <v>156</v>
      </c>
    </row>
    <row r="19" spans="1:6">
      <c r="A19" t="s">
        <v>179</v>
      </c>
      <c r="B19" s="14" t="s">
        <v>152</v>
      </c>
      <c r="C19" s="6">
        <v>613.25</v>
      </c>
      <c r="D19" s="7">
        <v>46084</v>
      </c>
      <c r="F19" t="s">
        <v>180</v>
      </c>
    </row>
    <row r="20" spans="1:6">
      <c r="A20" t="s">
        <v>168</v>
      </c>
      <c r="B20" s="14" t="s">
        <v>185</v>
      </c>
      <c r="C20" s="6">
        <v>8903.2000000000007</v>
      </c>
      <c r="D20" s="7">
        <v>46083</v>
      </c>
      <c r="F20" t="s">
        <v>169</v>
      </c>
    </row>
    <row r="21" spans="1:6">
      <c r="A21" t="s">
        <v>168</v>
      </c>
      <c r="B21" s="14" t="s">
        <v>186</v>
      </c>
      <c r="C21" s="6">
        <v>3567.45</v>
      </c>
      <c r="D21" s="7">
        <v>46080</v>
      </c>
      <c r="F21" t="s">
        <v>169</v>
      </c>
    </row>
    <row r="22" spans="1:6">
      <c r="A22" t="s">
        <v>187</v>
      </c>
      <c r="B22" s="14" t="s">
        <v>188</v>
      </c>
      <c r="C22" s="6">
        <v>5127.3500000000004</v>
      </c>
      <c r="D22" s="7">
        <v>46080</v>
      </c>
      <c r="F22" t="s">
        <v>189</v>
      </c>
    </row>
    <row r="23" spans="1:6">
      <c r="A23" t="s">
        <v>168</v>
      </c>
      <c r="B23" s="14" t="s">
        <v>190</v>
      </c>
      <c r="C23" s="6">
        <v>10053.73</v>
      </c>
      <c r="D23" s="7">
        <v>46080</v>
      </c>
      <c r="F23" t="s">
        <v>169</v>
      </c>
    </row>
    <row r="24" spans="1:6">
      <c r="A24" t="s">
        <v>166</v>
      </c>
      <c r="B24" s="14" t="s">
        <v>170</v>
      </c>
      <c r="C24" s="6">
        <v>7917.66</v>
      </c>
      <c r="D24" s="7">
        <v>46080</v>
      </c>
      <c r="F24" t="s">
        <v>167</v>
      </c>
    </row>
    <row r="25" spans="1:6">
      <c r="A25" t="s">
        <v>191</v>
      </c>
      <c r="B25" s="14" t="s">
        <v>172</v>
      </c>
      <c r="C25" s="6">
        <v>305.79000000000002</v>
      </c>
      <c r="D25" s="7">
        <v>46079</v>
      </c>
      <c r="E25" t="s">
        <v>176</v>
      </c>
      <c r="F25" t="s">
        <v>192</v>
      </c>
    </row>
    <row r="26" spans="1:6">
      <c r="A26" t="s">
        <v>179</v>
      </c>
      <c r="B26" s="7">
        <v>46023</v>
      </c>
      <c r="C26" s="6">
        <v>9908.49</v>
      </c>
      <c r="D26" s="7">
        <v>46079</v>
      </c>
      <c r="F26" t="s">
        <v>180</v>
      </c>
    </row>
    <row r="27" spans="1:6">
      <c r="A27" t="s">
        <v>179</v>
      </c>
      <c r="B27" s="14" t="s">
        <v>170</v>
      </c>
      <c r="C27" s="6">
        <v>10045.790000000001</v>
      </c>
      <c r="D27" s="7">
        <v>46079</v>
      </c>
      <c r="F27" t="s">
        <v>180</v>
      </c>
    </row>
    <row r="28" spans="1:6">
      <c r="A28" t="s">
        <v>166</v>
      </c>
      <c r="B28" s="14" t="s">
        <v>178</v>
      </c>
      <c r="C28" s="6">
        <v>7662.26</v>
      </c>
      <c r="D28" s="7">
        <v>46077</v>
      </c>
      <c r="F28" t="s">
        <v>167</v>
      </c>
    </row>
    <row r="29" spans="1:6">
      <c r="A29" t="s">
        <v>151</v>
      </c>
      <c r="B29" s="14" t="s">
        <v>155</v>
      </c>
      <c r="C29" s="6">
        <v>9222</v>
      </c>
      <c r="D29" s="7">
        <v>46076</v>
      </c>
      <c r="F29" t="s">
        <v>153</v>
      </c>
    </row>
    <row r="30" spans="1:6">
      <c r="A30" t="s">
        <v>193</v>
      </c>
      <c r="B30" s="14"/>
      <c r="C30" s="6">
        <v>-6022.97</v>
      </c>
      <c r="D30" s="7">
        <v>46076</v>
      </c>
    </row>
    <row r="31" spans="1:6">
      <c r="A31" t="s">
        <v>166</v>
      </c>
      <c r="B31" s="14" t="s">
        <v>185</v>
      </c>
      <c r="C31" s="6">
        <v>9715.18</v>
      </c>
      <c r="D31" s="7">
        <v>46076</v>
      </c>
      <c r="F31" t="s">
        <v>167</v>
      </c>
    </row>
    <row r="32" spans="1:6">
      <c r="A32" t="s">
        <v>166</v>
      </c>
      <c r="B32" s="14" t="s">
        <v>181</v>
      </c>
      <c r="C32" s="6">
        <v>9016.0499999999993</v>
      </c>
      <c r="D32" s="7">
        <v>46076</v>
      </c>
      <c r="F32" t="s">
        <v>167</v>
      </c>
    </row>
    <row r="33" spans="1:6">
      <c r="A33" t="s">
        <v>191</v>
      </c>
      <c r="B33" s="7">
        <v>45928</v>
      </c>
      <c r="C33" s="6">
        <v>971.51</v>
      </c>
      <c r="D33" s="7">
        <v>46076</v>
      </c>
      <c r="F33" t="s">
        <v>192</v>
      </c>
    </row>
    <row r="34" spans="1:6">
      <c r="A34" t="s">
        <v>191</v>
      </c>
      <c r="B34" s="14" t="s">
        <v>181</v>
      </c>
      <c r="C34" s="6">
        <v>648.11</v>
      </c>
      <c r="D34" s="7">
        <v>46076</v>
      </c>
      <c r="F34" t="s">
        <v>192</v>
      </c>
    </row>
    <row r="35" spans="1:6">
      <c r="A35" t="s">
        <v>194</v>
      </c>
      <c r="B35" s="14" t="s">
        <v>170</v>
      </c>
      <c r="C35" s="6">
        <v>8260.91</v>
      </c>
      <c r="D35" s="7">
        <v>46064</v>
      </c>
      <c r="F35" t="s">
        <v>195</v>
      </c>
    </row>
    <row r="36" spans="1:6">
      <c r="A36" t="s">
        <v>194</v>
      </c>
      <c r="B36" s="14" t="s">
        <v>196</v>
      </c>
      <c r="C36" s="6">
        <v>8101.44</v>
      </c>
      <c r="D36" s="7">
        <v>46063</v>
      </c>
      <c r="F36" t="s">
        <v>195</v>
      </c>
    </row>
    <row r="37" spans="1:6">
      <c r="A37" t="s">
        <v>194</v>
      </c>
      <c r="B37" s="14" t="s">
        <v>178</v>
      </c>
      <c r="C37" s="6">
        <v>9721.74</v>
      </c>
      <c r="D37" s="7">
        <v>46063</v>
      </c>
      <c r="F37" t="s">
        <v>195</v>
      </c>
    </row>
    <row r="38" spans="1:6">
      <c r="A38" t="s">
        <v>197</v>
      </c>
      <c r="B38" s="14" t="s">
        <v>198</v>
      </c>
      <c r="C38" s="6">
        <v>753.51</v>
      </c>
      <c r="D38" s="7">
        <v>46063</v>
      </c>
      <c r="E38" t="s">
        <v>176</v>
      </c>
      <c r="F38" t="s">
        <v>199</v>
      </c>
    </row>
    <row r="39" spans="1:6">
      <c r="A39" t="s">
        <v>193</v>
      </c>
      <c r="B39" s="7">
        <v>45965</v>
      </c>
      <c r="C39" s="6">
        <v>6022.97</v>
      </c>
      <c r="D39" s="7">
        <v>46062</v>
      </c>
    </row>
    <row r="40" spans="1:6">
      <c r="A40" t="s">
        <v>151</v>
      </c>
      <c r="B40" s="14" t="s">
        <v>170</v>
      </c>
      <c r="C40" s="6">
        <v>10045.790000000001</v>
      </c>
      <c r="D40" s="7">
        <v>46062</v>
      </c>
      <c r="F40" t="s">
        <v>153</v>
      </c>
    </row>
    <row r="41" spans="1:6">
      <c r="A41" t="s">
        <v>182</v>
      </c>
      <c r="B41" s="14" t="s">
        <v>178</v>
      </c>
      <c r="C41" s="6">
        <v>8312.36</v>
      </c>
      <c r="D41" s="7">
        <v>46042</v>
      </c>
      <c r="F41" t="s">
        <v>183</v>
      </c>
    </row>
    <row r="42" spans="1:6">
      <c r="A42" t="s">
        <v>151</v>
      </c>
      <c r="B42" s="14" t="s">
        <v>200</v>
      </c>
      <c r="C42" s="6">
        <v>3240.58</v>
      </c>
      <c r="D42" s="7">
        <v>46042</v>
      </c>
      <c r="F42" t="s">
        <v>153</v>
      </c>
    </row>
    <row r="43" spans="1:6">
      <c r="A43" t="s">
        <v>201</v>
      </c>
      <c r="B43" s="14" t="s">
        <v>196</v>
      </c>
      <c r="C43" s="6">
        <v>8101.44</v>
      </c>
      <c r="D43" s="7">
        <v>46013</v>
      </c>
      <c r="F43" t="s">
        <v>202</v>
      </c>
    </row>
    <row r="44" spans="1:6">
      <c r="A44" t="s">
        <v>182</v>
      </c>
      <c r="B44" s="14" t="s">
        <v>181</v>
      </c>
      <c r="C44" s="6">
        <v>10084.93</v>
      </c>
      <c r="D44" s="7">
        <v>46006</v>
      </c>
      <c r="F44" t="s">
        <v>183</v>
      </c>
    </row>
    <row r="45" spans="1:6">
      <c r="A45" t="s">
        <v>203</v>
      </c>
      <c r="B45" s="14" t="s">
        <v>190</v>
      </c>
      <c r="C45" s="6">
        <v>3397.58</v>
      </c>
      <c r="D45" s="7">
        <v>46006</v>
      </c>
      <c r="F45" t="s">
        <v>204</v>
      </c>
    </row>
    <row r="46" spans="1:6">
      <c r="A46" t="s">
        <v>205</v>
      </c>
      <c r="B46" s="14" t="s">
        <v>206</v>
      </c>
      <c r="C46" s="6">
        <v>1049.9100000000001</v>
      </c>
      <c r="D46" s="7">
        <v>45992</v>
      </c>
      <c r="F46" t="s">
        <v>207</v>
      </c>
    </row>
    <row r="47" spans="1:6">
      <c r="A47" t="s">
        <v>205</v>
      </c>
      <c r="B47" s="14" t="s">
        <v>208</v>
      </c>
      <c r="C47" s="6">
        <v>9784.4500000000007</v>
      </c>
      <c r="D47" s="7">
        <v>45985</v>
      </c>
      <c r="F47" t="s">
        <v>207</v>
      </c>
    </row>
    <row r="48" spans="1:6">
      <c r="A48" t="s">
        <v>166</v>
      </c>
      <c r="B48" s="14" t="s">
        <v>209</v>
      </c>
      <c r="C48" s="6">
        <v>4533.74</v>
      </c>
      <c r="D48" s="7">
        <v>45980</v>
      </c>
      <c r="F48" t="s">
        <v>167</v>
      </c>
    </row>
    <row r="49" spans="1:6">
      <c r="A49" t="s">
        <v>210</v>
      </c>
      <c r="B49" s="14" t="s">
        <v>211</v>
      </c>
      <c r="C49" s="6">
        <v>2665.78</v>
      </c>
      <c r="D49" s="7">
        <v>45979</v>
      </c>
      <c r="F49" t="s">
        <v>212</v>
      </c>
    </row>
    <row r="50" spans="1:6">
      <c r="A50" t="s">
        <v>205</v>
      </c>
      <c r="B50" s="14" t="s">
        <v>213</v>
      </c>
      <c r="C50" s="6">
        <v>10329.9</v>
      </c>
      <c r="D50" s="7">
        <v>45975</v>
      </c>
      <c r="F50" t="s">
        <v>207</v>
      </c>
    </row>
    <row r="51" spans="1:6">
      <c r="A51" t="s">
        <v>214</v>
      </c>
      <c r="B51" s="14" t="s">
        <v>215</v>
      </c>
      <c r="C51" s="6">
        <v>2001.44</v>
      </c>
      <c r="D51" s="7">
        <v>45968</v>
      </c>
      <c r="F51" t="s">
        <v>216</v>
      </c>
    </row>
    <row r="52" spans="1:6">
      <c r="A52" t="s">
        <v>182</v>
      </c>
      <c r="B52" s="14" t="s">
        <v>217</v>
      </c>
      <c r="C52" s="6">
        <v>6486.28</v>
      </c>
      <c r="D52" s="7">
        <v>45961</v>
      </c>
      <c r="F52" t="s">
        <v>183</v>
      </c>
    </row>
    <row r="53" spans="1:6">
      <c r="A53" t="s">
        <v>218</v>
      </c>
      <c r="B53" s="14" t="s">
        <v>185</v>
      </c>
      <c r="C53" s="6">
        <v>9344.1299999999992</v>
      </c>
      <c r="D53" s="7">
        <v>45957</v>
      </c>
      <c r="F53" t="s">
        <v>219</v>
      </c>
    </row>
    <row r="54" spans="1:6">
      <c r="A54" t="s">
        <v>220</v>
      </c>
      <c r="B54" s="14" t="s">
        <v>190</v>
      </c>
      <c r="C54" s="6">
        <v>10053.73</v>
      </c>
      <c r="D54" s="7">
        <v>45951</v>
      </c>
      <c r="F54" t="s">
        <v>221</v>
      </c>
    </row>
    <row r="55" spans="1:6">
      <c r="A55" t="s">
        <v>220</v>
      </c>
      <c r="B55" s="14" t="s">
        <v>185</v>
      </c>
      <c r="C55" s="6">
        <v>972.94</v>
      </c>
      <c r="D55" s="7">
        <v>45947</v>
      </c>
      <c r="F55" t="s">
        <v>221</v>
      </c>
    </row>
    <row r="56" spans="1:6">
      <c r="A56" t="s">
        <v>218</v>
      </c>
      <c r="B56" s="14" t="s">
        <v>190</v>
      </c>
      <c r="C56" s="6">
        <v>10329.9</v>
      </c>
      <c r="D56" s="7">
        <v>45938</v>
      </c>
      <c r="F56" t="s">
        <v>219</v>
      </c>
    </row>
    <row r="57" spans="1:6">
      <c r="A57" t="s">
        <v>203</v>
      </c>
      <c r="B57" s="14" t="s">
        <v>206</v>
      </c>
      <c r="C57" s="6">
        <v>7919.33</v>
      </c>
      <c r="D57" s="7">
        <v>45936</v>
      </c>
      <c r="F57" t="s">
        <v>204</v>
      </c>
    </row>
    <row r="58" spans="1:6">
      <c r="A58" t="s">
        <v>222</v>
      </c>
      <c r="B58" s="14" t="s">
        <v>206</v>
      </c>
      <c r="C58" s="6">
        <v>2299.16</v>
      </c>
      <c r="D58" s="7">
        <v>45936</v>
      </c>
      <c r="F58" t="s">
        <v>223</v>
      </c>
    </row>
    <row r="59" spans="1:6">
      <c r="A59" t="s">
        <v>224</v>
      </c>
      <c r="B59" s="14" t="s">
        <v>225</v>
      </c>
      <c r="C59" s="6">
        <v>6433.26</v>
      </c>
      <c r="D59" s="7">
        <v>45932</v>
      </c>
      <c r="F59" t="s">
        <v>226</v>
      </c>
    </row>
    <row r="60" spans="1:6">
      <c r="A60" t="s">
        <v>222</v>
      </c>
      <c r="B60" s="14" t="s">
        <v>208</v>
      </c>
      <c r="C60" s="6">
        <v>7663.86</v>
      </c>
      <c r="D60" s="7">
        <v>45929</v>
      </c>
      <c r="F60" t="s">
        <v>223</v>
      </c>
    </row>
    <row r="61" spans="1:6">
      <c r="A61" t="s">
        <v>227</v>
      </c>
      <c r="B61" s="14" t="s">
        <v>228</v>
      </c>
      <c r="C61" s="6">
        <v>919.53</v>
      </c>
      <c r="D61" s="7">
        <v>45929</v>
      </c>
      <c r="F61" t="s">
        <v>229</v>
      </c>
    </row>
    <row r="62" spans="1:6">
      <c r="A62" t="s">
        <v>222</v>
      </c>
      <c r="B62" s="14" t="s">
        <v>213</v>
      </c>
      <c r="C62" s="6">
        <v>9916.0300000000007</v>
      </c>
      <c r="D62" s="7">
        <v>45923</v>
      </c>
      <c r="F62" t="s">
        <v>223</v>
      </c>
    </row>
    <row r="63" spans="1:6">
      <c r="A63" t="s">
        <v>203</v>
      </c>
      <c r="B63" s="14" t="s">
        <v>208</v>
      </c>
      <c r="C63" s="6">
        <v>7663.86</v>
      </c>
      <c r="D63" s="7">
        <v>45919</v>
      </c>
      <c r="F63" t="s">
        <v>204</v>
      </c>
    </row>
    <row r="64" spans="1:6">
      <c r="A64" t="s">
        <v>224</v>
      </c>
      <c r="B64" s="14" t="s">
        <v>208</v>
      </c>
      <c r="C64" s="6">
        <v>971.51</v>
      </c>
      <c r="D64" s="7">
        <v>45919</v>
      </c>
      <c r="F64" t="s">
        <v>226</v>
      </c>
    </row>
    <row r="65" spans="1:6">
      <c r="A65" t="s">
        <v>194</v>
      </c>
      <c r="B65" s="14" t="s">
        <v>206</v>
      </c>
      <c r="C65" s="6">
        <v>2805.98</v>
      </c>
      <c r="D65" s="7">
        <v>45919</v>
      </c>
      <c r="F65" t="s">
        <v>195</v>
      </c>
    </row>
    <row r="66" spans="1:6">
      <c r="A66" t="s">
        <v>194</v>
      </c>
      <c r="B66" s="14" t="s">
        <v>208</v>
      </c>
      <c r="C66" s="6">
        <v>7652.64</v>
      </c>
      <c r="D66" s="7">
        <v>45916</v>
      </c>
      <c r="F66" t="s">
        <v>195</v>
      </c>
    </row>
    <row r="67" spans="1:6">
      <c r="A67" t="s">
        <v>218</v>
      </c>
      <c r="B67" s="14" t="s">
        <v>230</v>
      </c>
      <c r="C67" s="6">
        <v>1999.34</v>
      </c>
      <c r="D67" s="7">
        <v>45911</v>
      </c>
      <c r="F67" t="s">
        <v>219</v>
      </c>
    </row>
    <row r="68" spans="1:6">
      <c r="A68" t="s">
        <v>231</v>
      </c>
      <c r="B68" s="14" t="s">
        <v>206</v>
      </c>
      <c r="C68" s="6">
        <v>2043.7</v>
      </c>
      <c r="D68" s="7">
        <v>45911</v>
      </c>
      <c r="F68" t="s">
        <v>232</v>
      </c>
    </row>
    <row r="69" spans="1:6">
      <c r="A69" t="s">
        <v>201</v>
      </c>
      <c r="B69" s="14" t="s">
        <v>213</v>
      </c>
      <c r="C69" s="6">
        <v>7907.74</v>
      </c>
      <c r="D69" s="7">
        <v>45911</v>
      </c>
      <c r="F69" t="s">
        <v>202</v>
      </c>
    </row>
    <row r="70" spans="1:6">
      <c r="A70" t="s">
        <v>201</v>
      </c>
      <c r="B70" s="14" t="s">
        <v>208</v>
      </c>
      <c r="C70" s="6">
        <v>7652.64</v>
      </c>
      <c r="D70" s="7">
        <v>45911</v>
      </c>
      <c r="F70" t="s">
        <v>202</v>
      </c>
    </row>
    <row r="71" spans="1:6">
      <c r="A71" t="s">
        <v>194</v>
      </c>
      <c r="B71" s="14" t="s">
        <v>213</v>
      </c>
      <c r="C71" s="6">
        <v>7907.74</v>
      </c>
      <c r="D71" s="7">
        <v>45911</v>
      </c>
      <c r="F71" t="s">
        <v>195</v>
      </c>
    </row>
    <row r="72" spans="1:6">
      <c r="A72" t="s">
        <v>194</v>
      </c>
      <c r="B72" s="14" t="s">
        <v>233</v>
      </c>
      <c r="C72" s="6">
        <v>7652.64</v>
      </c>
      <c r="D72" s="7">
        <v>45909</v>
      </c>
      <c r="F72" t="s">
        <v>195</v>
      </c>
    </row>
    <row r="73" spans="1:6">
      <c r="A73" t="s">
        <v>194</v>
      </c>
      <c r="B73" s="14" t="s">
        <v>234</v>
      </c>
      <c r="C73" s="6">
        <v>7907.74</v>
      </c>
      <c r="D73" s="7">
        <v>45909</v>
      </c>
      <c r="F73" t="s">
        <v>195</v>
      </c>
    </row>
    <row r="74" spans="1:6">
      <c r="A74" t="s">
        <v>235</v>
      </c>
      <c r="B74" s="14" t="s">
        <v>233</v>
      </c>
      <c r="C74" s="6">
        <v>7663.86</v>
      </c>
      <c r="D74" s="7">
        <v>45902</v>
      </c>
      <c r="F74" t="s">
        <v>236</v>
      </c>
    </row>
    <row r="75" spans="1:6">
      <c r="A75" t="s">
        <v>237</v>
      </c>
      <c r="B75" s="14" t="s">
        <v>208</v>
      </c>
      <c r="C75" s="6">
        <v>7652.64</v>
      </c>
      <c r="D75" s="7">
        <v>45896</v>
      </c>
      <c r="F75" t="s">
        <v>238</v>
      </c>
    </row>
    <row r="76" spans="1:6">
      <c r="A76" t="s">
        <v>231</v>
      </c>
      <c r="B76" s="14" t="s">
        <v>208</v>
      </c>
      <c r="C76" s="6">
        <v>8696.65</v>
      </c>
      <c r="D76" s="7">
        <v>45896</v>
      </c>
      <c r="F76" t="s">
        <v>232</v>
      </c>
    </row>
    <row r="77" spans="1:6">
      <c r="A77" t="s">
        <v>237</v>
      </c>
      <c r="B77" s="14" t="s">
        <v>206</v>
      </c>
      <c r="C77" s="6">
        <v>1785.62</v>
      </c>
      <c r="D77" s="7">
        <v>45896</v>
      </c>
      <c r="F77" t="s">
        <v>238</v>
      </c>
    </row>
    <row r="78" spans="1:6">
      <c r="A78" t="s">
        <v>239</v>
      </c>
      <c r="B78" s="14" t="s">
        <v>240</v>
      </c>
      <c r="C78" s="6">
        <v>852.82</v>
      </c>
      <c r="D78" s="7">
        <v>45896</v>
      </c>
      <c r="F78" t="s">
        <v>241</v>
      </c>
    </row>
    <row r="79" spans="1:6">
      <c r="A79" t="s">
        <v>222</v>
      </c>
      <c r="B79" s="14" t="s">
        <v>233</v>
      </c>
      <c r="C79" s="6">
        <v>9729.42</v>
      </c>
      <c r="D79" s="7">
        <v>45894</v>
      </c>
      <c r="F79" t="s">
        <v>223</v>
      </c>
    </row>
    <row r="80" spans="1:6">
      <c r="A80" t="s">
        <v>242</v>
      </c>
      <c r="B80" s="14" t="s">
        <v>208</v>
      </c>
      <c r="C80" s="6">
        <v>3065.55</v>
      </c>
      <c r="D80" s="7">
        <v>45891</v>
      </c>
      <c r="F80" t="s">
        <v>243</v>
      </c>
    </row>
    <row r="81" spans="1:6">
      <c r="A81" t="s">
        <v>244</v>
      </c>
      <c r="B81" s="14" t="s">
        <v>206</v>
      </c>
      <c r="C81" s="6">
        <v>1887.55</v>
      </c>
      <c r="D81" s="7">
        <v>45890</v>
      </c>
      <c r="F81" t="s">
        <v>245</v>
      </c>
    </row>
    <row r="82" spans="1:6">
      <c r="A82" t="s">
        <v>222</v>
      </c>
      <c r="B82" s="14" t="s">
        <v>246</v>
      </c>
      <c r="C82" s="6">
        <v>324.31</v>
      </c>
      <c r="D82" s="7">
        <v>45883</v>
      </c>
      <c r="F82" t="s">
        <v>223</v>
      </c>
    </row>
    <row r="83" spans="1:6">
      <c r="A83" t="s">
        <v>203</v>
      </c>
      <c r="B83" s="14" t="s">
        <v>213</v>
      </c>
      <c r="C83" s="6">
        <v>8125.89</v>
      </c>
      <c r="D83" s="7">
        <v>45882</v>
      </c>
      <c r="F83" t="s">
        <v>204</v>
      </c>
    </row>
    <row r="84" spans="1:6">
      <c r="A84" t="s">
        <v>244</v>
      </c>
      <c r="B84" s="14" t="s">
        <v>208</v>
      </c>
      <c r="C84" s="6">
        <v>7652.64</v>
      </c>
      <c r="D84" s="7">
        <v>45882</v>
      </c>
      <c r="F84" t="s">
        <v>245</v>
      </c>
    </row>
    <row r="85" spans="1:6">
      <c r="A85" t="s">
        <v>244</v>
      </c>
      <c r="B85" s="14" t="s">
        <v>247</v>
      </c>
      <c r="C85" s="6">
        <v>4336.5</v>
      </c>
      <c r="D85" s="7">
        <v>45876</v>
      </c>
      <c r="F85" t="s">
        <v>245</v>
      </c>
    </row>
    <row r="86" spans="1:6">
      <c r="A86" t="s">
        <v>203</v>
      </c>
      <c r="B86" s="14" t="s">
        <v>233</v>
      </c>
      <c r="C86" s="6">
        <v>9729.42</v>
      </c>
      <c r="D86" s="7">
        <v>45876</v>
      </c>
      <c r="F86" t="s">
        <v>204</v>
      </c>
    </row>
    <row r="87" spans="1:6">
      <c r="A87" t="s">
        <v>231</v>
      </c>
      <c r="B87" s="14" t="s">
        <v>248</v>
      </c>
      <c r="C87" s="6">
        <v>4540.3999999999996</v>
      </c>
      <c r="D87" s="7">
        <v>45876</v>
      </c>
      <c r="F87" t="s">
        <v>232</v>
      </c>
    </row>
    <row r="88" spans="1:6">
      <c r="A88" t="s">
        <v>249</v>
      </c>
      <c r="B88" s="14" t="s">
        <v>213</v>
      </c>
      <c r="C88" s="6">
        <v>7907.74</v>
      </c>
      <c r="D88" s="7">
        <v>45876</v>
      </c>
      <c r="F88" t="s">
        <v>250</v>
      </c>
    </row>
    <row r="89" spans="1:6">
      <c r="A89" t="s">
        <v>231</v>
      </c>
      <c r="B89" s="14" t="s">
        <v>213</v>
      </c>
      <c r="C89" s="6">
        <v>10053.73</v>
      </c>
      <c r="D89" s="7">
        <v>45876</v>
      </c>
      <c r="F89" t="s">
        <v>232</v>
      </c>
    </row>
    <row r="90" spans="1:6">
      <c r="A90" t="s">
        <v>237</v>
      </c>
      <c r="B90" s="14" t="s">
        <v>213</v>
      </c>
      <c r="C90" s="6">
        <v>7907.74</v>
      </c>
      <c r="D90" s="7">
        <v>45876</v>
      </c>
      <c r="F90" t="s">
        <v>238</v>
      </c>
    </row>
    <row r="91" spans="1:6">
      <c r="A91" t="s">
        <v>249</v>
      </c>
      <c r="B91" s="14" t="s">
        <v>208</v>
      </c>
      <c r="C91" s="6">
        <v>4591.58</v>
      </c>
      <c r="D91" s="7">
        <v>45876</v>
      </c>
      <c r="F91" t="s">
        <v>250</v>
      </c>
    </row>
    <row r="92" spans="1:6">
      <c r="A92" t="s">
        <v>242</v>
      </c>
      <c r="B92" s="14" t="s">
        <v>213</v>
      </c>
      <c r="C92" s="6">
        <v>7919.33</v>
      </c>
      <c r="D92" s="7">
        <v>45876</v>
      </c>
      <c r="F92" t="s">
        <v>243</v>
      </c>
    </row>
    <row r="93" spans="1:6">
      <c r="A93" t="s">
        <v>224</v>
      </c>
      <c r="B93" s="14" t="s">
        <v>251</v>
      </c>
      <c r="C93" s="6">
        <v>2914.55</v>
      </c>
      <c r="D93" s="7">
        <v>45876</v>
      </c>
      <c r="F93" t="s">
        <v>226</v>
      </c>
    </row>
    <row r="94" spans="1:6">
      <c r="A94" t="s">
        <v>227</v>
      </c>
      <c r="B94" s="14" t="s">
        <v>233</v>
      </c>
      <c r="C94" s="6">
        <v>7663.86</v>
      </c>
      <c r="D94" s="7">
        <v>45876</v>
      </c>
      <c r="F94" t="s">
        <v>229</v>
      </c>
    </row>
    <row r="95" spans="1:6">
      <c r="A95" t="s">
        <v>252</v>
      </c>
      <c r="B95" s="14" t="s">
        <v>213</v>
      </c>
      <c r="C95" s="6">
        <v>3061.06</v>
      </c>
      <c r="D95" s="7">
        <v>45868</v>
      </c>
      <c r="F95" t="s">
        <v>253</v>
      </c>
    </row>
    <row r="96" spans="1:6">
      <c r="A96" t="s">
        <v>254</v>
      </c>
      <c r="B96" s="14" t="s">
        <v>213</v>
      </c>
      <c r="C96" s="6">
        <v>1530.52</v>
      </c>
      <c r="D96" s="7">
        <v>45868</v>
      </c>
      <c r="F96" t="s">
        <v>255</v>
      </c>
    </row>
    <row r="97" spans="1:6">
      <c r="A97" t="s">
        <v>252</v>
      </c>
      <c r="B97" s="14" t="s">
        <v>234</v>
      </c>
      <c r="C97" s="6">
        <v>7907.74</v>
      </c>
      <c r="D97" s="7">
        <v>45867</v>
      </c>
      <c r="F97" t="s">
        <v>253</v>
      </c>
    </row>
    <row r="98" spans="1:6">
      <c r="A98" t="s">
        <v>203</v>
      </c>
      <c r="B98" s="14" t="s">
        <v>256</v>
      </c>
      <c r="C98" s="6">
        <v>8107.85</v>
      </c>
      <c r="D98" s="7">
        <v>45867</v>
      </c>
      <c r="F98" t="s">
        <v>204</v>
      </c>
    </row>
    <row r="99" spans="1:6">
      <c r="A99" t="s">
        <v>242</v>
      </c>
      <c r="B99" s="14" t="s">
        <v>233</v>
      </c>
      <c r="C99" s="6">
        <v>7663.86</v>
      </c>
      <c r="D99" s="7">
        <v>45867</v>
      </c>
      <c r="F99" t="s">
        <v>243</v>
      </c>
    </row>
    <row r="100" spans="1:6">
      <c r="A100" t="s">
        <v>235</v>
      </c>
      <c r="B100" s="14" t="s">
        <v>257</v>
      </c>
      <c r="C100" s="6">
        <v>8392.2800000000007</v>
      </c>
      <c r="D100" s="7">
        <v>45867</v>
      </c>
      <c r="F100" t="s">
        <v>236</v>
      </c>
    </row>
    <row r="101" spans="1:6">
      <c r="A101" t="s">
        <v>227</v>
      </c>
      <c r="B101" s="14" t="s">
        <v>257</v>
      </c>
      <c r="C101" s="6">
        <v>7152.94</v>
      </c>
      <c r="D101" s="7">
        <v>45867</v>
      </c>
      <c r="F101" t="s">
        <v>229</v>
      </c>
    </row>
    <row r="102" spans="1:6">
      <c r="A102" t="s">
        <v>258</v>
      </c>
      <c r="B102" s="14" t="s">
        <v>259</v>
      </c>
      <c r="C102" s="6">
        <v>7448.3</v>
      </c>
      <c r="D102" s="7">
        <v>45867</v>
      </c>
      <c r="F102" t="s">
        <v>260</v>
      </c>
    </row>
    <row r="103" spans="1:6">
      <c r="A103" t="s">
        <v>254</v>
      </c>
      <c r="B103" s="14" t="s">
        <v>234</v>
      </c>
      <c r="C103" s="6">
        <v>7907.74</v>
      </c>
      <c r="D103" s="7">
        <v>45867</v>
      </c>
      <c r="F103" t="s">
        <v>255</v>
      </c>
    </row>
    <row r="104" spans="1:6">
      <c r="A104" t="s">
        <v>252</v>
      </c>
      <c r="B104" s="14" t="s">
        <v>233</v>
      </c>
      <c r="C104" s="6">
        <v>7652.64</v>
      </c>
      <c r="D104" s="7">
        <v>45867</v>
      </c>
      <c r="F104" t="s">
        <v>253</v>
      </c>
    </row>
    <row r="105" spans="1:6">
      <c r="A105" t="s">
        <v>254</v>
      </c>
      <c r="B105" s="14" t="s">
        <v>233</v>
      </c>
      <c r="C105" s="6">
        <v>7652.64</v>
      </c>
      <c r="D105" s="7">
        <v>45867</v>
      </c>
      <c r="F105" t="s">
        <v>255</v>
      </c>
    </row>
    <row r="106" spans="1:6">
      <c r="A106" t="s">
        <v>258</v>
      </c>
      <c r="B106" s="14" t="s">
        <v>234</v>
      </c>
      <c r="C106" s="6">
        <v>8743.66</v>
      </c>
      <c r="D106" s="7">
        <v>45867</v>
      </c>
      <c r="F106" t="s">
        <v>260</v>
      </c>
    </row>
    <row r="107" spans="1:6">
      <c r="A107" t="s">
        <v>261</v>
      </c>
      <c r="B107" s="14" t="s">
        <v>233</v>
      </c>
      <c r="C107" s="6">
        <v>7441.65</v>
      </c>
      <c r="D107" s="7">
        <v>45867</v>
      </c>
      <c r="F107" t="s">
        <v>262</v>
      </c>
    </row>
    <row r="108" spans="1:6">
      <c r="A108" t="s">
        <v>235</v>
      </c>
      <c r="B108" s="14" t="s">
        <v>234</v>
      </c>
      <c r="C108" s="6">
        <v>7919.33</v>
      </c>
      <c r="D108" s="7">
        <v>45867</v>
      </c>
      <c r="F108" t="s">
        <v>236</v>
      </c>
    </row>
    <row r="109" spans="1:6">
      <c r="A109" t="s">
        <v>227</v>
      </c>
      <c r="B109" s="14" t="s">
        <v>234</v>
      </c>
      <c r="C109" s="6">
        <v>7919.33</v>
      </c>
      <c r="D109" s="7">
        <v>45867</v>
      </c>
      <c r="F109" t="s">
        <v>229</v>
      </c>
    </row>
    <row r="110" spans="1:6">
      <c r="A110" t="s">
        <v>261</v>
      </c>
      <c r="B110" s="14" t="s">
        <v>234</v>
      </c>
      <c r="C110" s="6">
        <v>10039.01</v>
      </c>
      <c r="D110" s="7">
        <v>45867</v>
      </c>
      <c r="F110" t="s">
        <v>262</v>
      </c>
    </row>
    <row r="111" spans="1:6">
      <c r="A111" t="s">
        <v>263</v>
      </c>
      <c r="B111" s="14" t="s">
        <v>264</v>
      </c>
      <c r="C111" s="6">
        <v>6152.95</v>
      </c>
      <c r="D111" s="7">
        <v>45861</v>
      </c>
      <c r="F111" t="s">
        <v>265</v>
      </c>
    </row>
    <row r="112" spans="1:6">
      <c r="A112" t="s">
        <v>205</v>
      </c>
      <c r="B112" s="14" t="s">
        <v>266</v>
      </c>
      <c r="C112" s="6">
        <v>666.45</v>
      </c>
      <c r="D112" s="7">
        <v>45854</v>
      </c>
      <c r="F112" t="s">
        <v>207</v>
      </c>
    </row>
    <row r="113" spans="1:6">
      <c r="A113" t="s">
        <v>242</v>
      </c>
      <c r="B113" s="14" t="s">
        <v>234</v>
      </c>
      <c r="C113" s="6">
        <v>8814.39</v>
      </c>
      <c r="D113" s="7">
        <v>45832</v>
      </c>
      <c r="F113" t="s">
        <v>243</v>
      </c>
    </row>
    <row r="114" spans="1:6">
      <c r="A114" t="s">
        <v>201</v>
      </c>
      <c r="B114" s="14" t="s">
        <v>233</v>
      </c>
      <c r="C114" s="6">
        <v>7652.64</v>
      </c>
      <c r="D114" s="7">
        <v>45825</v>
      </c>
      <c r="F114" t="s">
        <v>202</v>
      </c>
    </row>
    <row r="115" spans="1:6">
      <c r="A115" t="s">
        <v>261</v>
      </c>
      <c r="B115" s="14" t="s">
        <v>267</v>
      </c>
      <c r="C115" s="6">
        <v>4857.59</v>
      </c>
      <c r="D115" s="7">
        <v>45824</v>
      </c>
      <c r="F115" t="s">
        <v>262</v>
      </c>
    </row>
    <row r="116" spans="1:6">
      <c r="A116" t="s">
        <v>237</v>
      </c>
      <c r="B116" s="14" t="s">
        <v>233</v>
      </c>
      <c r="C116" s="6">
        <v>7652.64</v>
      </c>
      <c r="D116" s="7">
        <v>45821</v>
      </c>
      <c r="F116" t="s">
        <v>238</v>
      </c>
    </row>
    <row r="117" spans="1:6">
      <c r="A117" t="s">
        <v>237</v>
      </c>
      <c r="B117" s="14" t="s">
        <v>234</v>
      </c>
      <c r="C117" s="6">
        <v>7976.48</v>
      </c>
      <c r="D117" s="7">
        <v>45821</v>
      </c>
      <c r="F117" t="s">
        <v>238</v>
      </c>
    </row>
    <row r="118" spans="1:6">
      <c r="A118" t="s">
        <v>237</v>
      </c>
      <c r="B118" s="14" t="s">
        <v>257</v>
      </c>
      <c r="C118" s="6">
        <v>9067.5</v>
      </c>
      <c r="D118" s="7">
        <v>45821</v>
      </c>
      <c r="F118" t="s">
        <v>238</v>
      </c>
    </row>
    <row r="119" spans="1:6">
      <c r="A119" t="s">
        <v>249</v>
      </c>
      <c r="B119" s="14" t="s">
        <v>233</v>
      </c>
      <c r="C119" s="6">
        <v>7652.64</v>
      </c>
      <c r="D119" s="7">
        <v>45818</v>
      </c>
      <c r="F119" t="s">
        <v>250</v>
      </c>
    </row>
    <row r="120" spans="1:6">
      <c r="A120" t="s">
        <v>249</v>
      </c>
      <c r="B120" s="14" t="s">
        <v>234</v>
      </c>
      <c r="C120" s="6">
        <v>7907.74</v>
      </c>
      <c r="D120" s="7">
        <v>45811</v>
      </c>
      <c r="F120" t="s">
        <v>250</v>
      </c>
    </row>
    <row r="121" spans="1:6">
      <c r="A121" t="s">
        <v>249</v>
      </c>
      <c r="B121" s="14" t="s">
        <v>257</v>
      </c>
      <c r="C121" s="6">
        <v>7142.48</v>
      </c>
      <c r="D121" s="7">
        <v>45810</v>
      </c>
      <c r="F121" t="s">
        <v>250</v>
      </c>
    </row>
    <row r="122" spans="1:6">
      <c r="A122" t="s">
        <v>249</v>
      </c>
      <c r="B122" s="14" t="s">
        <v>268</v>
      </c>
      <c r="C122" s="6">
        <v>8467.4</v>
      </c>
      <c r="D122" s="7">
        <v>45810</v>
      </c>
      <c r="F122" t="s">
        <v>250</v>
      </c>
    </row>
    <row r="123" spans="1:6">
      <c r="A123" t="s">
        <v>269</v>
      </c>
      <c r="B123" s="14" t="s">
        <v>234</v>
      </c>
      <c r="C123" s="6">
        <v>4132.3900000000003</v>
      </c>
      <c r="D123" s="7">
        <v>45806</v>
      </c>
      <c r="E123" t="s">
        <v>176</v>
      </c>
      <c r="F123" t="s">
        <v>270</v>
      </c>
    </row>
    <row r="124" spans="1:6">
      <c r="A124" t="s">
        <v>194</v>
      </c>
      <c r="B124" s="14" t="s">
        <v>257</v>
      </c>
      <c r="C124" s="6">
        <v>7142.48</v>
      </c>
      <c r="D124" s="7">
        <v>45805</v>
      </c>
      <c r="F124" t="s">
        <v>195</v>
      </c>
    </row>
    <row r="125" spans="1:6">
      <c r="A125" t="s">
        <v>244</v>
      </c>
      <c r="B125" s="14" t="s">
        <v>233</v>
      </c>
      <c r="C125" s="6">
        <v>7142.48</v>
      </c>
      <c r="D125" s="7">
        <v>45805</v>
      </c>
      <c r="F125" t="s">
        <v>245</v>
      </c>
    </row>
    <row r="126" spans="1:6">
      <c r="A126" t="s">
        <v>271</v>
      </c>
      <c r="B126" s="14" t="s">
        <v>233</v>
      </c>
      <c r="C126" s="6">
        <v>7652.64</v>
      </c>
      <c r="D126" s="7">
        <v>45805</v>
      </c>
      <c r="F126" t="s">
        <v>272</v>
      </c>
    </row>
    <row r="127" spans="1:6">
      <c r="A127" t="s">
        <v>271</v>
      </c>
      <c r="B127" s="14" t="s">
        <v>213</v>
      </c>
      <c r="C127" s="6">
        <v>1275.44</v>
      </c>
      <c r="D127" s="7">
        <v>45805</v>
      </c>
      <c r="F127" t="s">
        <v>272</v>
      </c>
    </row>
    <row r="128" spans="1:6">
      <c r="A128" t="s">
        <v>201</v>
      </c>
      <c r="B128" s="14" t="s">
        <v>234</v>
      </c>
      <c r="C128" s="6">
        <v>7907.74</v>
      </c>
      <c r="D128" s="7">
        <v>45805</v>
      </c>
      <c r="F128" t="s">
        <v>202</v>
      </c>
    </row>
    <row r="129" spans="1:6">
      <c r="A129" t="s">
        <v>194</v>
      </c>
      <c r="B129" s="14" t="s">
        <v>268</v>
      </c>
      <c r="C129" s="6">
        <v>7907.74</v>
      </c>
      <c r="D129" s="7">
        <v>45796</v>
      </c>
      <c r="F129" t="s">
        <v>195</v>
      </c>
    </row>
    <row r="130" spans="1:6">
      <c r="A130" t="s">
        <v>227</v>
      </c>
      <c r="B130" s="14" t="s">
        <v>268</v>
      </c>
      <c r="C130" s="6">
        <v>7919.33</v>
      </c>
      <c r="D130" s="7">
        <v>45796</v>
      </c>
      <c r="F130" t="s">
        <v>229</v>
      </c>
    </row>
    <row r="131" spans="1:6">
      <c r="A131" t="s">
        <v>249</v>
      </c>
      <c r="B131" s="14" t="s">
        <v>273</v>
      </c>
      <c r="C131" s="6">
        <v>10117.41</v>
      </c>
      <c r="D131" s="7">
        <v>45796</v>
      </c>
      <c r="F131" t="s">
        <v>250</v>
      </c>
    </row>
    <row r="132" spans="1:6">
      <c r="A132" t="s">
        <v>244</v>
      </c>
      <c r="B132" s="14" t="s">
        <v>234</v>
      </c>
      <c r="C132" s="6">
        <v>7907.74</v>
      </c>
      <c r="D132" s="7">
        <v>45786</v>
      </c>
      <c r="F132" t="s">
        <v>245</v>
      </c>
    </row>
    <row r="133" spans="1:6">
      <c r="A133" t="s">
        <v>271</v>
      </c>
      <c r="B133" s="14" t="s">
        <v>234</v>
      </c>
      <c r="C133" s="6">
        <v>7907.74</v>
      </c>
      <c r="D133" s="7">
        <v>45786</v>
      </c>
      <c r="F133" t="s">
        <v>272</v>
      </c>
    </row>
    <row r="134" spans="1:6">
      <c r="A134" t="s">
        <v>249</v>
      </c>
      <c r="B134" s="14" t="s">
        <v>274</v>
      </c>
      <c r="C134" s="6">
        <v>7124.46</v>
      </c>
      <c r="D134" s="7">
        <v>45777</v>
      </c>
      <c r="F134" t="s">
        <v>250</v>
      </c>
    </row>
    <row r="135" spans="1:6">
      <c r="A135" t="s">
        <v>237</v>
      </c>
      <c r="B135" s="14" t="s">
        <v>268</v>
      </c>
      <c r="C135" s="6">
        <v>10039.01</v>
      </c>
      <c r="D135" s="7">
        <v>45777</v>
      </c>
      <c r="F135" t="s">
        <v>238</v>
      </c>
    </row>
    <row r="136" spans="1:6">
      <c r="A136" t="s">
        <v>271</v>
      </c>
      <c r="B136" s="14" t="s">
        <v>257</v>
      </c>
      <c r="C136" s="6">
        <v>7623.73</v>
      </c>
      <c r="D136" s="7">
        <v>45770</v>
      </c>
      <c r="F136" t="s">
        <v>272</v>
      </c>
    </row>
    <row r="137" spans="1:6">
      <c r="A137" t="s">
        <v>269</v>
      </c>
      <c r="B137" s="14" t="s">
        <v>257</v>
      </c>
      <c r="C137" s="6">
        <v>7142.48</v>
      </c>
      <c r="D137" s="7">
        <v>45769</v>
      </c>
      <c r="F137" t="s">
        <v>270</v>
      </c>
    </row>
    <row r="138" spans="1:6">
      <c r="A138" t="s">
        <v>275</v>
      </c>
      <c r="B138" s="14" t="s">
        <v>276</v>
      </c>
      <c r="C138" s="6">
        <v>2095.94</v>
      </c>
      <c r="D138" s="7">
        <v>45769</v>
      </c>
      <c r="F138" t="s">
        <v>277</v>
      </c>
    </row>
    <row r="139" spans="1:6">
      <c r="A139" t="s">
        <v>242</v>
      </c>
      <c r="B139" s="14" t="s">
        <v>257</v>
      </c>
      <c r="C139" s="6">
        <v>9080.7900000000009</v>
      </c>
      <c r="D139" s="7">
        <v>45769</v>
      </c>
      <c r="F139" t="s">
        <v>243</v>
      </c>
    </row>
    <row r="140" spans="1:6">
      <c r="A140" t="s">
        <v>271</v>
      </c>
      <c r="B140" s="14" t="s">
        <v>268</v>
      </c>
      <c r="C140" s="6">
        <v>10117.41</v>
      </c>
      <c r="D140" s="7">
        <v>45769</v>
      </c>
      <c r="F140" t="s">
        <v>272</v>
      </c>
    </row>
    <row r="141" spans="1:6">
      <c r="A141" t="s">
        <v>263</v>
      </c>
      <c r="B141" s="14" t="s">
        <v>234</v>
      </c>
      <c r="C141" s="6">
        <v>647.67999999999995</v>
      </c>
      <c r="D141" s="7">
        <v>45762</v>
      </c>
      <c r="F141" t="s">
        <v>265</v>
      </c>
    </row>
    <row r="142" spans="1:6">
      <c r="A142" t="s">
        <v>242</v>
      </c>
      <c r="B142" s="14" t="s">
        <v>278</v>
      </c>
      <c r="C142" s="6">
        <v>6161.97</v>
      </c>
      <c r="D142" s="7">
        <v>45758</v>
      </c>
      <c r="F142" t="s">
        <v>243</v>
      </c>
    </row>
    <row r="143" spans="1:6">
      <c r="A143" t="s">
        <v>271</v>
      </c>
      <c r="B143" s="14" t="s">
        <v>279</v>
      </c>
      <c r="C143" s="6">
        <v>7124.46</v>
      </c>
      <c r="D143" s="7">
        <v>45756</v>
      </c>
      <c r="F143" t="s">
        <v>272</v>
      </c>
    </row>
    <row r="144" spans="1:6">
      <c r="A144" t="s">
        <v>280</v>
      </c>
      <c r="B144" s="14" t="s">
        <v>268</v>
      </c>
      <c r="C144" s="6">
        <v>2656.72</v>
      </c>
      <c r="D144" s="7">
        <v>45754</v>
      </c>
      <c r="F144" t="s">
        <v>281</v>
      </c>
    </row>
    <row r="145" spans="1:6">
      <c r="A145" t="s">
        <v>254</v>
      </c>
      <c r="B145" s="14" t="s">
        <v>257</v>
      </c>
      <c r="C145" s="6">
        <v>7142.48</v>
      </c>
      <c r="D145" s="7">
        <v>45754</v>
      </c>
      <c r="F145" t="s">
        <v>255</v>
      </c>
    </row>
    <row r="146" spans="1:6">
      <c r="A146" t="s">
        <v>282</v>
      </c>
      <c r="B146" s="14" t="s">
        <v>283</v>
      </c>
      <c r="C146" s="6">
        <v>6122.12</v>
      </c>
      <c r="D146" s="7">
        <v>45750</v>
      </c>
      <c r="F146" t="s">
        <v>284</v>
      </c>
    </row>
    <row r="147" spans="1:6">
      <c r="A147" t="s">
        <v>254</v>
      </c>
      <c r="B147" s="14" t="s">
        <v>268</v>
      </c>
      <c r="C147" s="6">
        <v>7907.74</v>
      </c>
      <c r="D147" s="7">
        <v>45749</v>
      </c>
      <c r="F147" t="s">
        <v>255</v>
      </c>
    </row>
    <row r="148" spans="1:6">
      <c r="A148" t="s">
        <v>244</v>
      </c>
      <c r="B148" s="14" t="s">
        <v>257</v>
      </c>
      <c r="C148" s="6">
        <v>7142.48</v>
      </c>
      <c r="D148" s="7">
        <v>45749</v>
      </c>
      <c r="F148" t="s">
        <v>245</v>
      </c>
    </row>
    <row r="149" spans="1:6">
      <c r="A149" t="s">
        <v>244</v>
      </c>
      <c r="B149" s="14" t="s">
        <v>268</v>
      </c>
      <c r="C149" s="6">
        <v>8113.99</v>
      </c>
      <c r="D149" s="7">
        <v>45749</v>
      </c>
      <c r="F149" t="s">
        <v>245</v>
      </c>
    </row>
    <row r="150" spans="1:6">
      <c r="A150" t="s">
        <v>235</v>
      </c>
      <c r="B150" s="14" t="s">
        <v>268</v>
      </c>
      <c r="C150" s="6">
        <v>10053.73</v>
      </c>
      <c r="D150" s="7">
        <v>45749</v>
      </c>
      <c r="F150" t="s">
        <v>236</v>
      </c>
    </row>
    <row r="151" spans="1:6">
      <c r="A151" t="s">
        <v>227</v>
      </c>
      <c r="B151" s="14" t="s">
        <v>273</v>
      </c>
      <c r="C151" s="6">
        <v>7919.33</v>
      </c>
      <c r="D151" s="7">
        <v>45749</v>
      </c>
      <c r="F151" t="s">
        <v>229</v>
      </c>
    </row>
    <row r="152" spans="1:6">
      <c r="A152" t="s">
        <v>194</v>
      </c>
      <c r="B152" s="14" t="s">
        <v>273</v>
      </c>
      <c r="C152" s="6">
        <v>7907.74</v>
      </c>
      <c r="D152" s="7">
        <v>45748</v>
      </c>
      <c r="F152" t="s">
        <v>195</v>
      </c>
    </row>
    <row r="153" spans="1:6">
      <c r="A153" t="s">
        <v>252</v>
      </c>
      <c r="B153" s="14" t="s">
        <v>268</v>
      </c>
      <c r="C153" s="6">
        <v>7907.74</v>
      </c>
      <c r="D153" s="7">
        <v>45748</v>
      </c>
      <c r="F153" t="s">
        <v>253</v>
      </c>
    </row>
    <row r="154" spans="1:6">
      <c r="A154" t="s">
        <v>254</v>
      </c>
      <c r="B154" s="14" t="s">
        <v>273</v>
      </c>
      <c r="C154" s="6">
        <v>7907.74</v>
      </c>
      <c r="D154" s="7">
        <v>45748</v>
      </c>
      <c r="F154" t="s">
        <v>255</v>
      </c>
    </row>
    <row r="155" spans="1:6">
      <c r="A155" t="s">
        <v>254</v>
      </c>
      <c r="B155" s="14" t="s">
        <v>283</v>
      </c>
      <c r="C155" s="6">
        <v>8821.41</v>
      </c>
      <c r="D155" s="7">
        <v>45748</v>
      </c>
      <c r="F155" t="s">
        <v>255</v>
      </c>
    </row>
    <row r="156" spans="1:6">
      <c r="A156" t="s">
        <v>235</v>
      </c>
      <c r="B156" s="14" t="s">
        <v>285</v>
      </c>
      <c r="C156" s="6">
        <v>3567.45</v>
      </c>
      <c r="D156" s="7">
        <v>45748</v>
      </c>
      <c r="F156" t="s">
        <v>236</v>
      </c>
    </row>
    <row r="157" spans="1:6">
      <c r="A157" t="s">
        <v>269</v>
      </c>
      <c r="B157" s="14" t="s">
        <v>268</v>
      </c>
      <c r="C157" s="6">
        <v>9557.76</v>
      </c>
      <c r="D157" s="7">
        <v>45748</v>
      </c>
      <c r="F157" t="s">
        <v>270</v>
      </c>
    </row>
    <row r="158" spans="1:6">
      <c r="A158" t="s">
        <v>227</v>
      </c>
      <c r="B158" s="14" t="s">
        <v>283</v>
      </c>
      <c r="C158" s="6">
        <v>7663.86</v>
      </c>
      <c r="D158" s="7">
        <v>45748</v>
      </c>
      <c r="F158" t="s">
        <v>229</v>
      </c>
    </row>
    <row r="159" spans="1:6">
      <c r="A159" t="s">
        <v>252</v>
      </c>
      <c r="B159" s="14" t="s">
        <v>257</v>
      </c>
      <c r="C159" s="6">
        <v>7142.48</v>
      </c>
      <c r="D159" s="7">
        <v>45748</v>
      </c>
      <c r="F159" t="s">
        <v>253</v>
      </c>
    </row>
    <row r="160" spans="1:6">
      <c r="A160" t="s">
        <v>201</v>
      </c>
      <c r="B160" s="14" t="s">
        <v>257</v>
      </c>
      <c r="C160" s="6">
        <v>7142.48</v>
      </c>
      <c r="D160" s="7">
        <v>45748</v>
      </c>
      <c r="F160" t="s">
        <v>202</v>
      </c>
    </row>
    <row r="161" spans="1:6">
      <c r="A161" t="s">
        <v>201</v>
      </c>
      <c r="B161" s="14" t="s">
        <v>268</v>
      </c>
      <c r="C161" s="6">
        <v>7907.74</v>
      </c>
      <c r="D161" s="7">
        <v>45748</v>
      </c>
      <c r="F161" t="s">
        <v>202</v>
      </c>
    </row>
    <row r="162" spans="1:6">
      <c r="A162" t="s">
        <v>263</v>
      </c>
      <c r="B162" s="14" t="s">
        <v>286</v>
      </c>
      <c r="C162" s="6">
        <v>5829.11</v>
      </c>
      <c r="D162" s="7">
        <v>45748</v>
      </c>
      <c r="F162" t="s">
        <v>265</v>
      </c>
    </row>
    <row r="163" spans="1:6">
      <c r="A163" t="s">
        <v>287</v>
      </c>
      <c r="B163" s="14" t="s">
        <v>268</v>
      </c>
      <c r="C163" s="6">
        <v>5101.76</v>
      </c>
      <c r="D163" s="7">
        <v>45748</v>
      </c>
      <c r="F163" t="s">
        <v>288</v>
      </c>
    </row>
    <row r="164" spans="1:6">
      <c r="A164" t="s">
        <v>227</v>
      </c>
      <c r="B164" s="14" t="s">
        <v>289</v>
      </c>
      <c r="C164" s="6">
        <v>7919.33</v>
      </c>
      <c r="D164" s="7">
        <v>45748</v>
      </c>
      <c r="F164" t="s">
        <v>229</v>
      </c>
    </row>
    <row r="165" spans="1:6">
      <c r="A165" t="s">
        <v>287</v>
      </c>
      <c r="B165" s="14" t="s">
        <v>273</v>
      </c>
      <c r="C165" s="6">
        <v>7907.74</v>
      </c>
      <c r="D165" s="7">
        <v>45748</v>
      </c>
      <c r="F165" t="s">
        <v>288</v>
      </c>
    </row>
    <row r="166" spans="1:6">
      <c r="A166" t="s">
        <v>280</v>
      </c>
      <c r="B166" s="14" t="s">
        <v>273</v>
      </c>
      <c r="C166" s="6">
        <v>7919.33</v>
      </c>
      <c r="D166" s="7">
        <v>45748</v>
      </c>
      <c r="F166" t="s">
        <v>281</v>
      </c>
    </row>
    <row r="167" spans="1:6">
      <c r="A167" t="s">
        <v>269</v>
      </c>
      <c r="B167" s="14" t="s">
        <v>273</v>
      </c>
      <c r="C167" s="6">
        <v>10039.01</v>
      </c>
      <c r="D167" s="7">
        <v>45748</v>
      </c>
      <c r="F167" t="s">
        <v>270</v>
      </c>
    </row>
    <row r="168" spans="1:6">
      <c r="A168" t="s">
        <v>194</v>
      </c>
      <c r="B168" s="14" t="s">
        <v>283</v>
      </c>
      <c r="C168" s="6">
        <v>7652.64</v>
      </c>
      <c r="D168" s="7">
        <v>45748</v>
      </c>
      <c r="F168" t="s">
        <v>195</v>
      </c>
    </row>
    <row r="169" spans="1:6">
      <c r="A169" t="s">
        <v>282</v>
      </c>
      <c r="B169" s="14" t="s">
        <v>290</v>
      </c>
      <c r="C169" s="6">
        <v>2907.91</v>
      </c>
      <c r="D169" s="7">
        <v>45747</v>
      </c>
      <c r="F169" t="s">
        <v>284</v>
      </c>
    </row>
    <row r="170" spans="1:6">
      <c r="A170" t="s">
        <v>291</v>
      </c>
      <c r="B170" s="14" t="s">
        <v>292</v>
      </c>
      <c r="C170" s="6">
        <v>578.66999999999996</v>
      </c>
      <c r="D170" s="7">
        <v>45715</v>
      </c>
      <c r="F170" t="s">
        <v>293</v>
      </c>
    </row>
    <row r="171" spans="1:6">
      <c r="A171" t="s">
        <v>227</v>
      </c>
      <c r="B171" s="14" t="s">
        <v>294</v>
      </c>
      <c r="C171" s="6">
        <v>7771.9</v>
      </c>
      <c r="D171" s="7">
        <v>45715</v>
      </c>
      <c r="F171" t="s">
        <v>229</v>
      </c>
    </row>
    <row r="172" spans="1:6">
      <c r="A172" t="s">
        <v>295</v>
      </c>
      <c r="B172" s="14" t="s">
        <v>296</v>
      </c>
      <c r="C172" s="6">
        <v>2621.54</v>
      </c>
      <c r="D172" s="7">
        <v>45714</v>
      </c>
      <c r="E172" t="s">
        <v>176</v>
      </c>
      <c r="F172" t="s">
        <v>297</v>
      </c>
    </row>
    <row r="173" spans="1:6">
      <c r="A173" t="s">
        <v>298</v>
      </c>
      <c r="B173" s="14" t="s">
        <v>273</v>
      </c>
      <c r="C173" s="6">
        <v>6642.02</v>
      </c>
      <c r="D173" s="7">
        <v>45707</v>
      </c>
      <c r="F173" t="s">
        <v>299</v>
      </c>
    </row>
    <row r="174" spans="1:6">
      <c r="A174" t="s">
        <v>298</v>
      </c>
      <c r="B174" s="14" t="s">
        <v>289</v>
      </c>
      <c r="C174" s="6">
        <v>9916.0300000000007</v>
      </c>
      <c r="D174" s="7">
        <v>45706</v>
      </c>
      <c r="F174" t="s">
        <v>299</v>
      </c>
    </row>
    <row r="175" spans="1:6">
      <c r="A175" t="s">
        <v>298</v>
      </c>
      <c r="B175" s="14" t="s">
        <v>283</v>
      </c>
      <c r="C175" s="6">
        <v>7663.86</v>
      </c>
      <c r="D175" s="7">
        <v>45706</v>
      </c>
      <c r="F175" t="s">
        <v>299</v>
      </c>
    </row>
    <row r="176" spans="1:6">
      <c r="A176" t="s">
        <v>300</v>
      </c>
      <c r="B176" s="14" t="s">
        <v>301</v>
      </c>
      <c r="C176" s="6">
        <v>648.63</v>
      </c>
      <c r="D176" s="7">
        <v>45706</v>
      </c>
      <c r="F176" t="s">
        <v>302</v>
      </c>
    </row>
    <row r="177" spans="1:6">
      <c r="A177" t="s">
        <v>252</v>
      </c>
      <c r="B177" s="14" t="s">
        <v>303</v>
      </c>
      <c r="C177" s="6">
        <v>1293.3800000000001</v>
      </c>
      <c r="D177" s="7">
        <v>45701</v>
      </c>
      <c r="E177" t="s">
        <v>176</v>
      </c>
      <c r="F177" t="s">
        <v>253</v>
      </c>
    </row>
    <row r="178" spans="1:6">
      <c r="A178" t="s">
        <v>304</v>
      </c>
      <c r="B178" s="14" t="s">
        <v>305</v>
      </c>
      <c r="C178" s="6">
        <v>10158.48</v>
      </c>
      <c r="D178" s="7">
        <v>45701</v>
      </c>
      <c r="E178" t="s">
        <v>176</v>
      </c>
      <c r="F178" t="s">
        <v>306</v>
      </c>
    </row>
    <row r="179" spans="1:6">
      <c r="A179" t="s">
        <v>194</v>
      </c>
      <c r="B179" s="14" t="s">
        <v>289</v>
      </c>
      <c r="C179" s="6">
        <v>7907.74</v>
      </c>
      <c r="D179" s="7">
        <v>45701</v>
      </c>
      <c r="E179" t="s">
        <v>176</v>
      </c>
      <c r="F179" t="s">
        <v>195</v>
      </c>
    </row>
    <row r="180" spans="1:6">
      <c r="A180" t="s">
        <v>307</v>
      </c>
      <c r="B180" s="14" t="s">
        <v>303</v>
      </c>
      <c r="C180" s="6">
        <v>777.19</v>
      </c>
      <c r="D180" s="7">
        <v>45701</v>
      </c>
      <c r="E180" t="s">
        <v>176</v>
      </c>
      <c r="F180" t="s">
        <v>308</v>
      </c>
    </row>
    <row r="181" spans="1:6">
      <c r="A181" t="s">
        <v>227</v>
      </c>
      <c r="B181" s="14" t="s">
        <v>303</v>
      </c>
      <c r="C181" s="6">
        <v>8030.96</v>
      </c>
      <c r="D181" s="7">
        <v>45701</v>
      </c>
      <c r="E181" t="s">
        <v>176</v>
      </c>
      <c r="F181" t="s">
        <v>229</v>
      </c>
    </row>
    <row r="182" spans="1:6">
      <c r="A182" t="s">
        <v>304</v>
      </c>
      <c r="B182" s="14" t="s">
        <v>303</v>
      </c>
      <c r="C182" s="6">
        <v>2983.48</v>
      </c>
      <c r="D182" s="7">
        <v>45701</v>
      </c>
      <c r="E182" t="s">
        <v>176</v>
      </c>
      <c r="F182" t="s">
        <v>306</v>
      </c>
    </row>
    <row r="183" spans="1:6">
      <c r="A183" t="s">
        <v>298</v>
      </c>
      <c r="B183" s="14" t="s">
        <v>294</v>
      </c>
      <c r="C183" s="6">
        <v>8204.5400000000009</v>
      </c>
      <c r="D183" s="7">
        <v>45701</v>
      </c>
      <c r="F183" t="s">
        <v>299</v>
      </c>
    </row>
    <row r="184" spans="1:6">
      <c r="A184" t="s">
        <v>244</v>
      </c>
      <c r="B184" s="14" t="s">
        <v>273</v>
      </c>
      <c r="C184" s="6">
        <v>10039.01</v>
      </c>
      <c r="D184" s="7">
        <v>45695</v>
      </c>
      <c r="F184" t="s">
        <v>245</v>
      </c>
    </row>
    <row r="185" spans="1:6">
      <c r="A185" t="s">
        <v>244</v>
      </c>
      <c r="B185" s="14" t="s">
        <v>309</v>
      </c>
      <c r="C185" s="6">
        <v>8419.82</v>
      </c>
      <c r="D185" s="7">
        <v>45695</v>
      </c>
      <c r="F185" t="s">
        <v>245</v>
      </c>
    </row>
    <row r="186" spans="1:6">
      <c r="A186" t="s">
        <v>269</v>
      </c>
      <c r="B186" s="14" t="s">
        <v>310</v>
      </c>
      <c r="C186" s="6">
        <v>1619.2</v>
      </c>
      <c r="D186" s="7">
        <v>45693</v>
      </c>
      <c r="F186" t="s">
        <v>270</v>
      </c>
    </row>
    <row r="187" spans="1:6">
      <c r="A187" t="s">
        <v>280</v>
      </c>
      <c r="B187" s="14" t="s">
        <v>311</v>
      </c>
      <c r="C187" s="6">
        <v>5875.63</v>
      </c>
      <c r="D187" s="7">
        <v>45693</v>
      </c>
      <c r="F187" t="s">
        <v>281</v>
      </c>
    </row>
    <row r="188" spans="1:6">
      <c r="A188" t="s">
        <v>312</v>
      </c>
      <c r="B188" s="14" t="s">
        <v>283</v>
      </c>
      <c r="C188" s="6">
        <v>1096.81</v>
      </c>
      <c r="D188" s="7">
        <v>45693</v>
      </c>
      <c r="F188" t="s">
        <v>313</v>
      </c>
    </row>
    <row r="189" spans="1:6">
      <c r="A189" t="s">
        <v>312</v>
      </c>
      <c r="B189" s="14" t="s">
        <v>294</v>
      </c>
      <c r="C189" s="6">
        <v>7760.33</v>
      </c>
      <c r="D189" s="7">
        <v>45692</v>
      </c>
      <c r="F189" t="s">
        <v>313</v>
      </c>
    </row>
    <row r="190" spans="1:6">
      <c r="A190" t="s">
        <v>287</v>
      </c>
      <c r="B190" s="14" t="s">
        <v>283</v>
      </c>
      <c r="C190" s="6">
        <v>7652.64</v>
      </c>
      <c r="D190" s="7">
        <v>45692</v>
      </c>
      <c r="F190" t="s">
        <v>288</v>
      </c>
    </row>
    <row r="191" spans="1:6">
      <c r="A191" t="s">
        <v>312</v>
      </c>
      <c r="B191" s="14" t="s">
        <v>289</v>
      </c>
      <c r="C191" s="6">
        <v>7907.74</v>
      </c>
      <c r="D191" s="7">
        <v>45692</v>
      </c>
      <c r="F191" t="s">
        <v>313</v>
      </c>
    </row>
    <row r="192" spans="1:6">
      <c r="A192" t="s">
        <v>314</v>
      </c>
      <c r="B192" s="14" t="s">
        <v>315</v>
      </c>
      <c r="C192" s="6">
        <v>482.16</v>
      </c>
      <c r="D192" s="7">
        <v>45692</v>
      </c>
      <c r="F192" t="s">
        <v>316</v>
      </c>
    </row>
    <row r="193" spans="1:6">
      <c r="A193" t="s">
        <v>201</v>
      </c>
      <c r="B193" s="14" t="s">
        <v>273</v>
      </c>
      <c r="C193" s="6">
        <v>7907.74</v>
      </c>
      <c r="D193" s="7">
        <v>45692</v>
      </c>
      <c r="F193" t="s">
        <v>202</v>
      </c>
    </row>
    <row r="194" spans="1:6">
      <c r="A194" t="s">
        <v>252</v>
      </c>
      <c r="B194" s="14" t="s">
        <v>273</v>
      </c>
      <c r="C194" s="6">
        <v>7907.74</v>
      </c>
      <c r="D194" s="7">
        <v>45692</v>
      </c>
      <c r="F194" t="s">
        <v>253</v>
      </c>
    </row>
    <row r="195" spans="1:6">
      <c r="A195" t="s">
        <v>282</v>
      </c>
      <c r="B195" s="14" t="s">
        <v>289</v>
      </c>
      <c r="C195" s="6">
        <v>7907.74</v>
      </c>
      <c r="D195" s="7">
        <v>45685</v>
      </c>
      <c r="F195" t="s">
        <v>284</v>
      </c>
    </row>
    <row r="196" spans="1:6">
      <c r="A196" t="s">
        <v>252</v>
      </c>
      <c r="B196" s="14" t="s">
        <v>283</v>
      </c>
      <c r="C196" s="6">
        <v>7652.64</v>
      </c>
      <c r="D196" s="7">
        <v>45681</v>
      </c>
      <c r="F196" t="s">
        <v>253</v>
      </c>
    </row>
    <row r="197" spans="1:6">
      <c r="A197" t="s">
        <v>287</v>
      </c>
      <c r="B197" s="14" t="s">
        <v>294</v>
      </c>
      <c r="C197" s="6">
        <v>7760.33</v>
      </c>
      <c r="D197" s="7">
        <v>45681</v>
      </c>
      <c r="F197" t="s">
        <v>288</v>
      </c>
    </row>
    <row r="198" spans="1:6">
      <c r="A198" t="s">
        <v>287</v>
      </c>
      <c r="B198" s="14" t="s">
        <v>289</v>
      </c>
      <c r="C198" s="6">
        <v>7907.74</v>
      </c>
      <c r="D198" s="7">
        <v>45681</v>
      </c>
      <c r="F198" t="s">
        <v>288</v>
      </c>
    </row>
    <row r="199" spans="1:6">
      <c r="A199" t="s">
        <v>317</v>
      </c>
      <c r="B199" s="14" t="s">
        <v>283</v>
      </c>
      <c r="C199" s="6">
        <v>3928.25</v>
      </c>
      <c r="D199" s="7">
        <v>45681</v>
      </c>
      <c r="F199" t="s">
        <v>318</v>
      </c>
    </row>
    <row r="200" spans="1:6">
      <c r="A200" t="s">
        <v>282</v>
      </c>
      <c r="B200" s="14" t="s">
        <v>294</v>
      </c>
      <c r="C200" s="6">
        <v>7760.33</v>
      </c>
      <c r="D200" s="7">
        <v>45680</v>
      </c>
      <c r="F200" t="s">
        <v>284</v>
      </c>
    </row>
    <row r="201" spans="1:6">
      <c r="A201" t="s">
        <v>282</v>
      </c>
      <c r="B201" s="14" t="s">
        <v>303</v>
      </c>
      <c r="C201" s="6">
        <v>8019.01</v>
      </c>
      <c r="D201" s="7">
        <v>45674</v>
      </c>
      <c r="F201" t="s">
        <v>284</v>
      </c>
    </row>
    <row r="202" spans="1:6">
      <c r="A202" t="s">
        <v>319</v>
      </c>
      <c r="B202" s="14" t="s">
        <v>320</v>
      </c>
      <c r="C202" s="6">
        <v>1914.52</v>
      </c>
      <c r="D202" s="7">
        <v>45673</v>
      </c>
      <c r="F202" t="s">
        <v>321</v>
      </c>
    </row>
    <row r="203" spans="1:6">
      <c r="A203" t="s">
        <v>317</v>
      </c>
      <c r="B203" s="14" t="s">
        <v>289</v>
      </c>
      <c r="C203" s="6">
        <v>7907.74</v>
      </c>
      <c r="D203" s="7">
        <v>45672</v>
      </c>
      <c r="F203" t="s">
        <v>318</v>
      </c>
    </row>
    <row r="204" spans="1:6">
      <c r="A204" t="s">
        <v>201</v>
      </c>
      <c r="B204" s="14" t="s">
        <v>283</v>
      </c>
      <c r="C204" s="6">
        <v>7652.64</v>
      </c>
      <c r="D204" s="7">
        <v>45671</v>
      </c>
      <c r="F204" t="s">
        <v>202</v>
      </c>
    </row>
    <row r="205" spans="1:6">
      <c r="A205" t="s">
        <v>252</v>
      </c>
      <c r="B205" s="14" t="s">
        <v>289</v>
      </c>
      <c r="C205" s="6">
        <v>7907.74</v>
      </c>
      <c r="D205" s="7">
        <v>45671</v>
      </c>
      <c r="F205" t="s">
        <v>253</v>
      </c>
    </row>
    <row r="206" spans="1:6">
      <c r="A206" t="s">
        <v>282</v>
      </c>
      <c r="B206" s="14" t="s">
        <v>322</v>
      </c>
      <c r="C206" s="6">
        <v>7760.33</v>
      </c>
      <c r="D206" s="7">
        <v>45671</v>
      </c>
      <c r="F206" t="s">
        <v>284</v>
      </c>
    </row>
    <row r="207" spans="1:6">
      <c r="A207" t="s">
        <v>282</v>
      </c>
      <c r="B207" s="14" t="s">
        <v>305</v>
      </c>
      <c r="C207" s="6">
        <v>8019.01</v>
      </c>
      <c r="D207" s="7">
        <v>45671</v>
      </c>
      <c r="F207" t="s">
        <v>284</v>
      </c>
    </row>
    <row r="208" spans="1:6">
      <c r="A208" t="s">
        <v>254</v>
      </c>
      <c r="B208" s="14" t="s">
        <v>289</v>
      </c>
      <c r="C208" s="6">
        <v>10039.01</v>
      </c>
      <c r="D208" s="7">
        <v>45671</v>
      </c>
      <c r="F208" t="s">
        <v>255</v>
      </c>
    </row>
    <row r="209" spans="1:6">
      <c r="A209" t="s">
        <v>323</v>
      </c>
      <c r="B209" s="14" t="s">
        <v>324</v>
      </c>
      <c r="C209" s="6">
        <v>2776.01</v>
      </c>
      <c r="D209" s="7">
        <v>45671</v>
      </c>
      <c r="F209" t="s">
        <v>325</v>
      </c>
    </row>
    <row r="210" spans="1:6">
      <c r="A210" t="s">
        <v>317</v>
      </c>
      <c r="B210" s="14" t="s">
        <v>326</v>
      </c>
      <c r="C210" s="6">
        <v>2845.45</v>
      </c>
      <c r="D210" s="7">
        <v>45665</v>
      </c>
      <c r="F210" t="s">
        <v>318</v>
      </c>
    </row>
    <row r="211" spans="1:6">
      <c r="A211" t="s">
        <v>327</v>
      </c>
      <c r="B211" s="14" t="s">
        <v>328</v>
      </c>
      <c r="C211" s="6">
        <v>3441.21</v>
      </c>
      <c r="D211" s="7">
        <v>45663</v>
      </c>
      <c r="F211" t="s">
        <v>329</v>
      </c>
    </row>
    <row r="212" spans="1:6">
      <c r="A212" t="s">
        <v>201</v>
      </c>
      <c r="B212" s="14" t="s">
        <v>289</v>
      </c>
      <c r="C212" s="6">
        <v>7907.74</v>
      </c>
      <c r="D212" s="7">
        <v>45659</v>
      </c>
      <c r="F212" t="s">
        <v>202</v>
      </c>
    </row>
    <row r="213" spans="1:6">
      <c r="A213" t="s">
        <v>330</v>
      </c>
      <c r="B213" s="14" t="s">
        <v>289</v>
      </c>
      <c r="C213" s="6">
        <v>3243.14</v>
      </c>
      <c r="D213" s="7">
        <v>45659</v>
      </c>
      <c r="F213" t="s">
        <v>331</v>
      </c>
    </row>
    <row r="214" spans="1:6">
      <c r="A214" t="s">
        <v>330</v>
      </c>
      <c r="B214" s="14" t="s">
        <v>324</v>
      </c>
      <c r="C214" s="6">
        <v>6563.63</v>
      </c>
      <c r="D214" s="7">
        <v>45659</v>
      </c>
      <c r="F214" t="s">
        <v>331</v>
      </c>
    </row>
    <row r="215" spans="1:6">
      <c r="A215" t="s">
        <v>327</v>
      </c>
      <c r="B215" s="14" t="s">
        <v>332</v>
      </c>
      <c r="C215" s="6">
        <v>8019.01</v>
      </c>
      <c r="D215" s="7">
        <v>45649</v>
      </c>
      <c r="F215" t="s">
        <v>329</v>
      </c>
    </row>
    <row r="216" spans="1:6">
      <c r="A216" t="s">
        <v>333</v>
      </c>
      <c r="B216" s="14" t="s">
        <v>289</v>
      </c>
      <c r="C216" s="6">
        <v>2550.88</v>
      </c>
      <c r="D216" s="7">
        <v>45630</v>
      </c>
      <c r="F216" t="s">
        <v>334</v>
      </c>
    </row>
    <row r="217" spans="1:6">
      <c r="A217" t="s">
        <v>335</v>
      </c>
      <c r="B217" s="14" t="s">
        <v>336</v>
      </c>
      <c r="C217" s="6">
        <v>759.5</v>
      </c>
      <c r="D217" s="7">
        <v>45621</v>
      </c>
      <c r="F217" t="s">
        <v>337</v>
      </c>
    </row>
    <row r="218" spans="1:6">
      <c r="A218" t="s">
        <v>254</v>
      </c>
      <c r="B218" s="14" t="s">
        <v>338</v>
      </c>
      <c r="C218" s="6">
        <v>3932.32</v>
      </c>
      <c r="D218" s="7">
        <v>45618</v>
      </c>
      <c r="F218" t="s">
        <v>255</v>
      </c>
    </row>
    <row r="219" spans="1:6">
      <c r="A219" t="s">
        <v>339</v>
      </c>
      <c r="B219" s="14" t="s">
        <v>340</v>
      </c>
      <c r="C219" s="6">
        <v>1519.03</v>
      </c>
      <c r="D219" s="7">
        <v>45618</v>
      </c>
      <c r="F219" t="s">
        <v>341</v>
      </c>
    </row>
    <row r="220" spans="1:6">
      <c r="A220" t="s">
        <v>201</v>
      </c>
      <c r="B220" s="14" t="s">
        <v>315</v>
      </c>
      <c r="C220" s="6">
        <v>6466.94</v>
      </c>
      <c r="D220" s="7">
        <v>45618</v>
      </c>
      <c r="F220" t="s">
        <v>202</v>
      </c>
    </row>
    <row r="221" spans="1:6">
      <c r="A221" t="s">
        <v>317</v>
      </c>
      <c r="B221" s="14" t="s">
        <v>303</v>
      </c>
      <c r="C221" s="6">
        <v>1293.3800000000001</v>
      </c>
      <c r="D221" s="7">
        <v>45617</v>
      </c>
      <c r="E221" t="s">
        <v>176</v>
      </c>
      <c r="F221" t="s">
        <v>318</v>
      </c>
    </row>
    <row r="222" spans="1:6">
      <c r="A222" t="s">
        <v>304</v>
      </c>
      <c r="B222" s="14" t="s">
        <v>342</v>
      </c>
      <c r="C222" s="6">
        <v>8847.7000000000007</v>
      </c>
      <c r="D222" s="7">
        <v>45617</v>
      </c>
      <c r="E222" t="s">
        <v>176</v>
      </c>
      <c r="F222" t="s">
        <v>306</v>
      </c>
    </row>
    <row r="223" spans="1:6">
      <c r="A223" t="s">
        <v>194</v>
      </c>
      <c r="B223" s="14" t="s">
        <v>343</v>
      </c>
      <c r="C223" s="6">
        <v>2949.23</v>
      </c>
      <c r="D223" s="7">
        <v>45617</v>
      </c>
      <c r="E223" t="s">
        <v>176</v>
      </c>
      <c r="F223" t="s">
        <v>195</v>
      </c>
    </row>
    <row r="224" spans="1:6">
      <c r="A224" t="s">
        <v>252</v>
      </c>
      <c r="B224" s="14" t="s">
        <v>305</v>
      </c>
      <c r="C224" s="6">
        <v>8019.01</v>
      </c>
      <c r="D224" s="7">
        <v>45617</v>
      </c>
      <c r="E224" t="s">
        <v>176</v>
      </c>
      <c r="F224" t="s">
        <v>253</v>
      </c>
    </row>
    <row r="225" spans="1:6">
      <c r="A225" t="s">
        <v>227</v>
      </c>
      <c r="B225" s="14" t="s">
        <v>305</v>
      </c>
      <c r="C225" s="6">
        <v>8030.96</v>
      </c>
      <c r="D225" s="7">
        <v>45617</v>
      </c>
      <c r="E225" t="s">
        <v>176</v>
      </c>
      <c r="F225" t="s">
        <v>229</v>
      </c>
    </row>
    <row r="226" spans="1:6">
      <c r="A226" t="s">
        <v>201</v>
      </c>
      <c r="B226" s="14" t="s">
        <v>305</v>
      </c>
      <c r="C226" s="6">
        <v>5690.91</v>
      </c>
      <c r="D226" s="7">
        <v>45617</v>
      </c>
      <c r="E226" t="s">
        <v>176</v>
      </c>
      <c r="F226" t="s">
        <v>202</v>
      </c>
    </row>
    <row r="227" spans="1:6">
      <c r="A227" t="s">
        <v>307</v>
      </c>
      <c r="B227" s="14" t="s">
        <v>305</v>
      </c>
      <c r="C227" s="6">
        <v>8030.96</v>
      </c>
      <c r="D227" s="7">
        <v>45617</v>
      </c>
      <c r="E227" t="s">
        <v>176</v>
      </c>
      <c r="F227" t="s">
        <v>308</v>
      </c>
    </row>
    <row r="228" spans="1:6">
      <c r="A228" t="s">
        <v>317</v>
      </c>
      <c r="B228" s="14" t="s">
        <v>305</v>
      </c>
      <c r="C228" s="6">
        <v>8019.01</v>
      </c>
      <c r="D228" s="7">
        <v>45617</v>
      </c>
      <c r="E228" t="s">
        <v>176</v>
      </c>
      <c r="F228" t="s">
        <v>318</v>
      </c>
    </row>
    <row r="229" spans="1:6">
      <c r="A229" t="s">
        <v>252</v>
      </c>
      <c r="B229" s="14" t="s">
        <v>344</v>
      </c>
      <c r="C229" s="6">
        <v>3362.81</v>
      </c>
      <c r="D229" s="7">
        <v>45614</v>
      </c>
      <c r="F229" t="s">
        <v>253</v>
      </c>
    </row>
    <row r="230" spans="1:6">
      <c r="A230" t="s">
        <v>235</v>
      </c>
      <c r="B230" s="14" t="s">
        <v>289</v>
      </c>
      <c r="C230" s="6">
        <v>2043.7</v>
      </c>
      <c r="D230" s="7">
        <v>45614</v>
      </c>
      <c r="F230" t="s">
        <v>236</v>
      </c>
    </row>
    <row r="231" spans="1:6">
      <c r="A231" t="s">
        <v>194</v>
      </c>
      <c r="B231" s="14" t="s">
        <v>294</v>
      </c>
      <c r="C231" s="6">
        <v>9140.64</v>
      </c>
      <c r="D231" s="7">
        <v>45614</v>
      </c>
      <c r="F231" t="s">
        <v>195</v>
      </c>
    </row>
    <row r="232" spans="1:6">
      <c r="A232" t="s">
        <v>345</v>
      </c>
      <c r="B232" s="14" t="s">
        <v>346</v>
      </c>
      <c r="C232" s="6">
        <v>2625.45</v>
      </c>
      <c r="D232" s="7">
        <v>45597</v>
      </c>
      <c r="F232" t="s">
        <v>347</v>
      </c>
    </row>
    <row r="233" spans="1:6">
      <c r="A233" t="s">
        <v>235</v>
      </c>
      <c r="B233" s="14" t="s">
        <v>294</v>
      </c>
      <c r="C233" s="6">
        <v>7771.9</v>
      </c>
      <c r="D233" s="7">
        <v>45595</v>
      </c>
      <c r="F233" t="s">
        <v>236</v>
      </c>
    </row>
    <row r="234" spans="1:6">
      <c r="A234" t="s">
        <v>333</v>
      </c>
      <c r="B234" s="14" t="s">
        <v>294</v>
      </c>
      <c r="C234" s="6">
        <v>7760.33</v>
      </c>
      <c r="D234" s="7">
        <v>45595</v>
      </c>
      <c r="F234" t="s">
        <v>334</v>
      </c>
    </row>
    <row r="235" spans="1:6">
      <c r="A235" t="s">
        <v>312</v>
      </c>
      <c r="B235" s="14" t="s">
        <v>303</v>
      </c>
      <c r="C235" s="6">
        <v>8019.01</v>
      </c>
      <c r="D235" s="7">
        <v>45594</v>
      </c>
      <c r="F235" t="s">
        <v>313</v>
      </c>
    </row>
    <row r="236" spans="1:6">
      <c r="A236" t="s">
        <v>235</v>
      </c>
      <c r="B236" s="14" t="s">
        <v>303</v>
      </c>
      <c r="C236" s="6">
        <v>8030.96</v>
      </c>
      <c r="D236" s="7">
        <v>45594</v>
      </c>
      <c r="F236" t="s">
        <v>236</v>
      </c>
    </row>
    <row r="237" spans="1:6">
      <c r="A237" t="s">
        <v>235</v>
      </c>
      <c r="B237" s="14" t="s">
        <v>305</v>
      </c>
      <c r="C237" s="6">
        <v>8030.96</v>
      </c>
      <c r="D237" s="7">
        <v>45594</v>
      </c>
      <c r="F237" t="s">
        <v>236</v>
      </c>
    </row>
    <row r="238" spans="1:6">
      <c r="A238" t="s">
        <v>333</v>
      </c>
      <c r="B238" s="14" t="s">
        <v>303</v>
      </c>
      <c r="C238" s="6">
        <v>8019.01</v>
      </c>
      <c r="D238" s="7">
        <v>45594</v>
      </c>
      <c r="F238" t="s">
        <v>334</v>
      </c>
    </row>
    <row r="239" spans="1:6">
      <c r="A239" t="s">
        <v>194</v>
      </c>
      <c r="B239" s="14" t="s">
        <v>303</v>
      </c>
      <c r="C239" s="6">
        <v>10158.48</v>
      </c>
      <c r="D239" s="7">
        <v>45594</v>
      </c>
      <c r="F239" t="s">
        <v>195</v>
      </c>
    </row>
    <row r="240" spans="1:6">
      <c r="A240" t="s">
        <v>333</v>
      </c>
      <c r="B240" s="14" t="s">
        <v>305</v>
      </c>
      <c r="C240" s="6">
        <v>9882.42</v>
      </c>
      <c r="D240" s="7">
        <v>45594</v>
      </c>
      <c r="F240" t="s">
        <v>334</v>
      </c>
    </row>
    <row r="241" spans="1:6">
      <c r="A241" t="s">
        <v>287</v>
      </c>
      <c r="B241" s="14" t="s">
        <v>303</v>
      </c>
      <c r="C241" s="6">
        <v>8019.01</v>
      </c>
      <c r="D241" s="7">
        <v>45588</v>
      </c>
      <c r="F241" t="s">
        <v>288</v>
      </c>
    </row>
    <row r="242" spans="1:6">
      <c r="A242" t="s">
        <v>287</v>
      </c>
      <c r="B242" s="14" t="s">
        <v>305</v>
      </c>
      <c r="C242" s="6">
        <v>8019.01</v>
      </c>
      <c r="D242" s="7">
        <v>45588</v>
      </c>
      <c r="F242" t="s">
        <v>288</v>
      </c>
    </row>
    <row r="243" spans="1:6">
      <c r="A243" t="s">
        <v>295</v>
      </c>
      <c r="B243" s="14" t="s">
        <v>303</v>
      </c>
      <c r="C243" s="6">
        <v>8192.32</v>
      </c>
      <c r="D243" s="7">
        <v>45588</v>
      </c>
      <c r="F243" t="s">
        <v>297</v>
      </c>
    </row>
    <row r="244" spans="1:6">
      <c r="A244" t="s">
        <v>312</v>
      </c>
      <c r="B244" s="14" t="s">
        <v>305</v>
      </c>
      <c r="C244" s="6">
        <v>8019.01</v>
      </c>
      <c r="D244" s="7">
        <v>45588</v>
      </c>
      <c r="F244" t="s">
        <v>313</v>
      </c>
    </row>
    <row r="245" spans="1:6">
      <c r="A245" t="s">
        <v>348</v>
      </c>
      <c r="B245" s="14" t="s">
        <v>349</v>
      </c>
      <c r="C245" s="6">
        <v>1148.7</v>
      </c>
      <c r="D245" s="7">
        <v>45581</v>
      </c>
      <c r="F245" t="s">
        <v>350</v>
      </c>
    </row>
    <row r="246" spans="1:6">
      <c r="B246" s="14"/>
      <c r="C246" s="6"/>
      <c r="D246" s="7"/>
    </row>
    <row r="247" spans="1:6">
      <c r="B247" s="14"/>
      <c r="C247" s="6"/>
      <c r="D247" s="7"/>
    </row>
    <row r="248" spans="1:6">
      <c r="B248" s="14"/>
      <c r="C248" s="6"/>
      <c r="D248" s="7"/>
    </row>
    <row r="249" spans="1:6">
      <c r="B249" s="14"/>
      <c r="C249" s="6"/>
      <c r="D249" s="7"/>
    </row>
    <row r="250" spans="1:6">
      <c r="B250" s="14"/>
      <c r="C250" s="6"/>
      <c r="D250" s="7"/>
    </row>
    <row r="251" spans="1:6">
      <c r="B251" s="14"/>
      <c r="C251" s="6"/>
      <c r="D251" s="7"/>
    </row>
    <row r="252" spans="1:6">
      <c r="B252" s="14"/>
      <c r="C252" s="6"/>
      <c r="D252" s="7"/>
    </row>
    <row r="253" spans="1:6">
      <c r="B253" s="14"/>
      <c r="C253" s="6"/>
      <c r="D253" s="7"/>
    </row>
    <row r="254" spans="1:6">
      <c r="B254" s="14"/>
      <c r="C254" s="6"/>
      <c r="D254" s="7"/>
    </row>
    <row r="255" spans="1:6">
      <c r="B255" s="14"/>
      <c r="C255" s="6"/>
      <c r="D255" s="7"/>
    </row>
    <row r="256" spans="1:6">
      <c r="B256" s="14"/>
      <c r="C256" s="6"/>
      <c r="D256" s="7"/>
    </row>
    <row r="257" spans="2:4">
      <c r="B257" s="14"/>
      <c r="C257" s="6"/>
      <c r="D257" s="7"/>
    </row>
    <row r="258" spans="2:4">
      <c r="B258" s="14"/>
      <c r="C258" s="6"/>
      <c r="D258" s="7"/>
    </row>
    <row r="259" spans="2:4">
      <c r="B259" s="14"/>
      <c r="C259" s="6"/>
      <c r="D259" s="7"/>
    </row>
    <row r="260" spans="2:4">
      <c r="B260" s="14"/>
      <c r="C260" s="6"/>
      <c r="D260" s="7"/>
    </row>
    <row r="261" spans="2:4">
      <c r="B261" s="14"/>
      <c r="C261" s="6"/>
      <c r="D261" s="7"/>
    </row>
    <row r="262" spans="2:4">
      <c r="B262" s="14"/>
      <c r="C262" s="6"/>
      <c r="D262" s="7"/>
    </row>
    <row r="263" spans="2:4">
      <c r="B263" s="14"/>
      <c r="C263" s="6"/>
      <c r="D263" s="7"/>
    </row>
    <row r="264" spans="2:4">
      <c r="B264" s="14"/>
      <c r="C264" s="6"/>
      <c r="D264" s="7"/>
    </row>
    <row r="265" spans="2:4">
      <c r="B265" s="14"/>
      <c r="C265" s="6"/>
      <c r="D265" s="7"/>
    </row>
    <row r="266" spans="2:4">
      <c r="B266" s="14"/>
      <c r="C266" s="6"/>
      <c r="D266" s="7"/>
    </row>
    <row r="267" spans="2:4">
      <c r="B267" s="14"/>
      <c r="C267" s="6"/>
      <c r="D267" s="7"/>
    </row>
    <row r="268" spans="2:4">
      <c r="B268" s="14"/>
      <c r="C268" s="6"/>
      <c r="D268" s="7"/>
    </row>
    <row r="269" spans="2:4">
      <c r="B269" s="14"/>
      <c r="C269" s="6"/>
      <c r="D269" s="7"/>
    </row>
    <row r="270" spans="2:4">
      <c r="B270" s="14"/>
      <c r="C270" s="6"/>
      <c r="D270" s="7"/>
    </row>
    <row r="271" spans="2:4">
      <c r="B271" s="14"/>
      <c r="C271" s="6"/>
      <c r="D271" s="7"/>
    </row>
    <row r="272" spans="2:4">
      <c r="B272" s="14"/>
      <c r="C272" s="6"/>
      <c r="D272" s="7"/>
    </row>
    <row r="273" spans="2:4">
      <c r="B273" s="14"/>
      <c r="C273" s="6"/>
      <c r="D273" s="7"/>
    </row>
    <row r="274" spans="2:4">
      <c r="B274" s="14"/>
      <c r="C274" s="6"/>
      <c r="D274" s="7"/>
    </row>
    <row r="275" spans="2:4">
      <c r="B275" s="14"/>
      <c r="C275" s="6"/>
      <c r="D275" s="7"/>
    </row>
    <row r="276" spans="2:4">
      <c r="B276" s="14"/>
      <c r="C276" s="6"/>
      <c r="D276" s="7"/>
    </row>
    <row r="277" spans="2:4">
      <c r="B277" s="14"/>
      <c r="C277" s="6"/>
      <c r="D277" s="7"/>
    </row>
    <row r="278" spans="2:4">
      <c r="B278" s="14"/>
      <c r="C278" s="6"/>
      <c r="D278" s="7"/>
    </row>
    <row r="279" spans="2:4">
      <c r="B279" s="14"/>
      <c r="C279" s="6"/>
      <c r="D279" s="7"/>
    </row>
    <row r="280" spans="2:4">
      <c r="B280" s="14"/>
      <c r="C280" s="6"/>
      <c r="D280" s="7"/>
    </row>
    <row r="281" spans="2:4">
      <c r="B281" s="14"/>
      <c r="C281" s="6"/>
      <c r="D281" s="7"/>
    </row>
    <row r="282" spans="2:4">
      <c r="B282" s="14"/>
      <c r="C282" s="6"/>
      <c r="D282" s="7"/>
    </row>
    <row r="283" spans="2:4">
      <c r="B283" s="14"/>
      <c r="C283" s="6"/>
      <c r="D283" s="7"/>
    </row>
    <row r="284" spans="2:4">
      <c r="B284" s="14"/>
      <c r="C284" s="6"/>
      <c r="D284" s="7"/>
    </row>
    <row r="285" spans="2:4">
      <c r="B285" s="14"/>
      <c r="C285" s="6"/>
      <c r="D285" s="7"/>
    </row>
    <row r="286" spans="2:4">
      <c r="B286" s="14"/>
      <c r="C286" s="6"/>
      <c r="D286" s="7"/>
    </row>
    <row r="287" spans="2:4">
      <c r="B287" s="14"/>
      <c r="C287" s="6"/>
      <c r="D287" s="7"/>
    </row>
    <row r="288" spans="2:4">
      <c r="B288" s="14"/>
      <c r="C288" s="6"/>
      <c r="D288" s="7"/>
    </row>
    <row r="289" spans="2:4">
      <c r="B289" s="14"/>
      <c r="C289" s="6"/>
      <c r="D289" s="7"/>
    </row>
    <row r="290" spans="2:4">
      <c r="B290" s="14"/>
      <c r="C290" s="6"/>
      <c r="D290" s="7"/>
    </row>
    <row r="291" spans="2:4">
      <c r="B291" s="14"/>
      <c r="C291" s="6"/>
      <c r="D291" s="7"/>
    </row>
    <row r="292" spans="2:4">
      <c r="B292" s="14"/>
      <c r="C292" s="6"/>
      <c r="D292" s="7"/>
    </row>
    <row r="293" spans="2:4">
      <c r="B293" s="14"/>
      <c r="C293" s="6"/>
      <c r="D293" s="7"/>
    </row>
    <row r="294" spans="2:4">
      <c r="B294" s="14"/>
      <c r="C294" s="6"/>
      <c r="D294" s="7"/>
    </row>
    <row r="295" spans="2:4">
      <c r="B295" s="14"/>
      <c r="C295" s="6"/>
      <c r="D295" s="7"/>
    </row>
    <row r="296" spans="2:4">
      <c r="B296" s="14"/>
      <c r="C296" s="6"/>
      <c r="D296" s="7"/>
    </row>
    <row r="297" spans="2:4">
      <c r="B297" s="14"/>
      <c r="C297" s="6"/>
      <c r="D297" s="7"/>
    </row>
    <row r="298" spans="2:4">
      <c r="B298" s="14"/>
      <c r="C298" s="6"/>
      <c r="D298" s="7"/>
    </row>
    <row r="299" spans="2:4">
      <c r="B299" s="14"/>
      <c r="C299" s="6"/>
      <c r="D299" s="7"/>
    </row>
    <row r="300" spans="2:4">
      <c r="B300" s="14"/>
      <c r="C300" s="6"/>
      <c r="D300" s="7"/>
    </row>
    <row r="301" spans="2:4">
      <c r="B301" s="14"/>
      <c r="C301" s="6"/>
      <c r="D301" s="7"/>
    </row>
    <row r="302" spans="2:4">
      <c r="B302" s="14"/>
      <c r="C302" s="6"/>
      <c r="D302" s="7"/>
    </row>
    <row r="303" spans="2:4">
      <c r="B303" s="14"/>
      <c r="C303" s="6"/>
      <c r="D303" s="7"/>
    </row>
    <row r="304" spans="2:4">
      <c r="B304" s="14"/>
      <c r="C304" s="6"/>
      <c r="D304" s="7"/>
    </row>
    <row r="305" spans="2:4">
      <c r="B305" s="14"/>
      <c r="C305" s="6"/>
      <c r="D305" s="7"/>
    </row>
    <row r="306" spans="2:4">
      <c r="B306" s="14"/>
      <c r="C306" s="6"/>
      <c r="D306" s="7"/>
    </row>
    <row r="307" spans="2:4">
      <c r="B307" s="14"/>
      <c r="C307" s="6"/>
      <c r="D307" s="7"/>
    </row>
    <row r="308" spans="2:4">
      <c r="B308" s="14"/>
      <c r="C308" s="6"/>
      <c r="D308" s="7"/>
    </row>
    <row r="309" spans="2:4">
      <c r="B309" s="14"/>
      <c r="C309" s="6"/>
      <c r="D309" s="7"/>
    </row>
    <row r="310" spans="2:4">
      <c r="B310" s="14"/>
      <c r="C310" s="6"/>
      <c r="D310" s="7"/>
    </row>
    <row r="311" spans="2:4">
      <c r="B311" s="14"/>
      <c r="C311" s="6"/>
      <c r="D311" s="7"/>
    </row>
    <row r="312" spans="2:4">
      <c r="B312" s="14"/>
      <c r="C312" s="6"/>
      <c r="D312" s="7"/>
    </row>
    <row r="313" spans="2:4">
      <c r="B313" s="14"/>
      <c r="C313" s="6"/>
      <c r="D313" s="7"/>
    </row>
    <row r="314" spans="2:4">
      <c r="B314" s="14"/>
      <c r="C314" s="6"/>
      <c r="D314" s="7"/>
    </row>
    <row r="315" spans="2:4">
      <c r="B315" s="14"/>
      <c r="C315" s="6"/>
      <c r="D315" s="7"/>
    </row>
    <row r="316" spans="2:4">
      <c r="B316" s="14"/>
      <c r="C316" s="6"/>
      <c r="D316" s="7"/>
    </row>
    <row r="317" spans="2:4">
      <c r="B317" s="14"/>
      <c r="C317" s="6"/>
      <c r="D317" s="7"/>
    </row>
    <row r="318" spans="2:4">
      <c r="B318" s="14"/>
      <c r="C318" s="6"/>
      <c r="D318" s="7"/>
    </row>
    <row r="319" spans="2:4">
      <c r="B319" s="14"/>
      <c r="C319" s="6"/>
      <c r="D319" s="7"/>
    </row>
    <row r="320" spans="2:4">
      <c r="B320" s="14"/>
      <c r="C320" s="6"/>
      <c r="D320" s="7"/>
    </row>
    <row r="321" spans="2:4">
      <c r="B321" s="14"/>
      <c r="C321" s="6"/>
      <c r="D321" s="7"/>
    </row>
    <row r="322" spans="2:4">
      <c r="B322" s="14"/>
      <c r="C322" s="6"/>
      <c r="D322" s="7"/>
    </row>
    <row r="323" spans="2:4">
      <c r="B323" s="14"/>
      <c r="C323" s="6"/>
      <c r="D323" s="7"/>
    </row>
    <row r="324" spans="2:4">
      <c r="B324" s="14"/>
      <c r="C324" s="6"/>
      <c r="D324" s="7"/>
    </row>
    <row r="325" spans="2:4">
      <c r="B325" s="14"/>
      <c r="C325" s="6"/>
      <c r="D325" s="7"/>
    </row>
    <row r="326" spans="2:4">
      <c r="B326" s="14"/>
      <c r="C326" s="6"/>
      <c r="D326" s="7"/>
    </row>
    <row r="327" spans="2:4">
      <c r="B327" s="14"/>
      <c r="C327" s="6"/>
      <c r="D327" s="7"/>
    </row>
    <row r="328" spans="2:4">
      <c r="B328" s="14"/>
      <c r="C328" s="6"/>
      <c r="D328" s="7"/>
    </row>
    <row r="329" spans="2:4">
      <c r="B329" s="14"/>
      <c r="C329" s="6"/>
      <c r="D329" s="7"/>
    </row>
    <row r="330" spans="2:4">
      <c r="B330" s="14"/>
      <c r="C330" s="6"/>
      <c r="D330" s="7"/>
    </row>
    <row r="331" spans="2:4">
      <c r="B331" s="14"/>
      <c r="C331" s="6"/>
      <c r="D331" s="7"/>
    </row>
    <row r="332" spans="2:4">
      <c r="B332" s="14"/>
      <c r="C332" s="6"/>
      <c r="D332" s="7"/>
    </row>
    <row r="333" spans="2:4">
      <c r="B333" s="14"/>
      <c r="C333" s="6"/>
      <c r="D333" s="7"/>
    </row>
    <row r="334" spans="2:4">
      <c r="B334" s="14"/>
      <c r="C334" s="6"/>
      <c r="D334" s="7"/>
    </row>
    <row r="335" spans="2:4">
      <c r="B335" s="14"/>
      <c r="C335" s="6"/>
      <c r="D335" s="7"/>
    </row>
    <row r="336" spans="2:4">
      <c r="B336" s="14"/>
      <c r="C336" s="6"/>
      <c r="D336" s="7"/>
    </row>
    <row r="337" spans="2:8">
      <c r="B337" s="14"/>
      <c r="C337" s="6"/>
      <c r="D337" s="7"/>
    </row>
    <row r="338" spans="2:8">
      <c r="B338" s="14"/>
      <c r="C338" s="6"/>
      <c r="D338" s="7"/>
    </row>
    <row r="339" spans="2:8">
      <c r="B339" s="14"/>
      <c r="C339" s="6"/>
      <c r="D339" s="7"/>
    </row>
    <row r="340" spans="2:8">
      <c r="B340" s="14"/>
      <c r="C340" s="6"/>
      <c r="D340" s="7"/>
    </row>
    <row r="341" spans="2:8">
      <c r="B341" s="14"/>
      <c r="C341" s="6"/>
      <c r="D341" s="7"/>
      <c r="H341" s="1"/>
    </row>
    <row r="342" spans="2:8">
      <c r="B342" s="14"/>
      <c r="C342" s="6"/>
      <c r="D342" s="7"/>
    </row>
    <row r="343" spans="2:8">
      <c r="B343" s="14"/>
      <c r="C343" s="6"/>
      <c r="D343" s="7"/>
    </row>
    <row r="344" spans="2:8">
      <c r="B344" s="14"/>
      <c r="C344" s="6"/>
      <c r="D344" s="7"/>
    </row>
    <row r="345" spans="2:8">
      <c r="B345" s="14"/>
      <c r="C345" s="6"/>
      <c r="D345" s="7"/>
    </row>
    <row r="346" spans="2:8">
      <c r="B346" s="14"/>
      <c r="C346" s="6"/>
      <c r="D346" s="7"/>
    </row>
    <row r="347" spans="2:8">
      <c r="B347" s="14"/>
      <c r="C347" s="6"/>
      <c r="D347" s="7"/>
    </row>
    <row r="348" spans="2:8">
      <c r="B348" s="14"/>
      <c r="C348" s="6"/>
      <c r="D348" s="7"/>
    </row>
    <row r="349" spans="2:8">
      <c r="B349" s="14"/>
      <c r="C349" s="6"/>
      <c r="D349" s="7"/>
    </row>
    <row r="350" spans="2:8">
      <c r="B350" s="14"/>
      <c r="C350" s="6"/>
      <c r="D350" s="7"/>
    </row>
    <row r="351" spans="2:8">
      <c r="B351" s="14"/>
      <c r="C351" s="6"/>
      <c r="D351" s="7"/>
    </row>
    <row r="352" spans="2:8">
      <c r="B352" s="14"/>
      <c r="C352" s="6"/>
      <c r="D352" s="7"/>
    </row>
    <row r="353" spans="2:4">
      <c r="B353" s="14"/>
      <c r="C353" s="6"/>
      <c r="D353" s="7"/>
    </row>
    <row r="354" spans="2:4">
      <c r="B354" s="14"/>
      <c r="C354" s="6"/>
      <c r="D354" s="7"/>
    </row>
    <row r="355" spans="2:4">
      <c r="B355" s="14"/>
      <c r="C355" s="6"/>
      <c r="D355" s="7"/>
    </row>
    <row r="356" spans="2:4">
      <c r="B356" s="14"/>
      <c r="C356" s="6"/>
      <c r="D356" s="7"/>
    </row>
    <row r="357" spans="2:4">
      <c r="B357" s="14"/>
      <c r="C357" s="6"/>
      <c r="D357" s="7"/>
    </row>
    <row r="358" spans="2:4">
      <c r="B358" s="14"/>
      <c r="C358" s="6"/>
      <c r="D358" s="7"/>
    </row>
    <row r="359" spans="2:4">
      <c r="B359" s="14"/>
      <c r="C359" s="6"/>
      <c r="D359" s="7"/>
    </row>
    <row r="360" spans="2:4">
      <c r="B360" s="14"/>
      <c r="C360" s="6"/>
      <c r="D360" s="7"/>
    </row>
    <row r="361" spans="2:4">
      <c r="B361" s="14"/>
      <c r="C361" s="6"/>
      <c r="D361" s="7"/>
    </row>
    <row r="362" spans="2:4">
      <c r="B362" s="14"/>
      <c r="C362" s="6"/>
      <c r="D362" s="7"/>
    </row>
    <row r="363" spans="2:4">
      <c r="B363" s="14"/>
      <c r="C363" s="6"/>
      <c r="D363" s="7"/>
    </row>
    <row r="364" spans="2:4">
      <c r="B364" s="14"/>
      <c r="C364" s="6"/>
      <c r="D364" s="7"/>
    </row>
    <row r="365" spans="2:4">
      <c r="B365" s="14"/>
      <c r="C365" s="6"/>
      <c r="D365" s="7"/>
    </row>
    <row r="366" spans="2:4">
      <c r="B366" s="14"/>
      <c r="C366" s="6"/>
      <c r="D366" s="7"/>
    </row>
    <row r="367" spans="2:4">
      <c r="B367" s="14"/>
      <c r="C367" s="6"/>
      <c r="D367" s="7"/>
    </row>
    <row r="368" spans="2:4">
      <c r="B368" s="14"/>
      <c r="C368" s="6"/>
      <c r="D368" s="7"/>
    </row>
    <row r="369" spans="2:4">
      <c r="B369" s="14"/>
      <c r="C369" s="6"/>
      <c r="D369" s="7"/>
    </row>
    <row r="370" spans="2:4">
      <c r="B370" s="14"/>
      <c r="C370" s="6"/>
      <c r="D370" s="7"/>
    </row>
    <row r="371" spans="2:4">
      <c r="B371" s="14"/>
      <c r="C371" s="6"/>
      <c r="D371" s="7"/>
    </row>
    <row r="372" spans="2:4">
      <c r="B372" s="14"/>
      <c r="C372" s="6"/>
      <c r="D372" s="7"/>
    </row>
    <row r="373" spans="2:4">
      <c r="B373" s="14"/>
      <c r="C373" s="6"/>
      <c r="D373" s="7"/>
    </row>
    <row r="374" spans="2:4">
      <c r="B374" s="14"/>
      <c r="C374" s="6"/>
      <c r="D374" s="7"/>
    </row>
    <row r="375" spans="2:4">
      <c r="B375" s="14"/>
      <c r="C375" s="6"/>
      <c r="D375" s="7"/>
    </row>
    <row r="376" spans="2:4">
      <c r="B376" s="14"/>
      <c r="C376" s="6"/>
      <c r="D376" s="7"/>
    </row>
    <row r="377" spans="2:4">
      <c r="B377" s="14"/>
      <c r="C377" s="6"/>
      <c r="D377" s="7"/>
    </row>
    <row r="378" spans="2:4">
      <c r="B378" s="14"/>
      <c r="C378" s="6"/>
      <c r="D378" s="7"/>
    </row>
    <row r="379" spans="2:4">
      <c r="B379" s="14"/>
      <c r="C379" s="6"/>
      <c r="D379" s="7"/>
    </row>
    <row r="380" spans="2:4">
      <c r="B380" s="14"/>
      <c r="C380" s="6"/>
      <c r="D380" s="7"/>
    </row>
    <row r="381" spans="2:4">
      <c r="B381" s="14"/>
      <c r="C381" s="6"/>
      <c r="D381" s="7"/>
    </row>
    <row r="382" spans="2:4">
      <c r="B382" s="14"/>
      <c r="C382" s="6"/>
      <c r="D382" s="7"/>
    </row>
    <row r="383" spans="2:4">
      <c r="B383" s="14"/>
      <c r="C383" s="6"/>
      <c r="D383" s="7"/>
    </row>
    <row r="384" spans="2:4">
      <c r="B384" s="14"/>
      <c r="C384" s="6"/>
      <c r="D384" s="7"/>
    </row>
    <row r="385" spans="2:4">
      <c r="B385" s="14"/>
      <c r="C385" s="6"/>
      <c r="D385" s="7"/>
    </row>
    <row r="386" spans="2:4">
      <c r="B386" s="14"/>
      <c r="C386" s="6"/>
      <c r="D386" s="7"/>
    </row>
    <row r="387" spans="2:4">
      <c r="B387" s="14"/>
      <c r="C387" s="6"/>
      <c r="D387" s="7"/>
    </row>
    <row r="388" spans="2:4">
      <c r="B388" s="14"/>
      <c r="C388" s="6"/>
      <c r="D388" s="7"/>
    </row>
    <row r="389" spans="2:4">
      <c r="B389" s="14"/>
      <c r="C389" s="6"/>
      <c r="D389" s="7"/>
    </row>
    <row r="390" spans="2:4">
      <c r="B390" s="14"/>
      <c r="C390" s="6"/>
      <c r="D390" s="7"/>
    </row>
    <row r="391" spans="2:4">
      <c r="B391" s="14"/>
      <c r="C391" s="6"/>
      <c r="D391" s="7"/>
    </row>
    <row r="392" spans="2:4">
      <c r="B392" s="14"/>
      <c r="C392" s="6"/>
      <c r="D392" s="7"/>
    </row>
    <row r="393" spans="2:4">
      <c r="B393" s="14"/>
      <c r="C393" s="6"/>
      <c r="D393" s="7"/>
    </row>
    <row r="394" spans="2:4">
      <c r="B394" s="14"/>
      <c r="C394" s="6"/>
      <c r="D394" s="7"/>
    </row>
    <row r="395" spans="2:4">
      <c r="B395" s="14"/>
      <c r="C395" s="6"/>
      <c r="D395" s="7"/>
    </row>
    <row r="396" spans="2:4">
      <c r="B396" s="14"/>
      <c r="C396" s="6"/>
      <c r="D396" s="7"/>
    </row>
    <row r="397" spans="2:4">
      <c r="B397" s="14"/>
      <c r="C397" s="6"/>
      <c r="D397" s="7"/>
    </row>
    <row r="398" spans="2:4">
      <c r="B398" s="14"/>
      <c r="C398" s="6"/>
      <c r="D398" s="7"/>
    </row>
    <row r="399" spans="2:4">
      <c r="B399" s="14"/>
      <c r="C399" s="6"/>
      <c r="D399" s="7"/>
    </row>
    <row r="400" spans="2:4">
      <c r="B400" s="14"/>
      <c r="C400" s="6"/>
      <c r="D400" s="7"/>
    </row>
    <row r="401" spans="2:8">
      <c r="B401" s="14"/>
      <c r="C401" s="6"/>
      <c r="D401" s="7"/>
    </row>
    <row r="402" spans="2:8">
      <c r="B402" s="14"/>
      <c r="C402" s="6"/>
      <c r="D402" s="7"/>
    </row>
    <row r="403" spans="2:8">
      <c r="B403" s="14"/>
      <c r="C403" s="6"/>
      <c r="D403" s="7"/>
    </row>
    <row r="404" spans="2:8">
      <c r="B404" s="14"/>
      <c r="C404" s="6"/>
      <c r="D404" s="7"/>
    </row>
    <row r="405" spans="2:8">
      <c r="B405" s="14"/>
      <c r="C405" s="6"/>
      <c r="D405" s="7"/>
    </row>
    <row r="406" spans="2:8">
      <c r="B406" s="14"/>
      <c r="C406" s="6"/>
      <c r="D406" s="7"/>
      <c r="H406" s="1"/>
    </row>
    <row r="407" spans="2:8">
      <c r="B407" s="14"/>
      <c r="C407" s="6"/>
      <c r="D407" s="7"/>
    </row>
    <row r="408" spans="2:8">
      <c r="B408" s="14"/>
      <c r="C408" s="6"/>
      <c r="D408" s="7"/>
    </row>
    <row r="409" spans="2:8">
      <c r="B409" s="14"/>
      <c r="C409" s="6"/>
      <c r="D409" s="7"/>
    </row>
    <row r="410" spans="2:8">
      <c r="B410" s="14"/>
      <c r="C410" s="6"/>
      <c r="D410" s="7"/>
    </row>
    <row r="411" spans="2:8">
      <c r="B411" s="14"/>
      <c r="C411" s="6"/>
      <c r="D411" s="7"/>
    </row>
    <row r="412" spans="2:8">
      <c r="B412" s="14"/>
      <c r="C412" s="6"/>
      <c r="D412" s="7"/>
    </row>
    <row r="413" spans="2:8">
      <c r="B413" s="14"/>
      <c r="C413" s="6"/>
      <c r="D413" s="7"/>
    </row>
    <row r="414" spans="2:8">
      <c r="B414" s="14"/>
      <c r="C414" s="6"/>
      <c r="D414" s="7"/>
    </row>
    <row r="415" spans="2:8">
      <c r="B415" s="14"/>
      <c r="C415" s="6"/>
      <c r="D415" s="7"/>
    </row>
    <row r="416" spans="2:8">
      <c r="B416" s="14"/>
      <c r="C416" s="6"/>
      <c r="D416" s="7"/>
    </row>
    <row r="417" spans="2:4">
      <c r="B417" s="14"/>
      <c r="C417" s="6"/>
      <c r="D417" s="7"/>
    </row>
    <row r="418" spans="2:4">
      <c r="B418" s="14"/>
      <c r="C418" s="6"/>
      <c r="D418" s="7"/>
    </row>
    <row r="419" spans="2:4">
      <c r="B419" s="14"/>
      <c r="C419" s="6"/>
      <c r="D419" s="7"/>
    </row>
    <row r="420" spans="2:4">
      <c r="B420" s="14"/>
      <c r="C420" s="6"/>
      <c r="D420" s="7"/>
    </row>
    <row r="421" spans="2:4">
      <c r="B421" s="14"/>
      <c r="C421" s="6"/>
      <c r="D421" s="7"/>
    </row>
    <row r="422" spans="2:4">
      <c r="B422" s="14"/>
      <c r="C422" s="6"/>
      <c r="D422" s="7"/>
    </row>
    <row r="423" spans="2:4">
      <c r="B423" s="14"/>
      <c r="C423" s="6"/>
      <c r="D423" s="7"/>
    </row>
    <row r="424" spans="2:4">
      <c r="B424" s="14"/>
      <c r="C424" s="6"/>
      <c r="D424" s="7"/>
    </row>
    <row r="425" spans="2:4">
      <c r="B425" s="14"/>
      <c r="C425" s="6"/>
      <c r="D425" s="7"/>
    </row>
    <row r="426" spans="2:4">
      <c r="B426" s="14"/>
      <c r="C426" s="6"/>
      <c r="D426" s="7"/>
    </row>
    <row r="427" spans="2:4">
      <c r="B427" s="14"/>
      <c r="C427" s="6"/>
      <c r="D427" s="7"/>
    </row>
    <row r="428" spans="2:4">
      <c r="B428" s="14"/>
      <c r="C428" s="6"/>
      <c r="D428" s="7"/>
    </row>
    <row r="429" spans="2:4">
      <c r="B429" s="14"/>
      <c r="C429" s="6"/>
      <c r="D429" s="7"/>
    </row>
    <row r="430" spans="2:4">
      <c r="B430" s="14"/>
      <c r="C430" s="6"/>
      <c r="D430" s="7"/>
    </row>
    <row r="431" spans="2:4">
      <c r="B431" s="14"/>
      <c r="C431" s="6"/>
      <c r="D431" s="7"/>
    </row>
    <row r="432" spans="2:4">
      <c r="B432" s="14"/>
      <c r="C432" s="6"/>
      <c r="D432" s="7"/>
    </row>
    <row r="433" spans="2:4">
      <c r="B433" s="14"/>
      <c r="C433" s="6"/>
      <c r="D433" s="7"/>
    </row>
    <row r="434" spans="2:4">
      <c r="B434" s="14"/>
      <c r="C434" s="6"/>
      <c r="D434" s="7"/>
    </row>
    <row r="435" spans="2:4">
      <c r="B435" s="14"/>
      <c r="C435" s="6"/>
      <c r="D435" s="7"/>
    </row>
    <row r="436" spans="2:4">
      <c r="B436" s="14"/>
      <c r="C436" s="6"/>
      <c r="D436" s="7"/>
    </row>
    <row r="437" spans="2:4">
      <c r="B437" s="14"/>
      <c r="C437" s="6"/>
      <c r="D437" s="7"/>
    </row>
    <row r="438" spans="2:4">
      <c r="B438" s="14"/>
      <c r="C438" s="6"/>
      <c r="D438" s="7"/>
    </row>
    <row r="439" spans="2:4">
      <c r="B439" s="14"/>
      <c r="C439" s="6"/>
      <c r="D439" s="7"/>
    </row>
    <row r="440" spans="2:4">
      <c r="B440" s="14"/>
      <c r="C440" s="6"/>
      <c r="D440" s="7"/>
    </row>
    <row r="441" spans="2:4">
      <c r="B441" s="14"/>
      <c r="C441" s="6"/>
      <c r="D441" s="7"/>
    </row>
    <row r="442" spans="2:4">
      <c r="B442" s="14"/>
      <c r="C442" s="6"/>
      <c r="D442" s="7"/>
    </row>
    <row r="443" spans="2:4">
      <c r="B443" s="14"/>
      <c r="C443" s="6"/>
      <c r="D443" s="7"/>
    </row>
    <row r="444" spans="2:4">
      <c r="B444" s="14"/>
      <c r="C444" s="6"/>
      <c r="D444" s="7"/>
    </row>
    <row r="445" spans="2:4">
      <c r="B445" s="14"/>
      <c r="C445" s="6"/>
      <c r="D445" s="7"/>
    </row>
    <row r="446" spans="2:4">
      <c r="B446" s="14"/>
      <c r="C446" s="6"/>
      <c r="D446" s="7"/>
    </row>
    <row r="447" spans="2:4">
      <c r="B447" s="14"/>
      <c r="C447" s="6"/>
      <c r="D447" s="7"/>
    </row>
    <row r="448" spans="2:4">
      <c r="B448" s="14"/>
      <c r="C448" s="6"/>
      <c r="D448" s="7"/>
    </row>
    <row r="449" spans="2:4">
      <c r="B449" s="14"/>
      <c r="C449" s="6"/>
      <c r="D449" s="7"/>
    </row>
    <row r="450" spans="2:4">
      <c r="B450" s="14"/>
      <c r="C450" s="6"/>
      <c r="D450" s="7"/>
    </row>
    <row r="451" spans="2:4">
      <c r="B451" s="14"/>
      <c r="C451" s="6"/>
      <c r="D451" s="7"/>
    </row>
    <row r="452" spans="2:4">
      <c r="B452" s="14"/>
      <c r="C452" s="6"/>
      <c r="D452" s="7"/>
    </row>
    <row r="453" spans="2:4">
      <c r="B453" s="14"/>
      <c r="C453" s="6"/>
      <c r="D453" s="7"/>
    </row>
    <row r="454" spans="2:4">
      <c r="B454" s="14"/>
      <c r="C454" s="6"/>
      <c r="D454" s="7"/>
    </row>
    <row r="455" spans="2:4">
      <c r="B455" s="14"/>
      <c r="C455" s="6"/>
      <c r="D455" s="7"/>
    </row>
    <row r="456" spans="2:4">
      <c r="B456" s="14"/>
      <c r="C456" s="6"/>
      <c r="D456" s="7"/>
    </row>
    <row r="457" spans="2:4">
      <c r="B457" s="14"/>
      <c r="C457" s="6"/>
      <c r="D457" s="7"/>
    </row>
    <row r="458" spans="2:4">
      <c r="B458" s="14"/>
      <c r="C458" s="6"/>
      <c r="D458" s="7"/>
    </row>
    <row r="459" spans="2:4">
      <c r="B459" s="14"/>
      <c r="C459" s="6"/>
      <c r="D459" s="7"/>
    </row>
    <row r="460" spans="2:4">
      <c r="B460" s="14"/>
      <c r="C460" s="6"/>
      <c r="D460" s="7"/>
    </row>
    <row r="461" spans="2:4">
      <c r="B461" s="14"/>
      <c r="C461" s="6"/>
      <c r="D461" s="7"/>
    </row>
    <row r="462" spans="2:4">
      <c r="B462" s="14"/>
      <c r="C462" s="6"/>
      <c r="D462" s="7"/>
    </row>
    <row r="463" spans="2:4">
      <c r="B463" s="14"/>
      <c r="C463" s="6"/>
      <c r="D463" s="7"/>
    </row>
    <row r="464" spans="2:4">
      <c r="B464" s="14"/>
      <c r="C464" s="6"/>
      <c r="D464" s="7"/>
    </row>
    <row r="465" spans="2:17">
      <c r="B465" s="14"/>
      <c r="C465" s="6"/>
      <c r="D465" s="7"/>
    </row>
    <row r="466" spans="2:17">
      <c r="B466" s="14"/>
      <c r="C466" s="6"/>
      <c r="D466" s="7"/>
    </row>
    <row r="467" spans="2:17">
      <c r="B467" s="14"/>
      <c r="C467" s="6"/>
      <c r="D467" s="7"/>
    </row>
    <row r="468" spans="2:17">
      <c r="B468" s="14"/>
      <c r="C468" s="6"/>
      <c r="D468" s="7"/>
    </row>
    <row r="469" spans="2:17">
      <c r="B469" s="14"/>
      <c r="C469" s="6"/>
      <c r="D469" s="7"/>
    </row>
    <row r="470" spans="2:17">
      <c r="B470" s="14"/>
      <c r="C470" s="6"/>
      <c r="D470" s="7"/>
    </row>
    <row r="471" spans="2:17">
      <c r="B471" s="14"/>
      <c r="C471" s="6"/>
      <c r="D471" s="7"/>
    </row>
    <row r="472" spans="2:17">
      <c r="B472" s="14"/>
      <c r="C472" s="6"/>
      <c r="D472" s="7"/>
      <c r="H472" s="3"/>
      <c r="L472" s="3"/>
      <c r="M472" s="3"/>
      <c r="N472" s="3"/>
      <c r="O472" s="3"/>
      <c r="Q472" s="3"/>
    </row>
    <row r="473" spans="2:17">
      <c r="B473" s="14"/>
      <c r="C473" s="6"/>
      <c r="D473" s="7"/>
      <c r="H473" s="3"/>
      <c r="L473" s="3"/>
      <c r="M473" s="3"/>
      <c r="N473" s="3"/>
      <c r="O473" s="3"/>
      <c r="Q473" s="3"/>
    </row>
    <row r="474" spans="2:17">
      <c r="B474" s="14"/>
      <c r="C474" s="6"/>
      <c r="D474" s="7"/>
      <c r="H474" s="3"/>
      <c r="L474" s="3"/>
      <c r="M474" s="3"/>
      <c r="N474" s="3"/>
      <c r="O474" s="3"/>
      <c r="Q474" s="3"/>
    </row>
    <row r="475" spans="2:17">
      <c r="B475" s="14"/>
      <c r="C475" s="6"/>
      <c r="D475" s="7"/>
      <c r="H475" s="3"/>
      <c r="L475" s="3"/>
      <c r="M475" s="3"/>
      <c r="N475" s="3"/>
      <c r="O475" s="3"/>
      <c r="Q475" s="3"/>
    </row>
    <row r="476" spans="2:17">
      <c r="B476" s="14"/>
      <c r="C476" s="6"/>
      <c r="D476" s="7"/>
      <c r="H476" s="3"/>
      <c r="L476" s="3"/>
      <c r="M476" s="3"/>
      <c r="N476" s="3"/>
      <c r="O476" s="3"/>
      <c r="Q476" s="3"/>
    </row>
    <row r="477" spans="2:17">
      <c r="B477" s="14"/>
      <c r="C477" s="6"/>
      <c r="D477" s="7"/>
    </row>
    <row r="478" spans="2:17">
      <c r="B478" s="14"/>
      <c r="C478" s="6"/>
      <c r="D478" s="7"/>
    </row>
    <row r="479" spans="2:17">
      <c r="B479" s="14"/>
      <c r="C479" s="6"/>
      <c r="D479" s="7"/>
    </row>
    <row r="480" spans="2:17">
      <c r="B480" s="14"/>
      <c r="C480" s="6"/>
      <c r="D480" s="7"/>
    </row>
    <row r="481" spans="2:4">
      <c r="B481" s="14"/>
      <c r="C481" s="6"/>
      <c r="D481" s="7"/>
    </row>
    <row r="482" spans="2:4">
      <c r="B482" s="14"/>
      <c r="C482" s="6"/>
      <c r="D482" s="7"/>
    </row>
    <row r="483" spans="2:4">
      <c r="B483" s="14"/>
      <c r="C483" s="6"/>
      <c r="D483" s="7"/>
    </row>
    <row r="484" spans="2:4">
      <c r="B484" s="14"/>
      <c r="C484" s="6"/>
      <c r="D484" s="7"/>
    </row>
    <row r="485" spans="2:4">
      <c r="B485" s="14"/>
      <c r="C485" s="6"/>
      <c r="D485" s="7"/>
    </row>
    <row r="486" spans="2:4">
      <c r="B486" s="14"/>
      <c r="C486" s="6"/>
      <c r="D486" s="7"/>
    </row>
    <row r="487" spans="2:4">
      <c r="B487" s="14"/>
      <c r="C487" s="6"/>
      <c r="D487" s="7"/>
    </row>
    <row r="488" spans="2:4">
      <c r="B488" s="14"/>
      <c r="C488" s="6"/>
      <c r="D488" s="7"/>
    </row>
    <row r="489" spans="2:4">
      <c r="B489" s="14"/>
      <c r="C489" s="6"/>
      <c r="D489" s="7"/>
    </row>
    <row r="490" spans="2:4">
      <c r="B490" s="14"/>
      <c r="C490" s="6"/>
      <c r="D490" s="7"/>
    </row>
    <row r="491" spans="2:4">
      <c r="B491" s="14"/>
      <c r="C491" s="6"/>
      <c r="D491" s="7"/>
    </row>
    <row r="492" spans="2:4">
      <c r="B492" s="14"/>
      <c r="C492" s="6"/>
      <c r="D492" s="7"/>
    </row>
    <row r="493" spans="2:4">
      <c r="B493" s="14"/>
      <c r="C493" s="6"/>
      <c r="D493" s="7"/>
    </row>
    <row r="494" spans="2:4">
      <c r="B494" s="14"/>
      <c r="C494" s="6"/>
      <c r="D494" s="7"/>
    </row>
    <row r="495" spans="2:4">
      <c r="B495" s="14"/>
      <c r="C495" s="6"/>
      <c r="D495" s="7"/>
    </row>
    <row r="496" spans="2:4">
      <c r="B496" s="14"/>
      <c r="C496" s="6"/>
      <c r="D496" s="7"/>
    </row>
    <row r="497" spans="2:4">
      <c r="B497" s="14"/>
      <c r="C497" s="6"/>
      <c r="D497" s="7"/>
    </row>
    <row r="498" spans="2:4">
      <c r="B498" s="14"/>
      <c r="C498" s="6"/>
      <c r="D498" s="7"/>
    </row>
    <row r="499" spans="2:4">
      <c r="B499" s="14"/>
      <c r="C499" s="6"/>
      <c r="D499" s="7"/>
    </row>
    <row r="500" spans="2:4">
      <c r="B500" s="14"/>
      <c r="C500" s="6"/>
      <c r="D500" s="7"/>
    </row>
    <row r="501" spans="2:4">
      <c r="B501" s="14"/>
      <c r="C501" s="6"/>
      <c r="D501" s="7"/>
    </row>
    <row r="502" spans="2:4">
      <c r="B502" s="14"/>
      <c r="C502" s="6"/>
      <c r="D502" s="7"/>
    </row>
    <row r="503" spans="2:4">
      <c r="B503" s="14"/>
      <c r="C503" s="6"/>
      <c r="D503" s="7"/>
    </row>
    <row r="504" spans="2:4">
      <c r="B504" s="14"/>
      <c r="C504" s="6"/>
      <c r="D504" s="7"/>
    </row>
    <row r="505" spans="2:4">
      <c r="B505" s="14"/>
      <c r="C505" s="6"/>
      <c r="D505" s="7"/>
    </row>
    <row r="506" spans="2:4">
      <c r="B506" s="14"/>
      <c r="C506" s="6"/>
      <c r="D506" s="7"/>
    </row>
    <row r="507" spans="2:4">
      <c r="B507" s="14"/>
      <c r="C507" s="6"/>
      <c r="D507" s="7"/>
    </row>
    <row r="508" spans="2:4">
      <c r="B508" s="14"/>
      <c r="C508" s="6"/>
      <c r="D508" s="7"/>
    </row>
    <row r="509" spans="2:4">
      <c r="B509" s="14"/>
      <c r="C509" s="6"/>
      <c r="D509" s="7"/>
    </row>
    <row r="510" spans="2:4">
      <c r="B510" s="14"/>
      <c r="C510" s="6"/>
      <c r="D510" s="7"/>
    </row>
    <row r="511" spans="2:4">
      <c r="B511" s="14"/>
      <c r="C511" s="6"/>
      <c r="D511" s="7"/>
    </row>
    <row r="512" spans="2:4">
      <c r="B512" s="14"/>
      <c r="C512" s="6"/>
      <c r="D512" s="7"/>
    </row>
    <row r="513" spans="2:4">
      <c r="B513" s="14"/>
      <c r="C513" s="6"/>
      <c r="D513" s="7"/>
    </row>
    <row r="514" spans="2:4">
      <c r="B514" s="14"/>
      <c r="C514" s="6"/>
      <c r="D514" s="7"/>
    </row>
    <row r="515" spans="2:4">
      <c r="B515" s="14"/>
      <c r="C515" s="6"/>
      <c r="D515" s="7"/>
    </row>
    <row r="516" spans="2:4">
      <c r="B516" s="14"/>
      <c r="C516" s="6"/>
      <c r="D516" s="7"/>
    </row>
    <row r="517" spans="2:4">
      <c r="B517" s="14"/>
      <c r="C517" s="6"/>
      <c r="D517" s="7"/>
    </row>
    <row r="518" spans="2:4">
      <c r="B518" s="14"/>
      <c r="C518" s="6"/>
      <c r="D518" s="7"/>
    </row>
    <row r="519" spans="2:4">
      <c r="B519" s="14"/>
      <c r="C519" s="6"/>
      <c r="D519" s="7"/>
    </row>
    <row r="520" spans="2:4">
      <c r="B520" s="14"/>
      <c r="C520" s="6"/>
      <c r="D520" s="7"/>
    </row>
    <row r="521" spans="2:4">
      <c r="B521" s="14"/>
      <c r="C521" s="6"/>
      <c r="D521" s="7"/>
    </row>
    <row r="522" spans="2:4">
      <c r="B522" s="14"/>
      <c r="C522" s="6"/>
      <c r="D522" s="7"/>
    </row>
    <row r="523" spans="2:4">
      <c r="B523" s="14"/>
      <c r="C523" s="6"/>
      <c r="D523" s="7"/>
    </row>
    <row r="524" spans="2:4">
      <c r="B524" s="14"/>
      <c r="C524" s="6"/>
      <c r="D524" s="7"/>
    </row>
    <row r="525" spans="2:4">
      <c r="B525" s="14"/>
      <c r="C525" s="6"/>
      <c r="D525" s="7"/>
    </row>
    <row r="526" spans="2:4">
      <c r="B526" s="14"/>
      <c r="C526" s="6"/>
      <c r="D526" s="7"/>
    </row>
    <row r="527" spans="2:4">
      <c r="B527" s="14"/>
      <c r="C527" s="6"/>
      <c r="D527" s="7"/>
    </row>
    <row r="528" spans="2:4">
      <c r="B528" s="14"/>
      <c r="C528" s="6"/>
      <c r="D528" s="7"/>
    </row>
    <row r="529" spans="2:4">
      <c r="B529" s="14"/>
      <c r="C529" s="6"/>
      <c r="D529" s="7"/>
    </row>
    <row r="530" spans="2:4">
      <c r="B530" s="14"/>
      <c r="C530" s="6"/>
      <c r="D530" s="7"/>
    </row>
    <row r="531" spans="2:4">
      <c r="B531" s="14"/>
      <c r="C531" s="6"/>
      <c r="D531" s="7"/>
    </row>
    <row r="532" spans="2:4">
      <c r="B532" s="14"/>
      <c r="C532" s="6"/>
      <c r="D532" s="7"/>
    </row>
    <row r="533" spans="2:4">
      <c r="B533" s="14"/>
      <c r="C533" s="6"/>
      <c r="D533" s="7"/>
    </row>
    <row r="534" spans="2:4">
      <c r="B534" s="14"/>
      <c r="C534" s="6"/>
      <c r="D534" s="7"/>
    </row>
    <row r="535" spans="2:4">
      <c r="B535" s="14"/>
      <c r="C535" s="6"/>
      <c r="D535" s="7"/>
    </row>
    <row r="536" spans="2:4">
      <c r="B536" s="14"/>
      <c r="C536" s="6"/>
      <c r="D536" s="7"/>
    </row>
    <row r="537" spans="2:4">
      <c r="B537" s="14"/>
      <c r="C537" s="6"/>
      <c r="D537" s="7"/>
    </row>
    <row r="538" spans="2:4">
      <c r="B538" s="14"/>
      <c r="C538" s="6"/>
      <c r="D538" s="7"/>
    </row>
    <row r="539" spans="2:4">
      <c r="B539" s="14"/>
      <c r="C539" s="6"/>
      <c r="D539" s="7"/>
    </row>
    <row r="540" spans="2:4">
      <c r="B540" s="14"/>
      <c r="C540" s="6"/>
      <c r="D540" s="7"/>
    </row>
    <row r="541" spans="2:4">
      <c r="B541" s="14"/>
      <c r="C541" s="6"/>
      <c r="D541" s="7"/>
    </row>
    <row r="542" spans="2:4">
      <c r="B542" s="14"/>
      <c r="C542" s="6"/>
      <c r="D542" s="7"/>
    </row>
    <row r="543" spans="2:4">
      <c r="B543" s="14"/>
      <c r="C543" s="6"/>
      <c r="D543" s="7"/>
    </row>
    <row r="544" spans="2:4">
      <c r="B544" s="14"/>
      <c r="C544" s="6"/>
      <c r="D544" s="7"/>
    </row>
    <row r="545" spans="2:4">
      <c r="B545" s="14"/>
      <c r="C545" s="6"/>
      <c r="D545" s="7"/>
    </row>
    <row r="546" spans="2:4">
      <c r="B546" s="14"/>
      <c r="C546" s="6"/>
      <c r="D546" s="7"/>
    </row>
    <row r="547" spans="2:4">
      <c r="B547" s="14"/>
      <c r="C547" s="6"/>
      <c r="D547" s="7"/>
    </row>
    <row r="548" spans="2:4">
      <c r="B548" s="14"/>
      <c r="C548" s="6"/>
      <c r="D548" s="7"/>
    </row>
    <row r="549" spans="2:4">
      <c r="B549" s="14"/>
      <c r="C549" s="6"/>
      <c r="D549" s="7"/>
    </row>
    <row r="550" spans="2:4">
      <c r="B550" s="14"/>
      <c r="C550" s="6"/>
      <c r="D550" s="7"/>
    </row>
    <row r="551" spans="2:4">
      <c r="B551" s="14"/>
      <c r="C551" s="6"/>
      <c r="D551" s="7"/>
    </row>
    <row r="552" spans="2:4">
      <c r="B552" s="14"/>
      <c r="C552" s="6"/>
      <c r="D552" s="7"/>
    </row>
    <row r="553" spans="2:4">
      <c r="B553" s="14"/>
      <c r="C553" s="6"/>
      <c r="D553" s="7"/>
    </row>
    <row r="554" spans="2:4">
      <c r="B554" s="14"/>
      <c r="C554" s="6"/>
      <c r="D554" s="7"/>
    </row>
    <row r="555" spans="2:4">
      <c r="B555" s="14"/>
      <c r="C555" s="6"/>
      <c r="D555" s="7"/>
    </row>
    <row r="556" spans="2:4">
      <c r="B556" s="14"/>
      <c r="C556" s="6"/>
      <c r="D556" s="7"/>
    </row>
    <row r="557" spans="2:4">
      <c r="B557" s="14"/>
      <c r="C557" s="6"/>
      <c r="D557" s="7"/>
    </row>
    <row r="558" spans="2:4">
      <c r="B558" s="14"/>
      <c r="C558" s="6"/>
      <c r="D558" s="7"/>
    </row>
    <row r="559" spans="2:4">
      <c r="B559" s="14"/>
      <c r="C559" s="6"/>
      <c r="D559" s="7"/>
    </row>
    <row r="560" spans="2:4">
      <c r="B560" s="14"/>
      <c r="C560" s="6"/>
      <c r="D560" s="7"/>
    </row>
    <row r="561" spans="2:4">
      <c r="B561" s="14"/>
      <c r="C561" s="6"/>
      <c r="D561" s="7"/>
    </row>
    <row r="562" spans="2:4">
      <c r="B562" s="14"/>
      <c r="C562" s="6"/>
      <c r="D562" s="7"/>
    </row>
    <row r="563" spans="2:4">
      <c r="B563" s="14"/>
      <c r="C563" s="6"/>
      <c r="D563" s="7"/>
    </row>
    <row r="564" spans="2:4">
      <c r="B564" s="14"/>
      <c r="C564" s="6"/>
      <c r="D564" s="7"/>
    </row>
    <row r="565" spans="2:4">
      <c r="B565" s="14"/>
      <c r="C565" s="6"/>
      <c r="D565" s="7"/>
    </row>
    <row r="566" spans="2:4">
      <c r="B566" s="14"/>
      <c r="C566" s="6"/>
      <c r="D566" s="7"/>
    </row>
    <row r="567" spans="2:4">
      <c r="B567" s="14"/>
      <c r="C567" s="6"/>
      <c r="D567" s="7"/>
    </row>
    <row r="568" spans="2:4">
      <c r="B568" s="14"/>
      <c r="C568" s="6"/>
      <c r="D568" s="7"/>
    </row>
    <row r="569" spans="2:4">
      <c r="B569" s="14"/>
      <c r="C569" s="6"/>
      <c r="D569" s="7"/>
    </row>
    <row r="570" spans="2:4">
      <c r="B570" s="14"/>
      <c r="C570" s="6"/>
      <c r="D570" s="7"/>
    </row>
    <row r="571" spans="2:4">
      <c r="B571" s="14"/>
      <c r="C571" s="6"/>
      <c r="D571" s="7"/>
    </row>
    <row r="572" spans="2:4">
      <c r="B572" s="14"/>
      <c r="C572" s="6"/>
      <c r="D572" s="7"/>
    </row>
    <row r="573" spans="2:4">
      <c r="B573" s="14"/>
      <c r="C573" s="6"/>
      <c r="D573" s="7"/>
    </row>
    <row r="574" spans="2:4">
      <c r="B574" s="14"/>
      <c r="C574" s="6"/>
      <c r="D574" s="7"/>
    </row>
    <row r="575" spans="2:4">
      <c r="B575" s="14"/>
      <c r="C575" s="6"/>
      <c r="D575" s="7"/>
    </row>
    <row r="576" spans="2:4">
      <c r="B576" s="14"/>
      <c r="C576" s="6"/>
      <c r="D576" s="7"/>
    </row>
    <row r="577" spans="2:4">
      <c r="B577" s="14"/>
      <c r="C577" s="6"/>
      <c r="D577" s="7"/>
    </row>
    <row r="578" spans="2:4">
      <c r="B578" s="14"/>
      <c r="C578" s="6"/>
      <c r="D578" s="7"/>
    </row>
    <row r="579" spans="2:4">
      <c r="B579" s="14"/>
      <c r="C579" s="6"/>
      <c r="D579" s="7"/>
    </row>
    <row r="580" spans="2:4">
      <c r="B580" s="14"/>
      <c r="C580" s="6"/>
      <c r="D580" s="7"/>
    </row>
    <row r="581" spans="2:4">
      <c r="B581" s="14"/>
      <c r="C581" s="6"/>
      <c r="D581" s="7"/>
    </row>
    <row r="582" spans="2:4">
      <c r="B582" s="14"/>
      <c r="C582" s="6"/>
      <c r="D582" s="7"/>
    </row>
    <row r="583" spans="2:4">
      <c r="B583" s="14"/>
      <c r="C583" s="6"/>
      <c r="D583" s="7"/>
    </row>
    <row r="584" spans="2:4">
      <c r="B584" s="14"/>
      <c r="C584" s="6"/>
      <c r="D584" s="7"/>
    </row>
    <row r="585" spans="2:4">
      <c r="B585" s="14"/>
      <c r="C585" s="6"/>
      <c r="D585" s="7"/>
    </row>
    <row r="586" spans="2:4">
      <c r="B586" s="14"/>
      <c r="C586" s="6"/>
      <c r="D586" s="7"/>
    </row>
    <row r="587" spans="2:4">
      <c r="B587" s="14"/>
      <c r="C587" s="6"/>
      <c r="D587" s="7"/>
    </row>
    <row r="588" spans="2:4">
      <c r="B588" s="14"/>
      <c r="C588" s="6"/>
      <c r="D588" s="7"/>
    </row>
    <row r="589" spans="2:4">
      <c r="B589" s="14"/>
      <c r="C589" s="6"/>
      <c r="D589" s="7"/>
    </row>
    <row r="590" spans="2:4">
      <c r="B590" s="14"/>
      <c r="C590" s="6"/>
      <c r="D590" s="7"/>
    </row>
    <row r="591" spans="2:4">
      <c r="B591" s="14"/>
      <c r="C591" s="6"/>
      <c r="D591" s="7"/>
    </row>
    <row r="592" spans="2:4">
      <c r="B592" s="14"/>
      <c r="C592" s="6"/>
      <c r="D592" s="7"/>
    </row>
    <row r="593" spans="2:4">
      <c r="B593" s="14"/>
      <c r="C593" s="6"/>
      <c r="D593" s="7"/>
    </row>
    <row r="594" spans="2:4">
      <c r="B594" s="14"/>
      <c r="C594" s="6"/>
      <c r="D594" s="7"/>
    </row>
    <row r="595" spans="2:4">
      <c r="B595" s="14"/>
      <c r="C595" s="6"/>
      <c r="D595" s="7"/>
    </row>
    <row r="596" spans="2:4">
      <c r="B596" s="14"/>
      <c r="C596" s="6"/>
      <c r="D596" s="7"/>
    </row>
    <row r="597" spans="2:4">
      <c r="B597" s="14"/>
      <c r="C597" s="6"/>
      <c r="D597" s="7"/>
    </row>
    <row r="598" spans="2:4">
      <c r="B598" s="14"/>
      <c r="C598" s="6"/>
      <c r="D598" s="7"/>
    </row>
    <row r="599" spans="2:4">
      <c r="B599" s="14"/>
      <c r="C599" s="6"/>
      <c r="D599" s="7"/>
    </row>
    <row r="600" spans="2:4">
      <c r="B600" s="14"/>
      <c r="C600" s="6"/>
      <c r="D600" s="7"/>
    </row>
    <row r="601" spans="2:4">
      <c r="B601" s="14"/>
      <c r="C601" s="6"/>
      <c r="D601" s="7"/>
    </row>
    <row r="602" spans="2:4">
      <c r="B602" s="14"/>
      <c r="C602" s="6"/>
      <c r="D602" s="7"/>
    </row>
    <row r="603" spans="2:4">
      <c r="B603" s="14"/>
      <c r="C603" s="6"/>
      <c r="D603" s="7"/>
    </row>
    <row r="604" spans="2:4">
      <c r="B604" s="14"/>
      <c r="C604" s="6"/>
      <c r="D604" s="7"/>
    </row>
    <row r="605" spans="2:4">
      <c r="B605" s="14"/>
      <c r="C605" s="6"/>
      <c r="D605" s="7"/>
    </row>
    <row r="606" spans="2:4">
      <c r="B606" s="14"/>
      <c r="C606" s="6"/>
      <c r="D606" s="7"/>
    </row>
    <row r="607" spans="2:4">
      <c r="B607" s="14"/>
      <c r="C607" s="6"/>
      <c r="D607" s="7"/>
    </row>
    <row r="608" spans="2:4">
      <c r="B608" s="14"/>
      <c r="C608" s="6"/>
      <c r="D608" s="7"/>
    </row>
    <row r="609" spans="2:4">
      <c r="B609" s="14"/>
      <c r="C609" s="6"/>
      <c r="D609" s="7"/>
    </row>
    <row r="610" spans="2:4">
      <c r="B610" s="14"/>
      <c r="C610" s="6"/>
      <c r="D610" s="7"/>
    </row>
    <row r="611" spans="2:4">
      <c r="B611" s="14"/>
      <c r="C611" s="6"/>
      <c r="D611" s="7"/>
    </row>
    <row r="612" spans="2:4">
      <c r="B612" s="14"/>
      <c r="C612" s="6"/>
      <c r="D612" s="7"/>
    </row>
    <row r="613" spans="2:4">
      <c r="B613" s="14"/>
      <c r="C613" s="6"/>
      <c r="D613" s="7"/>
    </row>
    <row r="614" spans="2:4">
      <c r="B614" s="14"/>
      <c r="C614" s="6"/>
      <c r="D614" s="7"/>
    </row>
    <row r="615" spans="2:4">
      <c r="B615" s="14"/>
      <c r="C615" s="6"/>
      <c r="D615" s="7"/>
    </row>
    <row r="616" spans="2:4">
      <c r="B616" s="14"/>
      <c r="C616" s="6"/>
      <c r="D616" s="7"/>
    </row>
    <row r="617" spans="2:4">
      <c r="B617" s="14"/>
      <c r="C617" s="6"/>
      <c r="D617" s="7"/>
    </row>
    <row r="618" spans="2:4">
      <c r="B618" s="14"/>
      <c r="C618" s="6"/>
      <c r="D618" s="7"/>
    </row>
    <row r="619" spans="2:4">
      <c r="B619" s="14"/>
      <c r="C619" s="6"/>
      <c r="D619" s="7"/>
    </row>
    <row r="620" spans="2:4">
      <c r="B620" s="14"/>
      <c r="C620" s="6"/>
      <c r="D620" s="7"/>
    </row>
    <row r="621" spans="2:4">
      <c r="B621" s="14"/>
      <c r="C621" s="6"/>
      <c r="D621" s="7"/>
    </row>
    <row r="622" spans="2:4">
      <c r="B622" s="14"/>
      <c r="C622" s="6"/>
      <c r="D622" s="7"/>
    </row>
    <row r="623" spans="2:4">
      <c r="B623" s="14"/>
      <c r="C623" s="6"/>
      <c r="D623" s="7"/>
    </row>
    <row r="624" spans="2:4">
      <c r="B624" s="14"/>
      <c r="C624" s="6"/>
      <c r="D624" s="7"/>
    </row>
    <row r="625" spans="2:4">
      <c r="B625" s="14"/>
      <c r="C625" s="6"/>
      <c r="D625" s="7"/>
    </row>
    <row r="626" spans="2:4">
      <c r="B626" s="14"/>
      <c r="C626" s="6"/>
      <c r="D626" s="7"/>
    </row>
    <row r="627" spans="2:4">
      <c r="B627" s="14"/>
      <c r="C627" s="6"/>
      <c r="D627" s="7"/>
    </row>
    <row r="628" spans="2:4">
      <c r="B628" s="14"/>
      <c r="C628" s="6"/>
      <c r="D628" s="7"/>
    </row>
    <row r="629" spans="2:4">
      <c r="B629" s="14"/>
      <c r="C629" s="6"/>
      <c r="D629" s="7"/>
    </row>
    <row r="630" spans="2:4">
      <c r="B630" s="14"/>
      <c r="C630" s="6"/>
      <c r="D630" s="7"/>
    </row>
    <row r="631" spans="2:4">
      <c r="B631" s="14"/>
      <c r="C631" s="6"/>
      <c r="D631" s="7"/>
    </row>
    <row r="632" spans="2:4">
      <c r="B632" s="14"/>
      <c r="C632" s="6"/>
      <c r="D632" s="7"/>
    </row>
    <row r="633" spans="2:4">
      <c r="B633" s="14"/>
      <c r="C633" s="6"/>
      <c r="D633" s="7"/>
    </row>
    <row r="634" spans="2:4">
      <c r="B634" s="14"/>
      <c r="C634" s="6"/>
      <c r="D634" s="7"/>
    </row>
    <row r="635" spans="2:4">
      <c r="B635" s="14"/>
      <c r="C635" s="6"/>
      <c r="D635" s="7"/>
    </row>
    <row r="636" spans="2:4">
      <c r="B636" s="14"/>
      <c r="C636" s="6"/>
      <c r="D636" s="7"/>
    </row>
    <row r="637" spans="2:4">
      <c r="B637" s="14"/>
      <c r="C637" s="6"/>
      <c r="D637" s="7"/>
    </row>
    <row r="638" spans="2:4">
      <c r="B638" s="14"/>
      <c r="C638" s="6"/>
      <c r="D638" s="7"/>
    </row>
    <row r="639" spans="2:4">
      <c r="B639" s="14"/>
      <c r="C639" s="6"/>
      <c r="D639" s="7"/>
    </row>
    <row r="640" spans="2:4">
      <c r="B640" s="14"/>
      <c r="C640" s="6"/>
      <c r="D640" s="7"/>
    </row>
    <row r="641" spans="2:4">
      <c r="B641" s="14"/>
      <c r="C641" s="6"/>
      <c r="D641" s="7"/>
    </row>
    <row r="642" spans="2:4">
      <c r="B642" s="14"/>
      <c r="C642" s="6"/>
      <c r="D642" s="7"/>
    </row>
    <row r="643" spans="2:4">
      <c r="B643" s="14"/>
      <c r="C643" s="6"/>
      <c r="D643" s="7"/>
    </row>
    <row r="644" spans="2:4">
      <c r="B644" s="14"/>
      <c r="C644" s="6"/>
      <c r="D644" s="7"/>
    </row>
    <row r="645" spans="2:4">
      <c r="B645" s="14"/>
      <c r="C645" s="6"/>
      <c r="D645" s="7"/>
    </row>
    <row r="646" spans="2:4">
      <c r="B646" s="14"/>
      <c r="C646" s="6"/>
      <c r="D646" s="7"/>
    </row>
    <row r="647" spans="2:4">
      <c r="B647" s="14"/>
      <c r="C647" s="6"/>
      <c r="D647" s="7"/>
    </row>
    <row r="648" spans="2:4">
      <c r="B648" s="14"/>
      <c r="C648" s="6"/>
      <c r="D648" s="7"/>
    </row>
    <row r="649" spans="2:4">
      <c r="B649" s="14"/>
      <c r="C649" s="6"/>
      <c r="D649" s="7"/>
    </row>
    <row r="650" spans="2:4">
      <c r="B650" s="14"/>
      <c r="C650" s="6"/>
      <c r="D650" s="7"/>
    </row>
    <row r="651" spans="2:4">
      <c r="B651" s="14"/>
      <c r="C651" s="6"/>
      <c r="D651" s="7"/>
    </row>
    <row r="652" spans="2:4">
      <c r="B652" s="14"/>
      <c r="C652" s="6"/>
      <c r="D652" s="7"/>
    </row>
    <row r="653" spans="2:4">
      <c r="B653" s="14"/>
      <c r="C653" s="6"/>
      <c r="D653" s="7"/>
    </row>
    <row r="654" spans="2:4">
      <c r="B654" s="14"/>
      <c r="C654" s="6"/>
      <c r="D654" s="7"/>
    </row>
    <row r="655" spans="2:4">
      <c r="B655" s="14"/>
      <c r="C655" s="6"/>
      <c r="D655" s="7"/>
    </row>
    <row r="656" spans="2:4">
      <c r="B656" s="14"/>
      <c r="C656" s="6"/>
      <c r="D656" s="7"/>
    </row>
    <row r="657" spans="2:4">
      <c r="B657" s="14"/>
      <c r="C657" s="6"/>
      <c r="D657" s="7"/>
    </row>
    <row r="658" spans="2:4">
      <c r="B658" s="14"/>
      <c r="C658" s="6"/>
      <c r="D658" s="7"/>
    </row>
    <row r="659" spans="2:4">
      <c r="B659" s="14"/>
      <c r="C659" s="6"/>
      <c r="D659" s="7"/>
    </row>
    <row r="660" spans="2:4">
      <c r="B660" s="14"/>
      <c r="C660" s="6"/>
      <c r="D660" s="7"/>
    </row>
    <row r="661" spans="2:4">
      <c r="B661" s="14"/>
      <c r="C661" s="6"/>
      <c r="D661" s="7"/>
    </row>
    <row r="662" spans="2:4">
      <c r="B662" s="14"/>
      <c r="C662" s="6"/>
      <c r="D662" s="7"/>
    </row>
    <row r="663" spans="2:4">
      <c r="B663" s="14"/>
      <c r="C663" s="6"/>
      <c r="D663" s="7"/>
    </row>
    <row r="664" spans="2:4">
      <c r="B664" s="14"/>
      <c r="C664" s="6"/>
      <c r="D664" s="7"/>
    </row>
    <row r="665" spans="2:4">
      <c r="B665" s="14"/>
      <c r="C665" s="6"/>
      <c r="D665" s="7"/>
    </row>
    <row r="666" spans="2:4">
      <c r="B666" s="14"/>
      <c r="C666" s="6"/>
      <c r="D666" s="7"/>
    </row>
    <row r="667" spans="2:4">
      <c r="B667" s="14"/>
      <c r="C667" s="6"/>
      <c r="D667" s="7"/>
    </row>
    <row r="668" spans="2:4">
      <c r="B668" s="14"/>
      <c r="C668" s="6"/>
      <c r="D668" s="7"/>
    </row>
    <row r="669" spans="2:4">
      <c r="B669" s="14"/>
      <c r="C669" s="6"/>
      <c r="D669" s="7"/>
    </row>
    <row r="670" spans="2:4">
      <c r="B670" s="14"/>
      <c r="C670" s="6"/>
      <c r="D670" s="7"/>
    </row>
    <row r="671" spans="2:4">
      <c r="B671" s="14"/>
      <c r="C671" s="6"/>
      <c r="D671" s="7"/>
    </row>
    <row r="672" spans="2:4">
      <c r="B672" s="14"/>
      <c r="C672" s="6"/>
      <c r="D672" s="7"/>
    </row>
    <row r="673" spans="2:4">
      <c r="B673" s="14"/>
      <c r="C673" s="6"/>
      <c r="D673" s="7"/>
    </row>
    <row r="674" spans="2:4">
      <c r="B674" s="14"/>
      <c r="C674" s="6"/>
      <c r="D674" s="7"/>
    </row>
    <row r="675" spans="2:4">
      <c r="B675" s="14"/>
      <c r="C675" s="6"/>
      <c r="D675" s="7"/>
    </row>
    <row r="676" spans="2:4">
      <c r="B676" s="14"/>
      <c r="C676" s="6"/>
      <c r="D676" s="7"/>
    </row>
    <row r="677" spans="2:4">
      <c r="B677" s="14"/>
      <c r="C677" s="6"/>
      <c r="D677" s="7"/>
    </row>
    <row r="678" spans="2:4">
      <c r="B678" s="14"/>
      <c r="C678" s="6"/>
      <c r="D678" s="7"/>
    </row>
    <row r="679" spans="2:4">
      <c r="B679" s="14"/>
      <c r="C679" s="6"/>
      <c r="D679" s="7"/>
    </row>
    <row r="680" spans="2:4">
      <c r="B680" s="14"/>
      <c r="C680" s="6"/>
      <c r="D680" s="7"/>
    </row>
    <row r="681" spans="2:4">
      <c r="B681" s="14"/>
      <c r="C681" s="6"/>
      <c r="D681" s="7"/>
    </row>
    <row r="682" spans="2:4">
      <c r="B682" s="14"/>
      <c r="C682" s="6"/>
      <c r="D682" s="7"/>
    </row>
    <row r="683" spans="2:4">
      <c r="B683" s="14"/>
      <c r="C683" s="6"/>
      <c r="D683" s="7"/>
    </row>
    <row r="684" spans="2:4">
      <c r="B684" s="14"/>
      <c r="C684" s="6"/>
      <c r="D684" s="7"/>
    </row>
    <row r="685" spans="2:4">
      <c r="B685" s="14"/>
      <c r="C685" s="6"/>
      <c r="D685" s="7"/>
    </row>
    <row r="686" spans="2:4">
      <c r="B686" s="14"/>
      <c r="C686" s="6"/>
      <c r="D686" s="7"/>
    </row>
    <row r="687" spans="2:4">
      <c r="B687" s="14"/>
      <c r="C687" s="6"/>
      <c r="D687" s="7"/>
    </row>
    <row r="688" spans="2:4">
      <c r="B688" s="14"/>
      <c r="C688" s="6"/>
      <c r="D688" s="7"/>
    </row>
    <row r="689" spans="2:4">
      <c r="B689" s="14"/>
      <c r="C689" s="6"/>
      <c r="D689" s="7"/>
    </row>
    <row r="690" spans="2:4">
      <c r="B690" s="14"/>
      <c r="C690" s="6"/>
      <c r="D690" s="7"/>
    </row>
    <row r="691" spans="2:4">
      <c r="B691" s="14"/>
      <c r="C691" s="6"/>
      <c r="D691" s="7"/>
    </row>
    <row r="692" spans="2:4">
      <c r="B692" s="14"/>
      <c r="C692" s="6"/>
      <c r="D692" s="7"/>
    </row>
    <row r="693" spans="2:4">
      <c r="B693" s="14"/>
      <c r="C693" s="6"/>
      <c r="D693" s="7"/>
    </row>
    <row r="694" spans="2:4">
      <c r="B694" s="14"/>
      <c r="C694" s="6"/>
      <c r="D694" s="7"/>
    </row>
    <row r="695" spans="2:4">
      <c r="B695" s="14"/>
      <c r="C695" s="6"/>
      <c r="D695" s="7"/>
    </row>
    <row r="696" spans="2:4">
      <c r="B696" s="14"/>
      <c r="C696" s="6"/>
      <c r="D696" s="7"/>
    </row>
    <row r="697" spans="2:4">
      <c r="B697" s="14"/>
      <c r="C697" s="6"/>
      <c r="D697" s="7"/>
    </row>
    <row r="698" spans="2:4">
      <c r="B698" s="14"/>
      <c r="C698" s="6"/>
      <c r="D698" s="7"/>
    </row>
    <row r="699" spans="2:4">
      <c r="B699" s="14"/>
      <c r="C699" s="6"/>
      <c r="D699" s="7"/>
    </row>
    <row r="700" spans="2:4">
      <c r="B700" s="14"/>
      <c r="C700" s="6"/>
      <c r="D700" s="7"/>
    </row>
    <row r="701" spans="2:4">
      <c r="B701" s="14"/>
      <c r="C701" s="6"/>
      <c r="D701" s="7"/>
    </row>
    <row r="702" spans="2:4">
      <c r="B702" s="14"/>
      <c r="C702" s="6"/>
      <c r="D702" s="7"/>
    </row>
    <row r="703" spans="2:4">
      <c r="B703" s="14"/>
      <c r="C703" s="6"/>
      <c r="D703" s="7"/>
    </row>
    <row r="704" spans="2:4">
      <c r="B704" s="14"/>
      <c r="C704" s="6"/>
      <c r="D704" s="7"/>
    </row>
    <row r="705" spans="2:4">
      <c r="B705" s="14"/>
      <c r="C705" s="6"/>
      <c r="D705" s="7"/>
    </row>
    <row r="706" spans="2:4">
      <c r="B706" s="14"/>
      <c r="C706" s="6"/>
      <c r="D706" s="7"/>
    </row>
    <row r="707" spans="2:4">
      <c r="B707" s="14"/>
      <c r="C707" s="6"/>
      <c r="D707" s="7"/>
    </row>
    <row r="708" spans="2:4">
      <c r="B708" s="14"/>
      <c r="C708" s="6"/>
      <c r="D708" s="7"/>
    </row>
    <row r="709" spans="2:4">
      <c r="B709" s="14"/>
      <c r="C709" s="6"/>
      <c r="D709" s="7"/>
    </row>
    <row r="710" spans="2:4">
      <c r="B710" s="14"/>
      <c r="C710" s="6"/>
      <c r="D710" s="7"/>
    </row>
    <row r="711" spans="2:4">
      <c r="B711" s="14"/>
      <c r="C711" s="6"/>
      <c r="D711" s="7"/>
    </row>
    <row r="712" spans="2:4">
      <c r="B712" s="14"/>
      <c r="C712" s="6"/>
      <c r="D712" s="7"/>
    </row>
    <row r="713" spans="2:4">
      <c r="B713" s="14"/>
      <c r="C713" s="6"/>
      <c r="D713" s="7"/>
    </row>
    <row r="714" spans="2:4">
      <c r="B714" s="14"/>
      <c r="C714" s="6"/>
      <c r="D714" s="7"/>
    </row>
    <row r="715" spans="2:4">
      <c r="B715" s="14"/>
      <c r="C715" s="6"/>
      <c r="D715" s="7"/>
    </row>
    <row r="716" spans="2:4">
      <c r="B716" s="14"/>
      <c r="C716" s="6"/>
      <c r="D716" s="7"/>
    </row>
    <row r="717" spans="2:4">
      <c r="B717" s="14"/>
      <c r="C717" s="6"/>
      <c r="D717" s="7"/>
    </row>
    <row r="718" spans="2:4">
      <c r="B718" s="14"/>
      <c r="C718" s="6"/>
      <c r="D718" s="7"/>
    </row>
    <row r="719" spans="2:4">
      <c r="B719" s="14"/>
      <c r="C719" s="6"/>
      <c r="D719" s="7"/>
    </row>
    <row r="720" spans="2:4">
      <c r="B720" s="14"/>
      <c r="C720" s="6"/>
      <c r="D720" s="7"/>
    </row>
    <row r="721" spans="2:4">
      <c r="B721" s="14"/>
      <c r="C721" s="6"/>
      <c r="D721" s="7"/>
    </row>
    <row r="722" spans="2:4">
      <c r="B722" s="14"/>
      <c r="C722" s="6"/>
      <c r="D722" s="7"/>
    </row>
    <row r="723" spans="2:4">
      <c r="B723" s="14"/>
      <c r="C723" s="6"/>
      <c r="D723" s="7"/>
    </row>
    <row r="724" spans="2:4">
      <c r="B724" s="14"/>
      <c r="C724" s="6"/>
      <c r="D724" s="7"/>
    </row>
    <row r="725" spans="2:4">
      <c r="B725" s="14"/>
      <c r="C725" s="6"/>
      <c r="D725" s="7"/>
    </row>
    <row r="726" spans="2:4">
      <c r="B726" s="14"/>
      <c r="C726" s="6"/>
      <c r="D726" s="7"/>
    </row>
    <row r="727" spans="2:4">
      <c r="B727" s="14"/>
      <c r="C727" s="6"/>
      <c r="D727" s="7"/>
    </row>
    <row r="728" spans="2:4">
      <c r="B728" s="14"/>
      <c r="C728" s="6"/>
      <c r="D728" s="7"/>
    </row>
    <row r="729" spans="2:4">
      <c r="B729" s="14"/>
      <c r="C729" s="6"/>
      <c r="D729" s="7"/>
    </row>
    <row r="730" spans="2:4">
      <c r="B730" s="14"/>
      <c r="C730" s="6"/>
      <c r="D730" s="7"/>
    </row>
    <row r="731" spans="2:4">
      <c r="B731" s="14"/>
      <c r="C731" s="6"/>
      <c r="D731" s="7"/>
    </row>
    <row r="732" spans="2:4">
      <c r="B732" s="14"/>
      <c r="C732" s="6"/>
      <c r="D732" s="7"/>
    </row>
    <row r="733" spans="2:4">
      <c r="B733" s="14"/>
      <c r="C733" s="6"/>
      <c r="D733" s="7"/>
    </row>
    <row r="734" spans="2:4">
      <c r="B734" s="14"/>
      <c r="C734" s="6"/>
      <c r="D734" s="7"/>
    </row>
    <row r="735" spans="2:4">
      <c r="B735" s="14"/>
      <c r="C735" s="6"/>
      <c r="D735" s="7"/>
    </row>
    <row r="736" spans="2:4">
      <c r="B736" s="14"/>
      <c r="C736" s="6"/>
      <c r="D736" s="7"/>
    </row>
    <row r="737" spans="2:4">
      <c r="B737" s="14"/>
      <c r="C737" s="6"/>
      <c r="D737" s="7"/>
    </row>
    <row r="738" spans="2:4">
      <c r="B738" s="14"/>
      <c r="C738" s="6"/>
      <c r="D738" s="7"/>
    </row>
    <row r="739" spans="2:4">
      <c r="B739" s="14"/>
      <c r="C739" s="6"/>
      <c r="D739" s="7"/>
    </row>
    <row r="740" spans="2:4">
      <c r="B740" s="14"/>
      <c r="C740" s="6"/>
      <c r="D740" s="7"/>
    </row>
    <row r="741" spans="2:4">
      <c r="B741" s="14"/>
      <c r="C741" s="6"/>
      <c r="D741" s="7"/>
    </row>
    <row r="742" spans="2:4">
      <c r="B742" s="14"/>
      <c r="C742" s="6"/>
      <c r="D742" s="7"/>
    </row>
    <row r="743" spans="2:4">
      <c r="B743" s="14"/>
      <c r="C743" s="6"/>
      <c r="D743" s="7"/>
    </row>
    <row r="744" spans="2:4">
      <c r="B744" s="14"/>
      <c r="C744" s="6"/>
      <c r="D744" s="7"/>
    </row>
    <row r="745" spans="2:4">
      <c r="B745" s="14"/>
      <c r="C745" s="6"/>
      <c r="D745" s="7"/>
    </row>
    <row r="746" spans="2:4">
      <c r="B746" s="14"/>
      <c r="C746" s="6"/>
      <c r="D746" s="7"/>
    </row>
    <row r="747" spans="2:4">
      <c r="B747" s="14"/>
      <c r="C747" s="6"/>
      <c r="D747" s="7"/>
    </row>
    <row r="748" spans="2:4">
      <c r="B748" s="14"/>
      <c r="C748" s="6"/>
      <c r="D748" s="7"/>
    </row>
    <row r="749" spans="2:4">
      <c r="B749" s="14"/>
      <c r="C749" s="6"/>
      <c r="D749" s="7"/>
    </row>
    <row r="750" spans="2:4">
      <c r="B750" s="14"/>
      <c r="C750" s="6"/>
      <c r="D750" s="7"/>
    </row>
    <row r="751" spans="2:4">
      <c r="B751" s="14"/>
      <c r="C751" s="6"/>
      <c r="D751" s="7"/>
    </row>
    <row r="752" spans="2:4">
      <c r="B752" s="14"/>
      <c r="C752" s="6"/>
      <c r="D752" s="7"/>
    </row>
    <row r="753" spans="2:4">
      <c r="B753" s="14"/>
      <c r="C753" s="6"/>
      <c r="D753" s="7"/>
    </row>
    <row r="754" spans="2:4">
      <c r="B754" s="14"/>
      <c r="C754" s="6"/>
      <c r="D754" s="7"/>
    </row>
    <row r="755" spans="2:4">
      <c r="B755" s="14"/>
      <c r="C755" s="6"/>
      <c r="D755" s="7"/>
    </row>
    <row r="756" spans="2:4">
      <c r="B756" s="14"/>
      <c r="C756" s="6"/>
      <c r="D756" s="7"/>
    </row>
    <row r="757" spans="2:4">
      <c r="B757" s="14"/>
      <c r="C757" s="6"/>
      <c r="D757" s="7"/>
    </row>
    <row r="758" spans="2:4">
      <c r="B758" s="14"/>
      <c r="C758" s="6"/>
      <c r="D758" s="7"/>
    </row>
    <row r="759" spans="2:4">
      <c r="B759" s="14"/>
      <c r="C759" s="6"/>
      <c r="D759" s="7"/>
    </row>
    <row r="760" spans="2:4">
      <c r="B760" s="14"/>
      <c r="C760" s="6"/>
      <c r="D760" s="7"/>
    </row>
    <row r="761" spans="2:4">
      <c r="B761" s="14"/>
      <c r="C761" s="6"/>
      <c r="D761" s="7"/>
    </row>
    <row r="762" spans="2:4">
      <c r="B762" s="14"/>
      <c r="C762" s="6"/>
      <c r="D762" s="7"/>
    </row>
    <row r="763" spans="2:4">
      <c r="B763" s="14"/>
      <c r="C763" s="6"/>
      <c r="D763" s="7"/>
    </row>
    <row r="764" spans="2:4">
      <c r="B764" s="14"/>
      <c r="C764" s="6"/>
      <c r="D764" s="7"/>
    </row>
    <row r="765" spans="2:4">
      <c r="B765" s="14"/>
      <c r="C765" s="6"/>
      <c r="D765" s="7"/>
    </row>
    <row r="766" spans="2:4">
      <c r="B766" s="14"/>
      <c r="C766" s="6"/>
      <c r="D766" s="7"/>
    </row>
    <row r="767" spans="2:4">
      <c r="B767" s="14"/>
      <c r="C767" s="6"/>
      <c r="D767" s="7"/>
    </row>
    <row r="768" spans="2:4">
      <c r="B768" s="14"/>
      <c r="C768" s="6"/>
      <c r="D768" s="7"/>
    </row>
    <row r="769" spans="2:4">
      <c r="B769" s="14"/>
      <c r="C769" s="6"/>
      <c r="D769" s="7"/>
    </row>
    <row r="770" spans="2:4">
      <c r="B770" s="14"/>
      <c r="C770" s="6"/>
      <c r="D770" s="7"/>
    </row>
    <row r="771" spans="2:4">
      <c r="B771" s="14"/>
      <c r="C771" s="6"/>
      <c r="D771" s="7"/>
    </row>
    <row r="772" spans="2:4">
      <c r="B772" s="14"/>
      <c r="C772" s="6"/>
      <c r="D772" s="7"/>
    </row>
    <row r="773" spans="2:4">
      <c r="B773" s="14"/>
      <c r="C773" s="6"/>
      <c r="D773" s="7"/>
    </row>
    <row r="774" spans="2:4">
      <c r="B774" s="14"/>
      <c r="C774" s="6"/>
      <c r="D774" s="7"/>
    </row>
    <row r="775" spans="2:4">
      <c r="B775" s="14"/>
      <c r="C775" s="6"/>
      <c r="D775" s="7"/>
    </row>
    <row r="776" spans="2:4">
      <c r="B776" s="14"/>
      <c r="C776" s="6"/>
      <c r="D776" s="7"/>
    </row>
    <row r="777" spans="2:4">
      <c r="B777" s="14"/>
      <c r="C777" s="6"/>
      <c r="D777" s="7"/>
    </row>
    <row r="778" spans="2:4">
      <c r="B778" s="14"/>
      <c r="C778" s="6"/>
      <c r="D778" s="7"/>
    </row>
    <row r="779" spans="2:4">
      <c r="B779" s="14"/>
      <c r="C779" s="6"/>
      <c r="D779" s="7"/>
    </row>
    <row r="780" spans="2:4">
      <c r="B780" s="14"/>
      <c r="C780" s="6"/>
      <c r="D780" s="7"/>
    </row>
    <row r="781" spans="2:4">
      <c r="B781" s="14"/>
      <c r="C781" s="6"/>
      <c r="D781" s="7"/>
    </row>
    <row r="782" spans="2:4">
      <c r="B782" s="14"/>
      <c r="C782" s="6"/>
      <c r="D782" s="7"/>
    </row>
    <row r="783" spans="2:4">
      <c r="B783" s="14"/>
      <c r="C783" s="6"/>
      <c r="D783" s="7"/>
    </row>
    <row r="784" spans="2:4">
      <c r="B784" s="14"/>
      <c r="C784" s="6"/>
      <c r="D784" s="7"/>
    </row>
    <row r="785" spans="2:4">
      <c r="B785" s="14"/>
      <c r="C785" s="6"/>
      <c r="D785" s="7"/>
    </row>
    <row r="786" spans="2:4">
      <c r="B786" s="14"/>
      <c r="C786" s="6"/>
      <c r="D786" s="7"/>
    </row>
    <row r="787" spans="2:4">
      <c r="B787" s="14"/>
      <c r="C787" s="6"/>
      <c r="D787" s="7"/>
    </row>
    <row r="788" spans="2:4">
      <c r="B788" s="14"/>
      <c r="C788" s="6"/>
      <c r="D788" s="7"/>
    </row>
    <row r="789" spans="2:4">
      <c r="B789" s="14"/>
      <c r="C789" s="6"/>
      <c r="D789" s="7"/>
    </row>
    <row r="790" spans="2:4">
      <c r="B790" s="14"/>
      <c r="C790" s="6"/>
      <c r="D790" s="7"/>
    </row>
    <row r="791" spans="2:4">
      <c r="B791" s="14"/>
      <c r="C791" s="6"/>
      <c r="D791" s="7"/>
    </row>
    <row r="792" spans="2:4">
      <c r="B792" s="14"/>
      <c r="C792" s="6"/>
      <c r="D792" s="7"/>
    </row>
    <row r="793" spans="2:4">
      <c r="B793" s="14"/>
      <c r="C793" s="6"/>
      <c r="D793" s="7"/>
    </row>
    <row r="794" spans="2:4">
      <c r="B794" s="14"/>
      <c r="C794" s="6"/>
      <c r="D794" s="7"/>
    </row>
    <row r="795" spans="2:4">
      <c r="B795" s="14"/>
      <c r="C795" s="6"/>
      <c r="D795" s="7"/>
    </row>
    <row r="796" spans="2:4">
      <c r="B796" s="14"/>
      <c r="C796" s="6"/>
      <c r="D796" s="7"/>
    </row>
    <row r="797" spans="2:4">
      <c r="B797" s="14"/>
      <c r="C797" s="6"/>
      <c r="D797" s="7"/>
    </row>
    <row r="798" spans="2:4">
      <c r="B798" s="14"/>
      <c r="C798" s="6"/>
      <c r="D798" s="7"/>
    </row>
    <row r="799" spans="2:4">
      <c r="B799" s="14"/>
      <c r="C799" s="6"/>
      <c r="D799" s="7"/>
    </row>
    <row r="800" spans="2:4">
      <c r="B800" s="14"/>
      <c r="C800" s="6"/>
      <c r="D800" s="7"/>
    </row>
    <row r="801" spans="2:4">
      <c r="B801" s="14"/>
      <c r="C801" s="6"/>
      <c r="D801" s="7"/>
    </row>
    <row r="802" spans="2:4">
      <c r="B802" s="14"/>
      <c r="C802" s="6"/>
      <c r="D802" s="7"/>
    </row>
    <row r="803" spans="2:4">
      <c r="B803" s="14"/>
      <c r="C803" s="6"/>
      <c r="D803" s="7"/>
    </row>
    <row r="804" spans="2:4">
      <c r="B804" s="14"/>
      <c r="C804" s="6"/>
      <c r="D804" s="7"/>
    </row>
    <row r="805" spans="2:4">
      <c r="B805" s="14"/>
      <c r="C805" s="6"/>
      <c r="D805" s="7"/>
    </row>
    <row r="806" spans="2:4">
      <c r="B806" s="14"/>
      <c r="C806" s="6"/>
      <c r="D806" s="7"/>
    </row>
    <row r="807" spans="2:4">
      <c r="B807" s="14"/>
      <c r="C807" s="6"/>
      <c r="D807" s="7"/>
    </row>
    <row r="808" spans="2:4">
      <c r="B808" s="14"/>
      <c r="C808" s="6"/>
      <c r="D808" s="7"/>
    </row>
    <row r="809" spans="2:4">
      <c r="B809" s="14"/>
      <c r="C809" s="6"/>
      <c r="D809" s="7"/>
    </row>
    <row r="810" spans="2:4">
      <c r="B810" s="14"/>
      <c r="C810" s="6"/>
      <c r="D810" s="7"/>
    </row>
    <row r="811" spans="2:4">
      <c r="B811" s="14"/>
      <c r="C811" s="6"/>
      <c r="D811" s="7"/>
    </row>
    <row r="812" spans="2:4">
      <c r="B812" s="14"/>
      <c r="C812" s="6"/>
      <c r="D812" s="7"/>
    </row>
    <row r="813" spans="2:4">
      <c r="B813" s="14"/>
      <c r="C813" s="6"/>
      <c r="D813" s="7"/>
    </row>
    <row r="814" spans="2:4">
      <c r="B814" s="14"/>
      <c r="C814" s="6"/>
      <c r="D814" s="7"/>
    </row>
    <row r="815" spans="2:4">
      <c r="B815" s="14"/>
      <c r="C815" s="6"/>
      <c r="D815" s="7"/>
    </row>
    <row r="816" spans="2:4">
      <c r="B816" s="14"/>
      <c r="C816" s="6"/>
      <c r="D816" s="7"/>
    </row>
    <row r="817" spans="2:4">
      <c r="B817" s="14"/>
      <c r="C817" s="6"/>
      <c r="D817" s="7"/>
    </row>
    <row r="818" spans="2:4">
      <c r="B818" s="14"/>
      <c r="C818" s="6"/>
      <c r="D818" s="7"/>
    </row>
    <row r="819" spans="2:4">
      <c r="B819" s="14"/>
      <c r="C819" s="6"/>
      <c r="D819" s="7"/>
    </row>
    <row r="820" spans="2:4">
      <c r="B820" s="14"/>
      <c r="C820" s="6"/>
      <c r="D820" s="7"/>
    </row>
    <row r="821" spans="2:4">
      <c r="B821" s="14"/>
      <c r="C821" s="6"/>
      <c r="D821" s="7"/>
    </row>
    <row r="822" spans="2:4">
      <c r="B822" s="14"/>
      <c r="C822" s="6"/>
      <c r="D822" s="7"/>
    </row>
    <row r="823" spans="2:4">
      <c r="B823" s="14"/>
      <c r="C823" s="6"/>
      <c r="D823" s="7"/>
    </row>
    <row r="824" spans="2:4">
      <c r="B824" s="14"/>
      <c r="C824" s="6"/>
      <c r="D824" s="7"/>
    </row>
    <row r="825" spans="2:4">
      <c r="B825" s="14"/>
      <c r="C825" s="6"/>
      <c r="D825" s="7"/>
    </row>
    <row r="826" spans="2:4">
      <c r="B826" s="14"/>
      <c r="C826" s="6"/>
      <c r="D826" s="7"/>
    </row>
    <row r="827" spans="2:4">
      <c r="B827" s="14"/>
      <c r="C827" s="6"/>
      <c r="D827" s="7"/>
    </row>
    <row r="828" spans="2:4">
      <c r="B828" s="14"/>
      <c r="C828" s="6"/>
      <c r="D828" s="7"/>
    </row>
    <row r="829" spans="2:4">
      <c r="B829" s="14"/>
      <c r="C829" s="6"/>
      <c r="D829" s="7"/>
    </row>
    <row r="830" spans="2:4">
      <c r="B830" s="14"/>
      <c r="C830" s="6"/>
      <c r="D830" s="7"/>
    </row>
    <row r="831" spans="2:4">
      <c r="B831" s="14"/>
      <c r="C831" s="6"/>
      <c r="D831" s="7"/>
    </row>
    <row r="832" spans="2:4">
      <c r="B832" s="14"/>
      <c r="C832" s="6"/>
      <c r="D832" s="7"/>
    </row>
    <row r="833" spans="2:4">
      <c r="B833" s="14"/>
      <c r="C833" s="6"/>
      <c r="D833" s="7"/>
    </row>
    <row r="834" spans="2:4">
      <c r="B834" s="14"/>
      <c r="C834" s="6"/>
      <c r="D834" s="7"/>
    </row>
    <row r="835" spans="2:4">
      <c r="B835" s="14"/>
      <c r="C835" s="6"/>
      <c r="D835" s="7"/>
    </row>
    <row r="836" spans="2:4">
      <c r="B836" s="14"/>
      <c r="C836" s="6"/>
      <c r="D836" s="7"/>
    </row>
    <row r="837" spans="2:4">
      <c r="B837" s="14"/>
      <c r="C837" s="6"/>
      <c r="D837" s="7"/>
    </row>
    <row r="838" spans="2:4">
      <c r="B838" s="14"/>
      <c r="C838" s="6"/>
      <c r="D838" s="7"/>
    </row>
    <row r="839" spans="2:4">
      <c r="B839" s="14"/>
      <c r="C839" s="6"/>
      <c r="D839" s="7"/>
    </row>
    <row r="840" spans="2:4">
      <c r="B840" s="14"/>
      <c r="C840" s="6"/>
      <c r="D840" s="7"/>
    </row>
    <row r="841" spans="2:4">
      <c r="B841" s="14"/>
      <c r="C841" s="6"/>
      <c r="D841" s="7"/>
    </row>
    <row r="842" spans="2:4">
      <c r="B842" s="14"/>
      <c r="C842" s="6"/>
      <c r="D842" s="7"/>
    </row>
    <row r="843" spans="2:4">
      <c r="B843" s="14"/>
      <c r="C843" s="6"/>
      <c r="D843" s="7"/>
    </row>
    <row r="844" spans="2:4">
      <c r="B844" s="14"/>
      <c r="C844" s="6"/>
      <c r="D844" s="7"/>
    </row>
    <row r="845" spans="2:4">
      <c r="B845" s="14"/>
      <c r="C845" s="6"/>
      <c r="D845" s="7"/>
    </row>
    <row r="846" spans="2:4">
      <c r="B846" s="14"/>
      <c r="C846" s="6"/>
      <c r="D846" s="7"/>
    </row>
    <row r="847" spans="2:4">
      <c r="B847" s="14"/>
      <c r="C847" s="6"/>
      <c r="D847" s="7"/>
    </row>
    <row r="848" spans="2:4">
      <c r="B848" s="14"/>
      <c r="C848" s="6"/>
      <c r="D848" s="7"/>
    </row>
    <row r="849" spans="2:4">
      <c r="B849" s="14"/>
      <c r="C849" s="6"/>
      <c r="D849" s="7"/>
    </row>
    <row r="850" spans="2:4">
      <c r="B850" s="14"/>
      <c r="C850" s="6"/>
      <c r="D850" s="7"/>
    </row>
    <row r="851" spans="2:4">
      <c r="B851" s="14"/>
      <c r="C851" s="6"/>
      <c r="D851" s="7"/>
    </row>
    <row r="852" spans="2:4">
      <c r="B852" s="14"/>
      <c r="C852" s="6"/>
      <c r="D852" s="7"/>
    </row>
    <row r="853" spans="2:4">
      <c r="B853" s="14"/>
      <c r="C853" s="6"/>
      <c r="D853" s="7"/>
    </row>
    <row r="854" spans="2:4">
      <c r="B854" s="14"/>
      <c r="C854" s="6"/>
      <c r="D854" s="7"/>
    </row>
    <row r="855" spans="2:4">
      <c r="B855" s="14"/>
      <c r="C855" s="6"/>
      <c r="D855" s="7"/>
    </row>
    <row r="856" spans="2:4">
      <c r="B856" s="14"/>
      <c r="C856" s="6"/>
      <c r="D856" s="7"/>
    </row>
    <row r="857" spans="2:4">
      <c r="B857" s="14"/>
      <c r="C857" s="6"/>
      <c r="D857" s="7"/>
    </row>
    <row r="858" spans="2:4">
      <c r="B858" s="14"/>
      <c r="C858" s="6"/>
      <c r="D858" s="7"/>
    </row>
    <row r="859" spans="2:4">
      <c r="B859" s="14"/>
      <c r="C859" s="6"/>
      <c r="D859" s="7"/>
    </row>
    <row r="860" spans="2:4">
      <c r="B860" s="14"/>
      <c r="C860" s="6"/>
      <c r="D860" s="7"/>
    </row>
    <row r="861" spans="2:4">
      <c r="B861" s="14"/>
      <c r="C861" s="6"/>
      <c r="D861" s="7"/>
    </row>
    <row r="862" spans="2:4">
      <c r="B862" s="14"/>
      <c r="C862" s="6"/>
      <c r="D862" s="7"/>
    </row>
    <row r="863" spans="2:4">
      <c r="B863" s="14"/>
      <c r="C863" s="6"/>
      <c r="D863" s="7"/>
    </row>
    <row r="864" spans="2:4">
      <c r="B864" s="14"/>
      <c r="C864" s="6"/>
      <c r="D864" s="7"/>
    </row>
    <row r="865" spans="2:4">
      <c r="B865" s="14"/>
      <c r="C865" s="6"/>
      <c r="D865" s="7"/>
    </row>
    <row r="866" spans="2:4">
      <c r="B866" s="14"/>
      <c r="C866" s="6"/>
      <c r="D866" s="7"/>
    </row>
    <row r="867" spans="2:4">
      <c r="B867" s="14"/>
      <c r="C867" s="6"/>
      <c r="D867" s="7"/>
    </row>
    <row r="868" spans="2:4">
      <c r="B868" s="14"/>
      <c r="C868" s="6"/>
      <c r="D868" s="7"/>
    </row>
    <row r="869" spans="2:4">
      <c r="B869" s="14"/>
      <c r="C869" s="6"/>
      <c r="D869" s="7"/>
    </row>
    <row r="870" spans="2:4">
      <c r="B870" s="14"/>
      <c r="C870" s="6"/>
      <c r="D870" s="7"/>
    </row>
    <row r="871" spans="2:4">
      <c r="B871" s="14"/>
      <c r="C871" s="6"/>
      <c r="D871" s="7"/>
    </row>
    <row r="872" spans="2:4">
      <c r="B872" s="14"/>
      <c r="C872" s="6"/>
      <c r="D872" s="7"/>
    </row>
    <row r="873" spans="2:4">
      <c r="B873" s="14"/>
      <c r="C873" s="6"/>
      <c r="D873" s="7"/>
    </row>
    <row r="874" spans="2:4">
      <c r="B874" s="14"/>
      <c r="C874" s="6"/>
      <c r="D874" s="7"/>
    </row>
    <row r="875" spans="2:4">
      <c r="B875" s="14"/>
      <c r="C875" s="6"/>
      <c r="D875" s="7"/>
    </row>
    <row r="876" spans="2:4">
      <c r="B876" s="14"/>
      <c r="C876" s="6"/>
      <c r="D876" s="7"/>
    </row>
    <row r="877" spans="2:4">
      <c r="B877" s="14"/>
      <c r="C877" s="6"/>
      <c r="D877" s="7"/>
    </row>
    <row r="878" spans="2:4">
      <c r="B878" s="14"/>
      <c r="C878" s="6"/>
      <c r="D878" s="7"/>
    </row>
    <row r="879" spans="2:4">
      <c r="B879" s="14"/>
      <c r="C879" s="6"/>
      <c r="D879" s="7"/>
    </row>
    <row r="880" spans="2:4">
      <c r="B880" s="14"/>
      <c r="C880" s="6"/>
      <c r="D880" s="7"/>
    </row>
    <row r="881" spans="2:4">
      <c r="B881" s="14"/>
      <c r="C881" s="6"/>
      <c r="D881" s="7"/>
    </row>
    <row r="882" spans="2:4">
      <c r="B882" s="14"/>
      <c r="C882" s="6"/>
      <c r="D882" s="7"/>
    </row>
    <row r="883" spans="2:4">
      <c r="B883" s="14"/>
      <c r="C883" s="6"/>
      <c r="D883" s="7"/>
    </row>
    <row r="884" spans="2:4">
      <c r="B884" s="14"/>
      <c r="C884" s="6"/>
      <c r="D884" s="7"/>
    </row>
    <row r="885" spans="2:4">
      <c r="B885" s="14"/>
      <c r="C885" s="6"/>
      <c r="D885" s="7"/>
    </row>
    <row r="886" spans="2:4">
      <c r="B886" s="14"/>
      <c r="C886" s="6"/>
      <c r="D886" s="7"/>
    </row>
    <row r="887" spans="2:4">
      <c r="B887" s="14"/>
      <c r="C887" s="6"/>
      <c r="D887" s="7"/>
    </row>
    <row r="888" spans="2:4">
      <c r="B888" s="14"/>
      <c r="C888" s="6"/>
      <c r="D888" s="7"/>
    </row>
    <row r="889" spans="2:4">
      <c r="B889" s="14"/>
      <c r="C889" s="6"/>
      <c r="D889" s="7"/>
    </row>
    <row r="890" spans="2:4">
      <c r="B890" s="14"/>
      <c r="C890" s="6"/>
      <c r="D890" s="7"/>
    </row>
    <row r="891" spans="2:4">
      <c r="B891" s="14"/>
      <c r="C891" s="6"/>
      <c r="D891" s="7"/>
    </row>
    <row r="892" spans="2:4">
      <c r="B892" s="14"/>
      <c r="C892" s="6"/>
      <c r="D892" s="7"/>
    </row>
    <row r="893" spans="2:4">
      <c r="B893" s="14"/>
      <c r="C893" s="6"/>
      <c r="D893" s="7"/>
    </row>
    <row r="894" spans="2:4">
      <c r="B894" s="14"/>
      <c r="C894" s="6"/>
      <c r="D894" s="7"/>
    </row>
    <row r="895" spans="2:4">
      <c r="B895" s="14"/>
      <c r="C895" s="6"/>
      <c r="D895" s="7"/>
    </row>
    <row r="896" spans="2:4">
      <c r="B896" s="14"/>
      <c r="C896" s="6"/>
      <c r="D896" s="7"/>
    </row>
    <row r="897" spans="2:4">
      <c r="B897" s="14"/>
      <c r="C897" s="6"/>
      <c r="D897" s="7"/>
    </row>
    <row r="898" spans="2:4">
      <c r="B898" s="14"/>
      <c r="C898" s="6"/>
      <c r="D898" s="7"/>
    </row>
    <row r="899" spans="2:4">
      <c r="B899" s="14"/>
      <c r="C899" s="6"/>
      <c r="D899" s="7"/>
    </row>
    <row r="900" spans="2:4">
      <c r="B900" s="14"/>
      <c r="C900" s="6"/>
      <c r="D900" s="7"/>
    </row>
    <row r="901" spans="2:4">
      <c r="B901" s="14"/>
      <c r="C901" s="6"/>
      <c r="D901" s="7"/>
    </row>
    <row r="902" spans="2:4">
      <c r="B902" s="14"/>
      <c r="C902" s="6"/>
      <c r="D902" s="7"/>
    </row>
    <row r="903" spans="2:4">
      <c r="B903" s="14"/>
      <c r="C903" s="6"/>
      <c r="D903" s="7"/>
    </row>
    <row r="904" spans="2:4">
      <c r="B904" s="14"/>
      <c r="C904" s="6"/>
      <c r="D904" s="7"/>
    </row>
    <row r="905" spans="2:4">
      <c r="B905" s="14"/>
      <c r="C905" s="6"/>
      <c r="D905" s="7"/>
    </row>
    <row r="906" spans="2:4">
      <c r="B906" s="14"/>
      <c r="C906" s="6"/>
      <c r="D906" s="7"/>
    </row>
    <row r="907" spans="2:4">
      <c r="B907" s="14"/>
      <c r="C907" s="6"/>
      <c r="D907" s="7"/>
    </row>
    <row r="908" spans="2:4">
      <c r="B908" s="14"/>
      <c r="C908" s="6"/>
      <c r="D908" s="7"/>
    </row>
    <row r="909" spans="2:4">
      <c r="B909" s="14"/>
      <c r="C909" s="6"/>
      <c r="D909" s="7"/>
    </row>
    <row r="910" spans="2:4">
      <c r="B910" s="14"/>
      <c r="C910" s="6"/>
      <c r="D910" s="7"/>
    </row>
    <row r="911" spans="2:4">
      <c r="B911" s="14"/>
      <c r="C911" s="6"/>
      <c r="D911" s="7"/>
    </row>
    <row r="912" spans="2:4">
      <c r="B912" s="14"/>
      <c r="C912" s="6"/>
      <c r="D912" s="7"/>
    </row>
    <row r="913" spans="2:4">
      <c r="B913" s="14"/>
      <c r="C913" s="6"/>
      <c r="D913" s="7"/>
    </row>
    <row r="914" spans="2:4">
      <c r="B914" s="14"/>
      <c r="C914" s="6"/>
      <c r="D914" s="7"/>
    </row>
    <row r="915" spans="2:4">
      <c r="B915" s="14"/>
      <c r="C915" s="6"/>
      <c r="D915" s="7"/>
    </row>
    <row r="916" spans="2:4">
      <c r="B916" s="14"/>
      <c r="C916" s="6"/>
      <c r="D916" s="7"/>
    </row>
    <row r="917" spans="2:4">
      <c r="B917" s="14"/>
      <c r="C917" s="6"/>
      <c r="D917" s="7"/>
    </row>
    <row r="918" spans="2:4">
      <c r="B918" s="14"/>
      <c r="C918" s="6"/>
      <c r="D918" s="7"/>
    </row>
    <row r="919" spans="2:4">
      <c r="B919" s="14"/>
      <c r="C919" s="6"/>
      <c r="D919" s="7"/>
    </row>
    <row r="920" spans="2:4">
      <c r="B920" s="14"/>
      <c r="C920" s="6"/>
      <c r="D920" s="7"/>
    </row>
    <row r="921" spans="2:4">
      <c r="B921" s="14"/>
      <c r="C921" s="6"/>
      <c r="D921" s="7"/>
    </row>
    <row r="922" spans="2:4">
      <c r="B922" s="14"/>
      <c r="C922" s="6"/>
      <c r="D922" s="7"/>
    </row>
    <row r="923" spans="2:4">
      <c r="B923" s="14"/>
      <c r="C923" s="6"/>
      <c r="D923" s="7"/>
    </row>
    <row r="924" spans="2:4">
      <c r="B924" s="14"/>
      <c r="C924" s="6"/>
      <c r="D924" s="7"/>
    </row>
    <row r="925" spans="2:4">
      <c r="B925" s="14"/>
      <c r="C925" s="6"/>
      <c r="D925" s="7"/>
    </row>
    <row r="926" spans="2:4">
      <c r="B926" s="14"/>
      <c r="C926" s="6"/>
      <c r="D926" s="7"/>
    </row>
    <row r="927" spans="2:4">
      <c r="B927" s="14"/>
      <c r="C927" s="6"/>
      <c r="D927" s="7"/>
    </row>
    <row r="928" spans="2:4">
      <c r="B928" s="14"/>
      <c r="C928" s="6"/>
      <c r="D928" s="7"/>
    </row>
    <row r="929" spans="2:4">
      <c r="B929" s="14"/>
      <c r="C929" s="6"/>
      <c r="D929" s="7"/>
    </row>
    <row r="930" spans="2:4">
      <c r="B930" s="14"/>
      <c r="C930" s="6"/>
      <c r="D930" s="7"/>
    </row>
    <row r="931" spans="2:4">
      <c r="B931" s="14"/>
      <c r="C931" s="6"/>
      <c r="D931" s="7"/>
    </row>
    <row r="932" spans="2:4">
      <c r="B932" s="14"/>
      <c r="C932" s="6"/>
      <c r="D932" s="7"/>
    </row>
    <row r="933" spans="2:4">
      <c r="B933" s="14"/>
      <c r="C933" s="6"/>
      <c r="D933" s="7"/>
    </row>
    <row r="934" spans="2:4">
      <c r="B934" s="14"/>
      <c r="C934" s="6"/>
      <c r="D934" s="7"/>
    </row>
    <row r="935" spans="2:4">
      <c r="B935" s="14"/>
      <c r="C935" s="6"/>
      <c r="D935" s="7"/>
    </row>
    <row r="936" spans="2:4">
      <c r="B936" s="14"/>
      <c r="C936" s="6"/>
      <c r="D936" s="7"/>
    </row>
    <row r="937" spans="2:4">
      <c r="B937" s="14"/>
      <c r="C937" s="6"/>
      <c r="D937" s="7"/>
    </row>
    <row r="938" spans="2:4">
      <c r="B938" s="14"/>
      <c r="C938" s="6"/>
      <c r="D938" s="7"/>
    </row>
    <row r="939" spans="2:4">
      <c r="B939" s="14"/>
      <c r="C939" s="6"/>
      <c r="D939" s="7"/>
    </row>
    <row r="940" spans="2:4">
      <c r="B940" s="14"/>
      <c r="C940" s="6"/>
      <c r="D940" s="7"/>
    </row>
    <row r="941" spans="2:4">
      <c r="B941" s="14"/>
      <c r="C941" s="6"/>
      <c r="D941" s="7"/>
    </row>
    <row r="942" spans="2:4">
      <c r="B942" s="14"/>
      <c r="C942" s="6"/>
      <c r="D942" s="7"/>
    </row>
    <row r="943" spans="2:4">
      <c r="B943" s="14"/>
      <c r="C943" s="6"/>
      <c r="D943" s="7"/>
    </row>
    <row r="944" spans="2:4">
      <c r="B944" s="14"/>
      <c r="C944" s="6"/>
      <c r="D944" s="7"/>
    </row>
    <row r="945" spans="2:4">
      <c r="B945" s="14"/>
      <c r="C945" s="6"/>
      <c r="D945" s="7"/>
    </row>
    <row r="946" spans="2:4">
      <c r="B946" s="14"/>
      <c r="C946" s="6"/>
      <c r="D946" s="7"/>
    </row>
    <row r="947" spans="2:4">
      <c r="B947" s="14"/>
      <c r="C947" s="6"/>
      <c r="D947" s="7"/>
    </row>
    <row r="948" spans="2:4">
      <c r="B948" s="14"/>
      <c r="C948" s="6"/>
      <c r="D948" s="7"/>
    </row>
    <row r="949" spans="2:4">
      <c r="B949" s="14"/>
      <c r="C949" s="6"/>
      <c r="D949" s="7"/>
    </row>
    <row r="950" spans="2:4">
      <c r="B950" s="14"/>
      <c r="C950" s="6"/>
      <c r="D950" s="7"/>
    </row>
    <row r="951" spans="2:4">
      <c r="B951" s="14"/>
      <c r="C951" s="6"/>
      <c r="D951" s="7"/>
    </row>
    <row r="952" spans="2:4">
      <c r="B952" s="14"/>
      <c r="C952" s="6"/>
      <c r="D952" s="7"/>
    </row>
    <row r="953" spans="2:4">
      <c r="B953" s="14"/>
      <c r="C953" s="6"/>
      <c r="D953" s="7"/>
    </row>
    <row r="954" spans="2:4">
      <c r="B954" s="14"/>
      <c r="C954" s="6"/>
      <c r="D954" s="7"/>
    </row>
    <row r="955" spans="2:4">
      <c r="B955" s="14"/>
      <c r="C955" s="6"/>
      <c r="D955" s="7"/>
    </row>
    <row r="956" spans="2:4">
      <c r="B956" s="14"/>
      <c r="C956" s="6"/>
      <c r="D956" s="7"/>
    </row>
    <row r="957" spans="2:4">
      <c r="B957" s="14"/>
      <c r="C957" s="6"/>
      <c r="D957" s="7"/>
    </row>
    <row r="958" spans="2:4">
      <c r="B958" s="14"/>
      <c r="C958" s="6"/>
      <c r="D958" s="7"/>
    </row>
    <row r="959" spans="2:4">
      <c r="B959" s="14"/>
      <c r="C959" s="6"/>
      <c r="D959" s="7"/>
    </row>
    <row r="960" spans="2:4">
      <c r="B960" s="14"/>
      <c r="C960" s="6"/>
      <c r="D960" s="7"/>
    </row>
    <row r="961" spans="2:4">
      <c r="B961" s="14"/>
      <c r="C961" s="6"/>
      <c r="D961" s="7"/>
    </row>
    <row r="962" spans="2:4">
      <c r="B962" s="14"/>
      <c r="C962" s="6"/>
      <c r="D962" s="7"/>
    </row>
    <row r="963" spans="2:4">
      <c r="B963" s="14"/>
      <c r="C963" s="6"/>
      <c r="D963" s="7"/>
    </row>
    <row r="964" spans="2:4">
      <c r="B964" s="14"/>
      <c r="C964" s="6"/>
      <c r="D964" s="7"/>
    </row>
    <row r="965" spans="2:4">
      <c r="B965" s="14"/>
      <c r="C965" s="6"/>
      <c r="D965" s="7"/>
    </row>
    <row r="966" spans="2:4">
      <c r="B966" s="14"/>
      <c r="C966" s="6"/>
      <c r="D966" s="7"/>
    </row>
    <row r="967" spans="2:4">
      <c r="B967" s="14"/>
      <c r="C967" s="6"/>
      <c r="D967" s="7"/>
    </row>
    <row r="968" spans="2:4">
      <c r="B968" s="14"/>
      <c r="C968" s="6"/>
      <c r="D968" s="7"/>
    </row>
    <row r="969" spans="2:4">
      <c r="B969" s="14"/>
      <c r="C969" s="6"/>
      <c r="D969" s="7"/>
    </row>
    <row r="970" spans="2:4">
      <c r="B970" s="14"/>
      <c r="C970" s="6"/>
      <c r="D970" s="7"/>
    </row>
    <row r="971" spans="2:4">
      <c r="B971" s="14"/>
      <c r="C971" s="6"/>
      <c r="D971" s="7"/>
    </row>
    <row r="972" spans="2:4">
      <c r="B972" s="14"/>
      <c r="C972" s="6"/>
      <c r="D972" s="7"/>
    </row>
    <row r="973" spans="2:4">
      <c r="B973" s="14"/>
      <c r="C973" s="6"/>
      <c r="D973" s="7"/>
    </row>
    <row r="974" spans="2:4">
      <c r="B974" s="14"/>
      <c r="C974" s="6"/>
      <c r="D974" s="7"/>
    </row>
    <row r="975" spans="2:4">
      <c r="B975" s="14"/>
      <c r="C975" s="6"/>
      <c r="D975" s="7"/>
    </row>
    <row r="976" spans="2:4">
      <c r="B976" s="14"/>
      <c r="C976" s="6"/>
      <c r="D976" s="7"/>
    </row>
    <row r="977" spans="2:4">
      <c r="B977" s="14"/>
      <c r="C977" s="6"/>
      <c r="D977" s="7"/>
    </row>
    <row r="978" spans="2:4">
      <c r="B978" s="14"/>
      <c r="C978" s="6"/>
      <c r="D978" s="7"/>
    </row>
    <row r="979" spans="2:4">
      <c r="B979" s="14"/>
      <c r="C979" s="6"/>
      <c r="D979" s="7"/>
    </row>
    <row r="980" spans="2:4">
      <c r="B980" s="14"/>
      <c r="C980" s="6"/>
      <c r="D980" s="7"/>
    </row>
    <row r="981" spans="2:4">
      <c r="B981" s="14"/>
      <c r="C981" s="6"/>
      <c r="D981" s="7"/>
    </row>
    <row r="982" spans="2:4">
      <c r="B982" s="14"/>
      <c r="C982" s="6"/>
      <c r="D982" s="7"/>
    </row>
    <row r="983" spans="2:4">
      <c r="B983" s="14"/>
      <c r="C983" s="6"/>
      <c r="D983" s="7"/>
    </row>
    <row r="984" spans="2:4">
      <c r="B984" s="14"/>
      <c r="C984" s="6"/>
      <c r="D984" s="7"/>
    </row>
    <row r="985" spans="2:4">
      <c r="B985" s="14"/>
      <c r="C985" s="6"/>
      <c r="D985" s="7"/>
    </row>
    <row r="986" spans="2:4">
      <c r="B986" s="14"/>
      <c r="C986" s="6"/>
      <c r="D986" s="7"/>
    </row>
    <row r="987" spans="2:4">
      <c r="B987" s="14"/>
      <c r="C987" s="6"/>
      <c r="D987" s="7"/>
    </row>
    <row r="988" spans="2:4">
      <c r="B988" s="14"/>
      <c r="C988" s="6"/>
      <c r="D988" s="7"/>
    </row>
    <row r="989" spans="2:4">
      <c r="B989" s="14"/>
      <c r="C989" s="6"/>
      <c r="D989" s="7"/>
    </row>
    <row r="990" spans="2:4">
      <c r="B990" s="14"/>
      <c r="C990" s="6"/>
      <c r="D990" s="7"/>
    </row>
    <row r="991" spans="2:4">
      <c r="B991" s="14"/>
      <c r="C991" s="6"/>
      <c r="D991" s="7"/>
    </row>
    <row r="992" spans="2:4">
      <c r="B992" s="14"/>
      <c r="C992" s="6"/>
      <c r="D992" s="7"/>
    </row>
    <row r="993" spans="2:4">
      <c r="B993" s="14"/>
      <c r="C993" s="6"/>
      <c r="D993" s="7"/>
    </row>
    <row r="994" spans="2:4">
      <c r="B994" s="14"/>
      <c r="C994" s="6"/>
      <c r="D994" s="7"/>
    </row>
    <row r="995" spans="2:4">
      <c r="B995" s="14"/>
      <c r="C995" s="6"/>
      <c r="D995" s="7"/>
    </row>
    <row r="996" spans="2:4">
      <c r="B996" s="14"/>
      <c r="C996" s="6"/>
      <c r="D996" s="7"/>
    </row>
    <row r="997" spans="2:4">
      <c r="B997" s="14"/>
      <c r="C997" s="6"/>
      <c r="D997" s="7"/>
    </row>
    <row r="998" spans="2:4">
      <c r="B998" s="14"/>
      <c r="C998" s="6"/>
      <c r="D998" s="7"/>
    </row>
    <row r="999" spans="2:4">
      <c r="B999" s="14"/>
      <c r="C999" s="6"/>
      <c r="D999" s="7"/>
    </row>
    <row r="1000" spans="2:4">
      <c r="B1000" s="14"/>
      <c r="C1000" s="6"/>
      <c r="D1000" s="7"/>
    </row>
    <row r="1001" spans="2:4">
      <c r="B1001" s="14"/>
      <c r="C1001" s="6"/>
      <c r="D1001" s="7"/>
    </row>
    <row r="1002" spans="2:4">
      <c r="B1002" s="14"/>
      <c r="C1002" s="6"/>
      <c r="D1002" s="7"/>
    </row>
    <row r="1003" spans="2:4">
      <c r="B1003" s="14"/>
      <c r="C1003" s="6"/>
      <c r="D1003" s="7"/>
    </row>
    <row r="1004" spans="2:4">
      <c r="B1004" s="14"/>
      <c r="C1004" s="6"/>
      <c r="D1004" s="7"/>
    </row>
    <row r="1005" spans="2:4">
      <c r="B1005" s="14"/>
      <c r="C1005" s="6"/>
      <c r="D1005" s="7"/>
    </row>
    <row r="1006" spans="2:4">
      <c r="B1006" s="14"/>
      <c r="C1006" s="6"/>
      <c r="D1006" s="7"/>
    </row>
    <row r="1007" spans="2:4">
      <c r="B1007" s="14"/>
      <c r="C1007" s="6"/>
      <c r="D1007" s="7"/>
    </row>
    <row r="1008" spans="2:4">
      <c r="B1008" s="14"/>
      <c r="C1008" s="6"/>
      <c r="D1008" s="7"/>
    </row>
    <row r="1009" spans="2:4">
      <c r="B1009" s="14"/>
      <c r="C1009" s="6"/>
      <c r="D1009" s="7"/>
    </row>
    <row r="1010" spans="2:4">
      <c r="B1010" s="14"/>
      <c r="C1010" s="6"/>
      <c r="D1010" s="7"/>
    </row>
    <row r="1011" spans="2:4">
      <c r="B1011" s="14"/>
      <c r="C1011" s="6"/>
      <c r="D1011" s="7"/>
    </row>
    <row r="1012" spans="2:4">
      <c r="B1012" s="14"/>
      <c r="C1012" s="6"/>
      <c r="D1012" s="7"/>
    </row>
    <row r="1013" spans="2:4">
      <c r="B1013" s="14"/>
      <c r="C1013" s="6"/>
      <c r="D1013" s="7"/>
    </row>
    <row r="1014" spans="2:4">
      <c r="B1014" s="14"/>
      <c r="C1014" s="6"/>
      <c r="D1014" s="7"/>
    </row>
    <row r="1015" spans="2:4">
      <c r="B1015" s="14"/>
      <c r="C1015" s="6"/>
      <c r="D1015" s="7"/>
    </row>
    <row r="1016" spans="2:4">
      <c r="B1016" s="14"/>
      <c r="C1016" s="6"/>
      <c r="D1016" s="7"/>
    </row>
    <row r="1017" spans="2:4">
      <c r="B1017" s="14"/>
      <c r="C1017" s="6"/>
      <c r="D1017" s="7"/>
    </row>
    <row r="1018" spans="2:4">
      <c r="B1018" s="14"/>
      <c r="C1018" s="6"/>
      <c r="D1018" s="7"/>
    </row>
    <row r="1019" spans="2:4">
      <c r="B1019" s="14"/>
      <c r="C1019" s="6"/>
      <c r="D1019" s="7"/>
    </row>
    <row r="1020" spans="2:4">
      <c r="B1020" s="14"/>
      <c r="C1020" s="6"/>
      <c r="D1020" s="7"/>
    </row>
    <row r="1021" spans="2:4">
      <c r="B1021" s="14"/>
      <c r="C1021" s="6"/>
      <c r="D1021" s="7"/>
    </row>
    <row r="1022" spans="2:4">
      <c r="B1022" s="14"/>
      <c r="C1022" s="6"/>
      <c r="D1022" s="7"/>
    </row>
    <row r="1023" spans="2:4">
      <c r="B1023" s="14"/>
      <c r="C1023" s="6"/>
      <c r="D1023" s="7"/>
    </row>
    <row r="1024" spans="2:4">
      <c r="B1024" s="14"/>
      <c r="C1024" s="6"/>
      <c r="D1024" s="7"/>
    </row>
    <row r="1025" spans="2:4">
      <c r="B1025" s="14"/>
      <c r="C1025" s="6"/>
      <c r="D1025" s="7"/>
    </row>
    <row r="1026" spans="2:4">
      <c r="B1026" s="14"/>
      <c r="C1026" s="6"/>
      <c r="D1026" s="7"/>
    </row>
    <row r="1027" spans="2:4">
      <c r="B1027" s="14"/>
      <c r="C1027" s="6"/>
      <c r="D1027" s="7"/>
    </row>
    <row r="1028" spans="2:4">
      <c r="B1028" s="14"/>
      <c r="C1028" s="6"/>
      <c r="D1028" s="7"/>
    </row>
    <row r="1029" spans="2:4">
      <c r="B1029" s="14"/>
      <c r="C1029" s="6"/>
      <c r="D1029" s="7"/>
    </row>
    <row r="1030" spans="2:4">
      <c r="B1030" s="14"/>
      <c r="C1030" s="6"/>
      <c r="D1030" s="7"/>
    </row>
    <row r="1031" spans="2:4">
      <c r="B1031" s="14"/>
      <c r="C1031" s="6"/>
      <c r="D1031" s="7"/>
    </row>
    <row r="1032" spans="2:4">
      <c r="B1032" s="14"/>
      <c r="C1032" s="6"/>
      <c r="D1032" s="7"/>
    </row>
    <row r="1033" spans="2:4">
      <c r="B1033" s="14"/>
      <c r="C1033" s="6"/>
      <c r="D1033" s="7"/>
    </row>
    <row r="1034" spans="2:4">
      <c r="B1034" s="14"/>
      <c r="C1034" s="6"/>
      <c r="D1034" s="7"/>
    </row>
    <row r="1035" spans="2:4">
      <c r="B1035" s="14"/>
      <c r="C1035" s="6"/>
      <c r="D1035" s="7"/>
    </row>
    <row r="1036" spans="2:4">
      <c r="B1036" s="14"/>
      <c r="C1036" s="6"/>
      <c r="D1036" s="7"/>
    </row>
    <row r="1037" spans="2:4">
      <c r="B1037" s="14"/>
      <c r="C1037" s="6"/>
      <c r="D1037" s="7"/>
    </row>
    <row r="1038" spans="2:4">
      <c r="B1038" s="14"/>
      <c r="C1038" s="6"/>
      <c r="D1038" s="7"/>
    </row>
    <row r="1039" spans="2:4">
      <c r="B1039" s="14"/>
      <c r="C1039" s="6"/>
      <c r="D1039" s="7"/>
    </row>
    <row r="1040" spans="2:4">
      <c r="B1040" s="14"/>
      <c r="C1040" s="6"/>
      <c r="D1040" s="7"/>
    </row>
    <row r="1041" spans="2:4">
      <c r="B1041" s="14"/>
      <c r="C1041" s="6"/>
      <c r="D1041" s="7"/>
    </row>
    <row r="1042" spans="2:4">
      <c r="B1042" s="14"/>
      <c r="C1042" s="6"/>
      <c r="D1042" s="7"/>
    </row>
    <row r="1043" spans="2:4">
      <c r="B1043" s="14"/>
      <c r="C1043" s="6"/>
      <c r="D1043" s="7"/>
    </row>
    <row r="1044" spans="2:4">
      <c r="B1044" s="14"/>
      <c r="C1044" s="6"/>
      <c r="D1044" s="7"/>
    </row>
    <row r="1045" spans="2:4">
      <c r="B1045" s="14"/>
      <c r="C1045" s="6"/>
      <c r="D1045" s="7"/>
    </row>
    <row r="1046" spans="2:4">
      <c r="B1046" s="14"/>
      <c r="C1046" s="6"/>
      <c r="D1046" s="7"/>
    </row>
    <row r="1047" spans="2:4">
      <c r="B1047" s="14"/>
      <c r="C1047" s="6"/>
      <c r="D1047" s="7"/>
    </row>
    <row r="1048" spans="2:4">
      <c r="B1048" s="14"/>
      <c r="C1048" s="6"/>
      <c r="D1048" s="7"/>
    </row>
    <row r="1049" spans="2:4">
      <c r="B1049" s="14"/>
      <c r="C1049" s="6"/>
      <c r="D1049" s="7"/>
    </row>
    <row r="1050" spans="2:4">
      <c r="B1050" s="14"/>
      <c r="C1050" s="6"/>
      <c r="D1050" s="7"/>
    </row>
    <row r="1051" spans="2:4">
      <c r="B1051" s="14"/>
      <c r="C1051" s="6"/>
      <c r="D1051" s="7"/>
    </row>
    <row r="1052" spans="2:4">
      <c r="B1052" s="14"/>
      <c r="C1052" s="6"/>
      <c r="D1052" s="7"/>
    </row>
    <row r="1053" spans="2:4">
      <c r="B1053" s="14"/>
      <c r="C1053" s="6"/>
      <c r="D1053" s="7"/>
    </row>
    <row r="1054" spans="2:4">
      <c r="B1054" s="14"/>
      <c r="C1054" s="6"/>
      <c r="D1054" s="7"/>
    </row>
    <row r="1055" spans="2:4">
      <c r="B1055" s="14"/>
      <c r="C1055" s="6"/>
      <c r="D1055" s="7"/>
    </row>
    <row r="1056" spans="2:4">
      <c r="B1056" s="14"/>
      <c r="C1056" s="6"/>
      <c r="D1056" s="7"/>
    </row>
    <row r="1057" spans="2:4">
      <c r="B1057" s="14"/>
      <c r="C1057" s="6"/>
      <c r="D1057" s="7"/>
    </row>
    <row r="1058" spans="2:4">
      <c r="B1058" s="14"/>
      <c r="C1058" s="6"/>
      <c r="D1058" s="7"/>
    </row>
    <row r="1059" spans="2:4">
      <c r="B1059" s="14"/>
      <c r="C1059" s="6"/>
      <c r="D1059" s="7"/>
    </row>
    <row r="1060" spans="2:4">
      <c r="B1060" s="14"/>
      <c r="C1060" s="6"/>
      <c r="D1060" s="7"/>
    </row>
    <row r="1061" spans="2:4">
      <c r="B1061" s="14"/>
      <c r="C1061" s="6"/>
      <c r="D1061" s="7"/>
    </row>
    <row r="1062" spans="2:4">
      <c r="B1062" s="14"/>
      <c r="C1062" s="6"/>
      <c r="D1062" s="7"/>
    </row>
    <row r="1063" spans="2:4">
      <c r="B1063" s="14"/>
      <c r="C1063" s="6"/>
      <c r="D1063" s="7"/>
    </row>
    <row r="1064" spans="2:4">
      <c r="B1064" s="14"/>
      <c r="C1064" s="6"/>
      <c r="D1064" s="7"/>
    </row>
    <row r="1065" spans="2:4">
      <c r="B1065" s="14"/>
      <c r="C1065" s="6"/>
      <c r="D1065" s="7"/>
    </row>
    <row r="1066" spans="2:4">
      <c r="B1066" s="14"/>
      <c r="C1066" s="6"/>
      <c r="D1066" s="7"/>
    </row>
    <row r="1067" spans="2:4">
      <c r="B1067" s="14"/>
      <c r="C1067" s="6"/>
      <c r="D1067" s="7"/>
    </row>
    <row r="1068" spans="2:4">
      <c r="B1068" s="14"/>
      <c r="C1068" s="6"/>
      <c r="D1068" s="7"/>
    </row>
    <row r="1069" spans="2:4">
      <c r="B1069" s="14"/>
      <c r="C1069" s="6"/>
      <c r="D1069" s="7"/>
    </row>
    <row r="1070" spans="2:4">
      <c r="B1070" s="14"/>
      <c r="C1070" s="6"/>
      <c r="D1070" s="7"/>
    </row>
    <row r="1071" spans="2:4">
      <c r="B1071" s="14"/>
      <c r="C1071" s="6"/>
      <c r="D1071" s="7"/>
    </row>
    <row r="1072" spans="2:4">
      <c r="B1072" s="14"/>
      <c r="C1072" s="6"/>
      <c r="D1072" s="7"/>
    </row>
    <row r="1073" spans="2:4">
      <c r="B1073" s="14"/>
      <c r="C1073" s="6"/>
      <c r="D1073" s="7"/>
    </row>
    <row r="1074" spans="2:4">
      <c r="B1074" s="14"/>
      <c r="C1074" s="6"/>
      <c r="D1074" s="7"/>
    </row>
    <row r="1075" spans="2:4">
      <c r="B1075" s="14"/>
      <c r="C1075" s="6"/>
      <c r="D1075" s="7"/>
    </row>
    <row r="1076" spans="2:4">
      <c r="B1076" s="14"/>
      <c r="C1076" s="6"/>
      <c r="D1076" s="7"/>
    </row>
    <row r="1077" spans="2:4">
      <c r="B1077" s="14"/>
      <c r="C1077" s="6"/>
      <c r="D1077" s="7"/>
    </row>
    <row r="1078" spans="2:4">
      <c r="B1078" s="14"/>
      <c r="C1078" s="6"/>
      <c r="D1078" s="7"/>
    </row>
    <row r="1079" spans="2:4">
      <c r="B1079" s="14"/>
      <c r="C1079" s="6"/>
      <c r="D1079" s="7"/>
    </row>
    <row r="1080" spans="2:4">
      <c r="B1080" s="14"/>
      <c r="C1080" s="6"/>
      <c r="D1080" s="7"/>
    </row>
    <row r="1081" spans="2:4">
      <c r="B1081" s="14"/>
      <c r="C1081" s="6"/>
      <c r="D1081" s="7"/>
    </row>
    <row r="1082" spans="2:4">
      <c r="B1082" s="14"/>
      <c r="C1082" s="6"/>
      <c r="D1082" s="7"/>
    </row>
    <row r="1083" spans="2:4">
      <c r="B1083" s="14"/>
      <c r="C1083" s="6"/>
      <c r="D1083" s="7"/>
    </row>
    <row r="1084" spans="2:4">
      <c r="B1084" s="14"/>
      <c r="C1084" s="6"/>
      <c r="D1084" s="7"/>
    </row>
    <row r="1085" spans="2:4">
      <c r="B1085" s="14"/>
      <c r="C1085" s="6"/>
      <c r="D1085" s="7"/>
    </row>
    <row r="1086" spans="2:4">
      <c r="B1086" s="14"/>
      <c r="C1086" s="6"/>
      <c r="D1086" s="7"/>
    </row>
    <row r="1087" spans="2:4">
      <c r="B1087" s="14"/>
      <c r="C1087" s="6"/>
      <c r="D1087" s="7"/>
    </row>
    <row r="1088" spans="2:4">
      <c r="B1088" s="14"/>
      <c r="C1088" s="6"/>
      <c r="D1088" s="7"/>
    </row>
    <row r="1089" spans="2:4">
      <c r="B1089" s="14"/>
      <c r="C1089" s="6"/>
      <c r="D1089" s="7"/>
    </row>
    <row r="1090" spans="2:4">
      <c r="B1090" s="14"/>
      <c r="C1090" s="6"/>
      <c r="D1090" s="7"/>
    </row>
    <row r="1091" spans="2:4">
      <c r="B1091" s="14"/>
      <c r="C1091" s="6"/>
      <c r="D1091" s="7"/>
    </row>
    <row r="1092" spans="2:4">
      <c r="B1092" s="14"/>
      <c r="C1092" s="6"/>
      <c r="D1092" s="7"/>
    </row>
    <row r="1093" spans="2:4">
      <c r="B1093" s="14"/>
      <c r="C1093" s="6"/>
      <c r="D1093" s="7"/>
    </row>
    <row r="1094" spans="2:4">
      <c r="B1094" s="14"/>
      <c r="C1094" s="6"/>
      <c r="D1094" s="7"/>
    </row>
    <row r="1095" spans="2:4">
      <c r="B1095" s="14"/>
      <c r="C1095" s="6"/>
      <c r="D1095" s="7"/>
    </row>
    <row r="1096" spans="2:4">
      <c r="B1096" s="14"/>
      <c r="C1096" s="6"/>
      <c r="D1096" s="7"/>
    </row>
    <row r="1097" spans="2:4">
      <c r="B1097" s="14"/>
      <c r="C1097" s="6"/>
      <c r="D1097" s="7"/>
    </row>
    <row r="1098" spans="2:4">
      <c r="B1098" s="14"/>
      <c r="C1098" s="6"/>
      <c r="D1098" s="7"/>
    </row>
    <row r="1099" spans="2:4">
      <c r="B1099" s="14"/>
      <c r="C1099" s="6"/>
      <c r="D1099" s="7"/>
    </row>
    <row r="1100" spans="2:4">
      <c r="B1100" s="14"/>
      <c r="C1100" s="6"/>
      <c r="D1100" s="7"/>
    </row>
    <row r="1101" spans="2:4">
      <c r="B1101" s="14"/>
      <c r="C1101" s="6"/>
      <c r="D1101" s="7"/>
    </row>
    <row r="1102" spans="2:4">
      <c r="B1102" s="14"/>
      <c r="C1102" s="6"/>
      <c r="D1102" s="7"/>
    </row>
    <row r="1103" spans="2:4">
      <c r="B1103" s="14"/>
      <c r="C1103" s="6"/>
      <c r="D1103" s="7"/>
    </row>
    <row r="1104" spans="2:4">
      <c r="B1104" s="14"/>
      <c r="C1104" s="6"/>
      <c r="D1104" s="7"/>
    </row>
    <row r="1105" spans="2:4">
      <c r="B1105" s="14"/>
      <c r="C1105" s="6"/>
      <c r="D1105" s="7"/>
    </row>
    <row r="1106" spans="2:4">
      <c r="B1106" s="14"/>
      <c r="C1106" s="6"/>
      <c r="D1106" s="7"/>
    </row>
    <row r="1107" spans="2:4">
      <c r="B1107" s="14"/>
      <c r="C1107" s="6"/>
      <c r="D1107" s="7"/>
    </row>
    <row r="1108" spans="2:4">
      <c r="B1108" s="14"/>
      <c r="C1108" s="6"/>
      <c r="D1108" s="7"/>
    </row>
    <row r="1109" spans="2:4">
      <c r="B1109" s="14"/>
      <c r="C1109" s="6"/>
      <c r="D1109" s="7"/>
    </row>
    <row r="1110" spans="2:4">
      <c r="B1110" s="14"/>
      <c r="C1110" s="6"/>
      <c r="D1110" s="7"/>
    </row>
    <row r="1111" spans="2:4">
      <c r="B1111" s="14"/>
      <c r="C1111" s="6"/>
      <c r="D1111" s="7"/>
    </row>
    <row r="1112" spans="2:4">
      <c r="B1112" s="14"/>
      <c r="C1112" s="6"/>
      <c r="D1112" s="7"/>
    </row>
    <row r="1113" spans="2:4">
      <c r="B1113" s="14"/>
      <c r="C1113" s="6"/>
      <c r="D1113" s="7"/>
    </row>
    <row r="1114" spans="2:4">
      <c r="B1114" s="14"/>
      <c r="C1114" s="6"/>
      <c r="D1114" s="7"/>
    </row>
    <row r="1115" spans="2:4">
      <c r="B1115" s="14"/>
      <c r="C1115" s="6"/>
      <c r="D1115" s="7"/>
    </row>
    <row r="1116" spans="2:4">
      <c r="B1116" s="14"/>
      <c r="C1116" s="6"/>
      <c r="D1116" s="7"/>
    </row>
    <row r="1117" spans="2:4">
      <c r="B1117" s="14"/>
      <c r="C1117" s="6"/>
      <c r="D1117" s="7"/>
    </row>
    <row r="1118" spans="2:4">
      <c r="B1118" s="14"/>
      <c r="C1118" s="6"/>
      <c r="D1118" s="7"/>
    </row>
    <row r="1119" spans="2:4">
      <c r="B1119" s="14"/>
      <c r="C1119" s="6"/>
      <c r="D1119" s="7"/>
    </row>
    <row r="1120" spans="2:4">
      <c r="B1120" s="14"/>
      <c r="C1120" s="6"/>
      <c r="D1120" s="7"/>
    </row>
    <row r="1121" spans="2:4">
      <c r="B1121" s="14"/>
      <c r="C1121" s="6"/>
      <c r="D1121" s="7"/>
    </row>
    <row r="1122" spans="2:4">
      <c r="B1122" s="14"/>
      <c r="C1122" s="6"/>
      <c r="D1122" s="7"/>
    </row>
    <row r="1123" spans="2:4">
      <c r="B1123" s="14"/>
      <c r="C1123" s="6"/>
      <c r="D1123" s="7"/>
    </row>
    <row r="1124" spans="2:4">
      <c r="B1124" s="14"/>
      <c r="C1124" s="6"/>
      <c r="D1124" s="7"/>
    </row>
    <row r="1125" spans="2:4">
      <c r="B1125" s="14"/>
      <c r="C1125" s="6"/>
      <c r="D1125" s="7"/>
    </row>
    <row r="1126" spans="2:4">
      <c r="B1126" s="14"/>
      <c r="C1126" s="6"/>
      <c r="D1126" s="7"/>
    </row>
    <row r="1127" spans="2:4">
      <c r="B1127" s="14"/>
      <c r="C1127" s="6"/>
      <c r="D1127" s="7"/>
    </row>
    <row r="1128" spans="2:4">
      <c r="B1128" s="14"/>
      <c r="C1128" s="6"/>
      <c r="D1128" s="7"/>
    </row>
    <row r="1129" spans="2:4">
      <c r="B1129" s="14"/>
      <c r="C1129" s="6"/>
      <c r="D1129" s="7"/>
    </row>
    <row r="1130" spans="2:4">
      <c r="B1130" s="14"/>
      <c r="C1130" s="6"/>
      <c r="D1130" s="7"/>
    </row>
    <row r="1131" spans="2:4">
      <c r="B1131" s="14"/>
      <c r="C1131" s="6"/>
      <c r="D1131" s="7"/>
    </row>
    <row r="1132" spans="2:4">
      <c r="B1132" s="14"/>
      <c r="C1132" s="6"/>
      <c r="D1132" s="7"/>
    </row>
    <row r="1133" spans="2:4">
      <c r="B1133" s="14"/>
      <c r="C1133" s="6"/>
      <c r="D1133" s="7"/>
    </row>
    <row r="1134" spans="2:4">
      <c r="B1134" s="14"/>
      <c r="C1134" s="6"/>
      <c r="D1134" s="7"/>
    </row>
    <row r="1135" spans="2:4">
      <c r="B1135" s="14"/>
      <c r="C1135" s="6"/>
      <c r="D1135" s="7"/>
    </row>
    <row r="1136" spans="2:4">
      <c r="B1136" s="14"/>
      <c r="C1136" s="6"/>
      <c r="D1136" s="7"/>
    </row>
    <row r="1137" spans="2:4">
      <c r="B1137" s="14"/>
      <c r="C1137" s="6"/>
      <c r="D1137" s="7"/>
    </row>
    <row r="1138" spans="2:4">
      <c r="B1138" s="14"/>
      <c r="C1138" s="6"/>
      <c r="D1138" s="7"/>
    </row>
    <row r="1139" spans="2:4">
      <c r="B1139" s="14"/>
      <c r="C1139" s="6"/>
      <c r="D1139" s="7"/>
    </row>
    <row r="1140" spans="2:4">
      <c r="B1140" s="14"/>
      <c r="C1140" s="6"/>
      <c r="D1140" s="7"/>
    </row>
    <row r="1141" spans="2:4">
      <c r="B1141" s="14"/>
      <c r="C1141" s="6"/>
      <c r="D1141" s="7"/>
    </row>
    <row r="1142" spans="2:4">
      <c r="B1142" s="14"/>
      <c r="C1142" s="6"/>
      <c r="D1142" s="7"/>
    </row>
    <row r="1143" spans="2:4">
      <c r="B1143" s="14"/>
      <c r="C1143" s="6"/>
      <c r="D1143" s="7"/>
    </row>
    <row r="1144" spans="2:4">
      <c r="B1144" s="14"/>
      <c r="C1144" s="6"/>
      <c r="D1144" s="7"/>
    </row>
    <row r="1145" spans="2:4">
      <c r="B1145" s="14"/>
      <c r="C1145" s="6"/>
      <c r="D1145" s="7"/>
    </row>
    <row r="1146" spans="2:4">
      <c r="B1146" s="14"/>
      <c r="C1146" s="6"/>
      <c r="D1146" s="7"/>
    </row>
    <row r="1147" spans="2:4">
      <c r="B1147" s="14"/>
      <c r="C1147" s="6"/>
      <c r="D1147" s="7"/>
    </row>
    <row r="1148" spans="2:4">
      <c r="B1148" s="14"/>
      <c r="C1148" s="6"/>
      <c r="D1148" s="7"/>
    </row>
    <row r="1149" spans="2:4">
      <c r="B1149" s="14"/>
      <c r="C1149" s="6"/>
      <c r="D1149" s="7"/>
    </row>
    <row r="1150" spans="2:4">
      <c r="B1150" s="14"/>
      <c r="C1150" s="6"/>
      <c r="D1150" s="7"/>
    </row>
    <row r="1151" spans="2:4">
      <c r="B1151" s="14"/>
      <c r="C1151" s="6"/>
      <c r="D1151" s="7"/>
    </row>
    <row r="1152" spans="2:4">
      <c r="B1152" s="14"/>
      <c r="C1152" s="6"/>
      <c r="D1152" s="7"/>
    </row>
    <row r="1153" spans="2:4">
      <c r="B1153" s="14"/>
      <c r="C1153" s="6"/>
      <c r="D1153" s="7"/>
    </row>
    <row r="1154" spans="2:4">
      <c r="B1154" s="14"/>
      <c r="C1154" s="6"/>
      <c r="D1154" s="7"/>
    </row>
    <row r="1155" spans="2:4">
      <c r="B1155" s="14"/>
      <c r="C1155" s="6"/>
      <c r="D1155" s="7"/>
    </row>
    <row r="1156" spans="2:4">
      <c r="B1156" s="14"/>
      <c r="C1156" s="6"/>
      <c r="D1156" s="7"/>
    </row>
    <row r="1157" spans="2:4">
      <c r="B1157" s="14"/>
      <c r="C1157" s="6"/>
      <c r="D1157" s="7"/>
    </row>
    <row r="1158" spans="2:4">
      <c r="B1158" s="14"/>
      <c r="C1158" s="6"/>
      <c r="D1158" s="7"/>
    </row>
    <row r="1159" spans="2:4">
      <c r="B1159" s="14"/>
      <c r="C1159" s="6"/>
      <c r="D1159" s="7"/>
    </row>
    <row r="1160" spans="2:4">
      <c r="B1160" s="14"/>
      <c r="C1160" s="6"/>
      <c r="D1160" s="7"/>
    </row>
    <row r="1161" spans="2:4">
      <c r="B1161" s="14"/>
      <c r="C1161" s="6"/>
      <c r="D1161" s="7"/>
    </row>
    <row r="1162" spans="2:4">
      <c r="B1162" s="14"/>
      <c r="C1162" s="6"/>
      <c r="D1162" s="7"/>
    </row>
    <row r="1163" spans="2:4">
      <c r="B1163" s="14"/>
      <c r="C1163" s="6"/>
      <c r="D1163" s="7"/>
    </row>
    <row r="1164" spans="2:4">
      <c r="B1164" s="14"/>
      <c r="C1164" s="6"/>
      <c r="D1164" s="7"/>
    </row>
    <row r="1165" spans="2:4">
      <c r="B1165" s="14"/>
      <c r="C1165" s="6"/>
      <c r="D1165" s="7"/>
    </row>
    <row r="1166" spans="2:4">
      <c r="B1166" s="14"/>
      <c r="C1166" s="6"/>
      <c r="D1166" s="7"/>
    </row>
    <row r="1167" spans="2:4">
      <c r="B1167" s="14"/>
      <c r="C1167" s="6"/>
      <c r="D1167" s="7"/>
    </row>
    <row r="1168" spans="2:4">
      <c r="B1168" s="14"/>
      <c r="C1168" s="6"/>
      <c r="D1168" s="7"/>
    </row>
    <row r="1169" spans="2:4">
      <c r="B1169" s="14"/>
      <c r="C1169" s="6"/>
      <c r="D1169" s="7"/>
    </row>
    <row r="1170" spans="2:4">
      <c r="B1170" s="14"/>
      <c r="C1170" s="6"/>
      <c r="D1170" s="7"/>
    </row>
    <row r="1171" spans="2:4">
      <c r="B1171" s="14"/>
      <c r="C1171" s="6"/>
      <c r="D1171" s="7"/>
    </row>
    <row r="1172" spans="2:4">
      <c r="B1172" s="14"/>
      <c r="C1172" s="6"/>
      <c r="D1172" s="7"/>
    </row>
    <row r="1173" spans="2:4">
      <c r="B1173" s="14"/>
      <c r="C1173" s="6"/>
      <c r="D1173" s="7"/>
    </row>
    <row r="1174" spans="2:4">
      <c r="B1174" s="14"/>
      <c r="C1174" s="6"/>
      <c r="D1174" s="7"/>
    </row>
    <row r="1175" spans="2:4">
      <c r="B1175" s="14"/>
      <c r="C1175" s="6"/>
      <c r="D1175" s="7"/>
    </row>
    <row r="1176" spans="2:4">
      <c r="B1176" s="14"/>
      <c r="C1176" s="6"/>
      <c r="D1176" s="7"/>
    </row>
    <row r="1177" spans="2:4">
      <c r="B1177" s="14"/>
      <c r="C1177" s="6"/>
      <c r="D1177" s="7"/>
    </row>
    <row r="1178" spans="2:4">
      <c r="B1178" s="14"/>
      <c r="C1178" s="6"/>
      <c r="D1178" s="7"/>
    </row>
    <row r="1179" spans="2:4">
      <c r="B1179" s="14"/>
      <c r="C1179" s="6"/>
      <c r="D1179" s="7"/>
    </row>
    <row r="1180" spans="2:4">
      <c r="B1180" s="14"/>
      <c r="C1180" s="6"/>
      <c r="D1180" s="7"/>
    </row>
    <row r="1181" spans="2:4">
      <c r="B1181" s="14"/>
      <c r="C1181" s="6"/>
      <c r="D1181" s="7"/>
    </row>
    <row r="1182" spans="2:4">
      <c r="B1182" s="14"/>
      <c r="C1182" s="6"/>
      <c r="D1182" s="7"/>
    </row>
    <row r="1183" spans="2:4">
      <c r="B1183" s="14"/>
      <c r="C1183" s="6"/>
      <c r="D1183" s="7"/>
    </row>
    <row r="1184" spans="2:4">
      <c r="B1184" s="14"/>
      <c r="C1184" s="6"/>
      <c r="D1184" s="7"/>
    </row>
    <row r="1185" spans="2:4">
      <c r="B1185" s="14"/>
      <c r="C1185" s="6"/>
      <c r="D1185" s="7"/>
    </row>
    <row r="1186" spans="2:4">
      <c r="B1186" s="14"/>
      <c r="C1186" s="6"/>
      <c r="D1186" s="7"/>
    </row>
    <row r="1187" spans="2:4">
      <c r="B1187" s="14"/>
      <c r="C1187" s="6"/>
      <c r="D1187" s="7"/>
    </row>
    <row r="1188" spans="2:4">
      <c r="B1188" s="14"/>
      <c r="C1188" s="6"/>
      <c r="D1188" s="7"/>
    </row>
    <row r="1189" spans="2:4">
      <c r="B1189" s="14"/>
      <c r="C1189" s="6"/>
      <c r="D1189" s="7"/>
    </row>
    <row r="1190" spans="2:4">
      <c r="B1190" s="14"/>
      <c r="C1190" s="6"/>
      <c r="D1190" s="7"/>
    </row>
    <row r="1191" spans="2:4">
      <c r="B1191" s="14"/>
      <c r="C1191" s="6"/>
      <c r="D1191" s="7"/>
    </row>
    <row r="1192" spans="2:4">
      <c r="B1192" s="14"/>
      <c r="C1192" s="6"/>
      <c r="D1192" s="7"/>
    </row>
    <row r="1193" spans="2:4">
      <c r="B1193" s="14"/>
      <c r="C1193" s="6"/>
      <c r="D1193" s="7"/>
    </row>
    <row r="1194" spans="2:4">
      <c r="B1194" s="14"/>
      <c r="C1194" s="6"/>
      <c r="D1194" s="7"/>
    </row>
    <row r="1195" spans="2:4">
      <c r="B1195" s="14"/>
      <c r="C1195" s="6"/>
      <c r="D1195" s="7"/>
    </row>
    <row r="1196" spans="2:4">
      <c r="B1196" s="14"/>
      <c r="C1196" s="6"/>
      <c r="D1196" s="7"/>
    </row>
    <row r="1197" spans="2:4">
      <c r="B1197" s="14"/>
      <c r="C1197" s="6"/>
      <c r="D1197" s="7"/>
    </row>
    <row r="1198" spans="2:4">
      <c r="B1198" s="14"/>
      <c r="C1198" s="6"/>
      <c r="D1198" s="7"/>
    </row>
    <row r="1199" spans="2:4">
      <c r="B1199" s="14"/>
      <c r="C1199" s="6"/>
      <c r="D1199" s="7"/>
    </row>
    <row r="1200" spans="2:4">
      <c r="B1200" s="14"/>
      <c r="C1200" s="6"/>
      <c r="D1200" s="7"/>
    </row>
    <row r="1201" spans="2:4">
      <c r="B1201" s="14"/>
      <c r="C1201" s="6"/>
      <c r="D1201" s="7"/>
    </row>
    <row r="1202" spans="2:4">
      <c r="B1202" s="14"/>
      <c r="C1202" s="6"/>
      <c r="D1202" s="7"/>
    </row>
    <row r="1203" spans="2:4">
      <c r="B1203" s="14"/>
      <c r="C1203" s="6"/>
      <c r="D1203" s="7"/>
    </row>
    <row r="1204" spans="2:4">
      <c r="B1204" s="14"/>
      <c r="C1204" s="6"/>
      <c r="D1204" s="7"/>
    </row>
    <row r="1205" spans="2:4">
      <c r="B1205" s="14"/>
      <c r="C1205" s="6"/>
      <c r="D1205" s="7"/>
    </row>
    <row r="1206" spans="2:4">
      <c r="B1206" s="14"/>
      <c r="C1206" s="6"/>
      <c r="D1206" s="7"/>
    </row>
    <row r="1207" spans="2:4">
      <c r="B1207" s="14"/>
      <c r="C1207" s="6"/>
      <c r="D1207" s="7"/>
    </row>
    <row r="1208" spans="2:4">
      <c r="B1208" s="14"/>
      <c r="C1208" s="6"/>
      <c r="D1208" s="7"/>
    </row>
    <row r="1209" spans="2:4">
      <c r="B1209" s="14"/>
      <c r="C1209" s="6"/>
      <c r="D1209" s="7"/>
    </row>
    <row r="1210" spans="2:4">
      <c r="B1210" s="14"/>
      <c r="C1210" s="6"/>
      <c r="D1210" s="7"/>
    </row>
    <row r="1211" spans="2:4">
      <c r="B1211" s="14"/>
      <c r="C1211" s="6"/>
      <c r="D1211" s="7"/>
    </row>
    <row r="1212" spans="2:4">
      <c r="B1212" s="14"/>
      <c r="C1212" s="6"/>
      <c r="D1212" s="7"/>
    </row>
    <row r="1213" spans="2:4">
      <c r="B1213" s="14"/>
      <c r="C1213" s="6"/>
      <c r="D1213" s="7"/>
    </row>
    <row r="1214" spans="2:4">
      <c r="B1214" s="14"/>
      <c r="C1214" s="6"/>
      <c r="D1214" s="7"/>
    </row>
    <row r="1215" spans="2:4">
      <c r="B1215" s="14"/>
      <c r="C1215" s="6"/>
      <c r="D1215" s="7"/>
    </row>
    <row r="1216" spans="2:4">
      <c r="B1216" s="14"/>
      <c r="C1216" s="6"/>
      <c r="D1216" s="7"/>
    </row>
    <row r="1217" spans="2:4">
      <c r="B1217" s="14"/>
      <c r="C1217" s="6"/>
      <c r="D1217" s="7"/>
    </row>
    <row r="1218" spans="2:4">
      <c r="B1218" s="14"/>
      <c r="C1218" s="6"/>
      <c r="D1218" s="7"/>
    </row>
    <row r="1219" spans="2:4">
      <c r="B1219" s="14"/>
      <c r="C1219" s="6"/>
      <c r="D1219" s="7"/>
    </row>
    <row r="1220" spans="2:4">
      <c r="B1220" s="14"/>
      <c r="C1220" s="6"/>
      <c r="D1220" s="7"/>
    </row>
    <row r="1221" spans="2:4">
      <c r="B1221" s="14"/>
      <c r="C1221" s="6"/>
      <c r="D1221" s="7"/>
    </row>
    <row r="1222" spans="2:4">
      <c r="B1222" s="14"/>
      <c r="C1222" s="6"/>
      <c r="D1222" s="7"/>
    </row>
    <row r="1223" spans="2:4">
      <c r="B1223" s="14"/>
      <c r="C1223" s="6"/>
      <c r="D1223" s="7"/>
    </row>
    <row r="1224" spans="2:4">
      <c r="B1224" s="14"/>
      <c r="C1224" s="6"/>
      <c r="D1224" s="7"/>
    </row>
    <row r="1225" spans="2:4">
      <c r="B1225" s="14"/>
      <c r="C1225" s="6"/>
      <c r="D1225" s="7"/>
    </row>
    <row r="1226" spans="2:4">
      <c r="B1226" s="14"/>
      <c r="C1226" s="6"/>
      <c r="D1226" s="7"/>
    </row>
    <row r="1227" spans="2:4">
      <c r="B1227" s="14"/>
      <c r="C1227" s="6"/>
      <c r="D1227" s="7"/>
    </row>
    <row r="1228" spans="2:4">
      <c r="B1228" s="14"/>
      <c r="C1228" s="6"/>
      <c r="D1228" s="7"/>
    </row>
    <row r="1229" spans="2:4">
      <c r="B1229" s="14"/>
      <c r="C1229" s="6"/>
      <c r="D1229" s="7"/>
    </row>
    <row r="1230" spans="2:4">
      <c r="B1230" s="14"/>
      <c r="C1230" s="6"/>
      <c r="D1230" s="7"/>
    </row>
    <row r="1231" spans="2:4">
      <c r="B1231" s="14"/>
      <c r="C1231" s="6"/>
      <c r="D1231" s="7"/>
    </row>
    <row r="1232" spans="2:4">
      <c r="B1232" s="14"/>
      <c r="C1232" s="6"/>
      <c r="D1232" s="7"/>
    </row>
    <row r="1233" spans="2:4">
      <c r="B1233" s="14"/>
      <c r="C1233" s="6"/>
      <c r="D1233" s="7"/>
    </row>
    <row r="1234" spans="2:4">
      <c r="B1234" s="14"/>
      <c r="C1234" s="6"/>
      <c r="D1234" s="7"/>
    </row>
    <row r="1235" spans="2:4">
      <c r="B1235" s="14"/>
      <c r="C1235" s="6"/>
      <c r="D1235" s="7"/>
    </row>
    <row r="1236" spans="2:4">
      <c r="B1236" s="14"/>
      <c r="C1236" s="6"/>
      <c r="D1236" s="7"/>
    </row>
    <row r="1237" spans="2:4">
      <c r="B1237" s="14"/>
      <c r="C1237" s="6"/>
      <c r="D1237" s="7"/>
    </row>
    <row r="1238" spans="2:4">
      <c r="B1238" s="14"/>
      <c r="C1238" s="6"/>
      <c r="D1238" s="7"/>
    </row>
    <row r="1239" spans="2:4">
      <c r="B1239" s="14"/>
      <c r="C1239" s="6"/>
      <c r="D1239" s="7"/>
    </row>
    <row r="1240" spans="2:4">
      <c r="B1240" s="14"/>
      <c r="C1240" s="6"/>
      <c r="D1240" s="7"/>
    </row>
    <row r="1241" spans="2:4">
      <c r="B1241" s="14"/>
      <c r="C1241" s="6"/>
      <c r="D1241" s="7"/>
    </row>
    <row r="1242" spans="2:4">
      <c r="B1242" s="14"/>
      <c r="C1242" s="6"/>
      <c r="D1242" s="7"/>
    </row>
    <row r="1243" spans="2:4">
      <c r="B1243" s="14"/>
      <c r="C1243" s="6"/>
      <c r="D1243" s="7"/>
    </row>
    <row r="1244" spans="2:4">
      <c r="B1244" s="14"/>
      <c r="C1244" s="6"/>
      <c r="D1244" s="7"/>
    </row>
    <row r="1245" spans="2:4">
      <c r="B1245" s="14"/>
      <c r="C1245" s="6"/>
      <c r="D1245" s="7"/>
    </row>
    <row r="1246" spans="2:4">
      <c r="B1246" s="14"/>
      <c r="C1246" s="6"/>
      <c r="D1246" s="7"/>
    </row>
    <row r="1247" spans="2:4">
      <c r="B1247" s="14"/>
      <c r="C1247" s="6"/>
      <c r="D1247" s="7"/>
    </row>
    <row r="1248" spans="2:4">
      <c r="B1248" s="14"/>
      <c r="C1248" s="6"/>
      <c r="D1248" s="7"/>
    </row>
    <row r="1249" spans="2:4">
      <c r="B1249" s="14"/>
      <c r="C1249" s="6"/>
      <c r="D1249" s="7"/>
    </row>
    <row r="1250" spans="2:4">
      <c r="B1250" s="14"/>
      <c r="C1250" s="6"/>
      <c r="D1250" s="7"/>
    </row>
    <row r="1251" spans="2:4">
      <c r="B1251" s="14"/>
      <c r="C1251" s="6"/>
      <c r="D1251" s="7"/>
    </row>
    <row r="1252" spans="2:4">
      <c r="B1252" s="14"/>
      <c r="C1252" s="6"/>
      <c r="D1252" s="7"/>
    </row>
    <row r="1253" spans="2:4">
      <c r="B1253" s="14"/>
      <c r="C1253" s="6"/>
      <c r="D1253" s="7"/>
    </row>
    <row r="1254" spans="2:4">
      <c r="B1254" s="14"/>
      <c r="C1254" s="6"/>
      <c r="D1254" s="7"/>
    </row>
    <row r="1255" spans="2:4">
      <c r="B1255" s="14"/>
      <c r="C1255" s="6"/>
      <c r="D1255" s="7"/>
    </row>
    <row r="1256" spans="2:4">
      <c r="B1256" s="14"/>
      <c r="C1256" s="6"/>
      <c r="D1256" s="7"/>
    </row>
    <row r="1257" spans="2:4">
      <c r="B1257" s="14"/>
      <c r="C1257" s="6"/>
      <c r="D1257" s="7"/>
    </row>
    <row r="1258" spans="2:4">
      <c r="B1258" s="14"/>
      <c r="C1258" s="6"/>
      <c r="D1258" s="7"/>
    </row>
    <row r="1259" spans="2:4">
      <c r="B1259" s="14"/>
      <c r="C1259" s="6"/>
      <c r="D1259" s="7"/>
    </row>
    <row r="1260" spans="2:4">
      <c r="B1260" s="14"/>
      <c r="C1260" s="6"/>
      <c r="D1260" s="7"/>
    </row>
    <row r="1261" spans="2:4">
      <c r="B1261" s="14"/>
      <c r="C1261" s="6"/>
      <c r="D1261" s="7"/>
    </row>
    <row r="1262" spans="2:4">
      <c r="B1262" s="14"/>
      <c r="C1262" s="6"/>
      <c r="D1262" s="7"/>
    </row>
    <row r="1263" spans="2:4">
      <c r="B1263" s="14"/>
      <c r="C1263" s="6"/>
      <c r="D1263" s="7"/>
    </row>
    <row r="1264" spans="2:4">
      <c r="B1264" s="14"/>
      <c r="C1264" s="6"/>
      <c r="D1264" s="7"/>
    </row>
    <row r="1265" spans="2:4">
      <c r="B1265" s="14"/>
      <c r="C1265" s="6"/>
      <c r="D1265" s="7"/>
    </row>
    <row r="1266" spans="2:4">
      <c r="B1266" s="14"/>
      <c r="C1266" s="6"/>
      <c r="D1266" s="7"/>
    </row>
    <row r="1267" spans="2:4">
      <c r="B1267" s="14"/>
      <c r="C1267" s="6"/>
      <c r="D1267" s="7"/>
    </row>
    <row r="1268" spans="2:4">
      <c r="B1268" s="14"/>
      <c r="C1268" s="6"/>
      <c r="D1268" s="7"/>
    </row>
    <row r="1269" spans="2:4">
      <c r="B1269" s="14"/>
      <c r="C1269" s="6"/>
      <c r="D1269" s="7"/>
    </row>
    <row r="1270" spans="2:4">
      <c r="B1270" s="14"/>
      <c r="C1270" s="6"/>
      <c r="D1270" s="7"/>
    </row>
    <row r="1271" spans="2:4">
      <c r="B1271" s="14"/>
      <c r="C1271" s="6"/>
      <c r="D1271" s="7"/>
    </row>
    <row r="1272" spans="2:4">
      <c r="B1272" s="14"/>
      <c r="C1272" s="6"/>
      <c r="D1272" s="7"/>
    </row>
    <row r="1273" spans="2:4">
      <c r="B1273" s="14"/>
      <c r="C1273" s="6"/>
      <c r="D1273" s="7"/>
    </row>
    <row r="1274" spans="2:4">
      <c r="B1274" s="14"/>
      <c r="C1274" s="6"/>
      <c r="D1274" s="7"/>
    </row>
    <row r="1275" spans="2:4">
      <c r="B1275" s="14"/>
      <c r="C1275" s="6"/>
      <c r="D1275" s="7"/>
    </row>
    <row r="1276" spans="2:4">
      <c r="B1276" s="14"/>
      <c r="C1276" s="6"/>
      <c r="D1276" s="7"/>
    </row>
    <row r="1277" spans="2:4">
      <c r="B1277" s="14"/>
      <c r="C1277" s="6"/>
      <c r="D1277" s="7"/>
    </row>
    <row r="1278" spans="2:4">
      <c r="B1278" s="14"/>
      <c r="C1278" s="6"/>
      <c r="D1278" s="7"/>
    </row>
    <row r="1279" spans="2:4">
      <c r="B1279" s="14"/>
      <c r="C1279" s="6"/>
      <c r="D1279" s="7"/>
    </row>
    <row r="1280" spans="2:4">
      <c r="B1280" s="14"/>
      <c r="C1280" s="6"/>
      <c r="D1280" s="7"/>
    </row>
    <row r="1281" spans="2:4">
      <c r="B1281" s="14"/>
      <c r="C1281" s="6"/>
      <c r="D1281" s="7"/>
    </row>
    <row r="1282" spans="2:4">
      <c r="B1282" s="14"/>
      <c r="C1282" s="6"/>
      <c r="D1282" s="7"/>
    </row>
    <row r="1283" spans="2:4">
      <c r="B1283" s="14"/>
      <c r="C1283" s="6"/>
      <c r="D1283" s="7"/>
    </row>
    <row r="1284" spans="2:4">
      <c r="B1284" s="14"/>
      <c r="C1284" s="6"/>
      <c r="D1284" s="7"/>
    </row>
    <row r="1285" spans="2:4">
      <c r="B1285" s="14"/>
      <c r="C1285" s="6"/>
      <c r="D1285" s="7"/>
    </row>
    <row r="1286" spans="2:4">
      <c r="B1286" s="14"/>
      <c r="C1286" s="6"/>
      <c r="D1286" s="7"/>
    </row>
    <row r="1287" spans="2:4">
      <c r="B1287" s="14"/>
      <c r="C1287" s="6"/>
      <c r="D1287" s="7"/>
    </row>
    <row r="1288" spans="2:4">
      <c r="B1288" s="14"/>
      <c r="C1288" s="6"/>
      <c r="D1288" s="7"/>
    </row>
    <row r="1289" spans="2:4">
      <c r="B1289" s="14"/>
      <c r="C1289" s="6"/>
      <c r="D1289" s="7"/>
    </row>
    <row r="1290" spans="2:4">
      <c r="B1290" s="14"/>
      <c r="C1290" s="6"/>
      <c r="D1290" s="7"/>
    </row>
    <row r="1291" spans="2:4">
      <c r="B1291" s="14"/>
      <c r="C1291" s="6"/>
      <c r="D1291" s="7"/>
    </row>
    <row r="1292" spans="2:4">
      <c r="B1292" s="14"/>
      <c r="C1292" s="6"/>
      <c r="D1292" s="7"/>
    </row>
    <row r="1293" spans="2:4">
      <c r="B1293" s="14"/>
      <c r="C1293" s="6"/>
      <c r="D1293" s="7"/>
    </row>
    <row r="1294" spans="2:4">
      <c r="B1294" s="14"/>
      <c r="C1294" s="6"/>
      <c r="D1294" s="7"/>
    </row>
    <row r="1295" spans="2:4">
      <c r="B1295" s="14"/>
      <c r="C1295" s="6"/>
      <c r="D1295" s="7"/>
    </row>
    <row r="1296" spans="2:4">
      <c r="B1296" s="14"/>
      <c r="C1296" s="6"/>
      <c r="D1296" s="7"/>
    </row>
    <row r="1297" spans="2:4">
      <c r="B1297" s="14"/>
      <c r="C1297" s="6"/>
      <c r="D1297" s="7"/>
    </row>
    <row r="1298" spans="2:4">
      <c r="B1298" s="14"/>
      <c r="C1298" s="6"/>
      <c r="D1298" s="7"/>
    </row>
    <row r="1299" spans="2:4">
      <c r="B1299" s="14"/>
      <c r="C1299" s="6"/>
      <c r="D1299" s="7"/>
    </row>
    <row r="1300" spans="2:4">
      <c r="B1300" s="14"/>
      <c r="C1300" s="6"/>
      <c r="D1300" s="7"/>
    </row>
    <row r="1301" spans="2:4">
      <c r="B1301" s="14"/>
      <c r="C1301" s="6"/>
      <c r="D1301" s="7"/>
    </row>
    <row r="1302" spans="2:4">
      <c r="B1302" s="14"/>
      <c r="C1302" s="6"/>
      <c r="D1302" s="7"/>
    </row>
    <row r="1303" spans="2:4">
      <c r="B1303" s="14"/>
      <c r="C1303" s="6"/>
      <c r="D1303" s="7"/>
    </row>
    <row r="1304" spans="2:4">
      <c r="B1304" s="14"/>
      <c r="C1304" s="6"/>
      <c r="D1304" s="7"/>
    </row>
    <row r="1305" spans="2:4">
      <c r="B1305" s="14"/>
      <c r="C1305" s="6"/>
      <c r="D1305" s="7"/>
    </row>
    <row r="1306" spans="2:4">
      <c r="B1306" s="14"/>
      <c r="C1306" s="6"/>
      <c r="D1306" s="7"/>
    </row>
    <row r="1307" spans="2:4">
      <c r="B1307" s="14"/>
      <c r="C1307" s="6"/>
      <c r="D1307" s="7"/>
    </row>
    <row r="1308" spans="2:4">
      <c r="B1308" s="14"/>
      <c r="C1308" s="6"/>
      <c r="D1308" s="7"/>
    </row>
    <row r="1309" spans="2:4">
      <c r="B1309" s="14"/>
      <c r="C1309" s="6"/>
      <c r="D1309" s="7"/>
    </row>
    <row r="1310" spans="2:4">
      <c r="B1310" s="14"/>
      <c r="C1310" s="6"/>
      <c r="D1310" s="7"/>
    </row>
    <row r="1311" spans="2:4">
      <c r="B1311" s="14"/>
      <c r="C1311" s="6"/>
      <c r="D1311" s="7"/>
    </row>
    <row r="1312" spans="2:4">
      <c r="B1312" s="14"/>
      <c r="C1312" s="6"/>
      <c r="D1312" s="7"/>
    </row>
    <row r="1313" spans="2:4">
      <c r="B1313" s="14"/>
      <c r="C1313" s="6"/>
      <c r="D1313" s="7"/>
    </row>
    <row r="1314" spans="2:4">
      <c r="B1314" s="14"/>
      <c r="C1314" s="6"/>
      <c r="D1314" s="7"/>
    </row>
    <row r="1315" spans="2:4">
      <c r="B1315" s="14"/>
      <c r="C1315" s="6"/>
      <c r="D1315" s="7"/>
    </row>
    <row r="1316" spans="2:4">
      <c r="B1316" s="14"/>
      <c r="C1316" s="6"/>
      <c r="D1316" s="7"/>
    </row>
    <row r="1317" spans="2:4">
      <c r="B1317" s="14"/>
      <c r="C1317" s="6"/>
      <c r="D1317" s="7"/>
    </row>
    <row r="1318" spans="2:4">
      <c r="B1318" s="14"/>
      <c r="C1318" s="6"/>
      <c r="D1318" s="7"/>
    </row>
    <row r="1319" spans="2:4">
      <c r="B1319" s="14"/>
      <c r="C1319" s="6"/>
      <c r="D1319" s="7"/>
    </row>
    <row r="1320" spans="2:4">
      <c r="B1320" s="14"/>
      <c r="C1320" s="6"/>
      <c r="D1320" s="7"/>
    </row>
    <row r="1321" spans="2:4">
      <c r="B1321" s="14"/>
      <c r="C1321" s="6"/>
      <c r="D1321" s="7"/>
    </row>
    <row r="1322" spans="2:4">
      <c r="B1322" s="14"/>
      <c r="C1322" s="6"/>
      <c r="D1322" s="7"/>
    </row>
    <row r="1323" spans="2:4">
      <c r="B1323" s="14"/>
      <c r="C1323" s="6"/>
      <c r="D1323" s="7"/>
    </row>
    <row r="1324" spans="2:4">
      <c r="B1324" s="14"/>
      <c r="C1324" s="6"/>
      <c r="D1324" s="7"/>
    </row>
    <row r="1325" spans="2:4">
      <c r="B1325" s="14"/>
      <c r="C1325" s="6"/>
      <c r="D1325" s="7"/>
    </row>
    <row r="1326" spans="2:4">
      <c r="B1326" s="14"/>
      <c r="C1326" s="6"/>
      <c r="D1326" s="7"/>
    </row>
    <row r="1327" spans="2:4">
      <c r="B1327" s="14"/>
      <c r="C1327" s="6"/>
      <c r="D1327" s="7"/>
    </row>
    <row r="1328" spans="2:4">
      <c r="B1328" s="14"/>
      <c r="C1328" s="6"/>
      <c r="D1328" s="7"/>
    </row>
    <row r="1329" spans="2:4">
      <c r="B1329" s="14"/>
      <c r="C1329" s="6"/>
      <c r="D1329" s="7"/>
    </row>
    <row r="1330" spans="2:4">
      <c r="B1330" s="14"/>
      <c r="C1330" s="6"/>
      <c r="D1330" s="7"/>
    </row>
    <row r="1331" spans="2:4">
      <c r="B1331" s="14"/>
      <c r="C1331" s="6"/>
      <c r="D1331" s="7"/>
    </row>
    <row r="1332" spans="2:4">
      <c r="B1332" s="14"/>
      <c r="C1332" s="6"/>
      <c r="D1332" s="7"/>
    </row>
    <row r="1333" spans="2:4">
      <c r="B1333" s="14"/>
      <c r="C1333" s="6"/>
      <c r="D1333" s="7"/>
    </row>
    <row r="1334" spans="2:4">
      <c r="B1334" s="14"/>
      <c r="C1334" s="6"/>
      <c r="D1334" s="7"/>
    </row>
    <row r="1335" spans="2:4">
      <c r="B1335" s="14"/>
      <c r="C1335" s="6"/>
      <c r="D1335" s="7"/>
    </row>
    <row r="1336" spans="2:4">
      <c r="B1336" s="14"/>
      <c r="C1336" s="6"/>
      <c r="D1336" s="7"/>
    </row>
    <row r="1337" spans="2:4">
      <c r="B1337" s="14"/>
      <c r="C1337" s="6"/>
      <c r="D1337" s="7"/>
    </row>
    <row r="1338" spans="2:4">
      <c r="B1338" s="14"/>
      <c r="C1338" s="6"/>
      <c r="D1338" s="7"/>
    </row>
    <row r="1339" spans="2:4">
      <c r="B1339" s="14"/>
      <c r="C1339" s="6"/>
      <c r="D1339" s="7"/>
    </row>
    <row r="1340" spans="2:4">
      <c r="B1340" s="14"/>
      <c r="C1340" s="6"/>
      <c r="D1340" s="7"/>
    </row>
    <row r="1341" spans="2:4">
      <c r="B1341" s="14"/>
      <c r="C1341" s="6"/>
      <c r="D1341" s="7"/>
    </row>
    <row r="1342" spans="2:4">
      <c r="B1342" s="14"/>
      <c r="C1342" s="6"/>
      <c r="D1342" s="7"/>
    </row>
    <row r="1343" spans="2:4">
      <c r="B1343" s="14"/>
      <c r="C1343" s="6"/>
      <c r="D1343" s="7"/>
    </row>
    <row r="1344" spans="2:4">
      <c r="B1344" s="14"/>
      <c r="C1344" s="6"/>
      <c r="D1344" s="7"/>
    </row>
    <row r="1345" spans="2:4">
      <c r="B1345" s="14"/>
      <c r="C1345" s="6"/>
      <c r="D1345" s="7"/>
    </row>
    <row r="1346" spans="2:4">
      <c r="B1346" s="14"/>
      <c r="C1346" s="6"/>
      <c r="D1346" s="7"/>
    </row>
    <row r="1347" spans="2:4">
      <c r="B1347" s="14"/>
      <c r="C1347" s="6"/>
      <c r="D1347" s="7"/>
    </row>
    <row r="1348" spans="2:4">
      <c r="B1348" s="14"/>
      <c r="C1348" s="6"/>
      <c r="D1348" s="7"/>
    </row>
    <row r="1349" spans="2:4">
      <c r="B1349" s="14"/>
      <c r="C1349" s="6"/>
      <c r="D1349" s="7"/>
    </row>
    <row r="1350" spans="2:4">
      <c r="B1350" s="14"/>
      <c r="C1350" s="6"/>
      <c r="D1350" s="7"/>
    </row>
    <row r="1351" spans="2:4">
      <c r="B1351" s="14"/>
      <c r="C1351" s="6"/>
      <c r="D1351" s="7"/>
    </row>
    <row r="1352" spans="2:4">
      <c r="B1352" s="14"/>
      <c r="C1352" s="6"/>
      <c r="D1352" s="7"/>
    </row>
    <row r="1353" spans="2:4">
      <c r="B1353" s="14"/>
      <c r="C1353" s="6"/>
      <c r="D1353" s="7"/>
    </row>
    <row r="1354" spans="2:4">
      <c r="B1354" s="14"/>
      <c r="C1354" s="6"/>
      <c r="D1354" s="7"/>
    </row>
    <row r="1355" spans="2:4">
      <c r="B1355" s="14"/>
      <c r="C1355" s="6"/>
      <c r="D1355" s="7"/>
    </row>
    <row r="1356" spans="2:4">
      <c r="B1356" s="14"/>
      <c r="C1356" s="6"/>
      <c r="D1356" s="7"/>
    </row>
    <row r="1357" spans="2:4">
      <c r="B1357" s="14"/>
      <c r="C1357" s="6"/>
      <c r="D1357" s="7"/>
    </row>
    <row r="1358" spans="2:4">
      <c r="B1358" s="14"/>
      <c r="C1358" s="6"/>
      <c r="D1358" s="7"/>
    </row>
    <row r="1359" spans="2:4">
      <c r="B1359" s="14"/>
      <c r="C1359" s="6"/>
      <c r="D1359" s="7"/>
    </row>
    <row r="1360" spans="2:4">
      <c r="B1360" s="14"/>
      <c r="C1360" s="6"/>
      <c r="D1360" s="7"/>
    </row>
    <row r="1361" spans="2:4">
      <c r="B1361" s="14"/>
      <c r="C1361" s="6"/>
      <c r="D1361" s="7"/>
    </row>
    <row r="1362" spans="2:4">
      <c r="B1362" s="14"/>
      <c r="C1362" s="6"/>
      <c r="D1362" s="7"/>
    </row>
    <row r="1363" spans="2:4">
      <c r="B1363" s="14"/>
      <c r="C1363" s="6"/>
      <c r="D1363" s="7"/>
    </row>
    <row r="1364" spans="2:4">
      <c r="B1364" s="14"/>
      <c r="C1364" s="6"/>
      <c r="D1364" s="7"/>
    </row>
    <row r="1365" spans="2:4">
      <c r="B1365" s="14"/>
      <c r="C1365" s="6"/>
      <c r="D1365" s="7"/>
    </row>
    <row r="1366" spans="2:4">
      <c r="B1366" s="14"/>
      <c r="C1366" s="6"/>
      <c r="D1366" s="7"/>
    </row>
    <row r="1367" spans="2:4">
      <c r="B1367" s="14"/>
      <c r="C1367" s="6"/>
      <c r="D1367" s="7"/>
    </row>
    <row r="1368" spans="2:4">
      <c r="B1368" s="14"/>
      <c r="C1368" s="6"/>
      <c r="D1368" s="7"/>
    </row>
    <row r="1369" spans="2:4">
      <c r="B1369" s="14"/>
      <c r="C1369" s="6"/>
      <c r="D1369" s="7"/>
    </row>
    <row r="1370" spans="2:4">
      <c r="B1370" s="14"/>
      <c r="C1370" s="6"/>
      <c r="D1370" s="7"/>
    </row>
    <row r="1371" spans="2:4">
      <c r="B1371" s="14"/>
      <c r="C1371" s="6"/>
      <c r="D1371" s="7"/>
    </row>
    <row r="1372" spans="2:4">
      <c r="B1372" s="14"/>
      <c r="C1372" s="6"/>
      <c r="D1372" s="7"/>
    </row>
    <row r="1373" spans="2:4">
      <c r="B1373" s="14"/>
      <c r="C1373" s="6"/>
      <c r="D1373" s="7"/>
    </row>
    <row r="1374" spans="2:4">
      <c r="B1374" s="14"/>
      <c r="C1374" s="6"/>
      <c r="D1374" s="7"/>
    </row>
    <row r="1375" spans="2:4">
      <c r="B1375" s="14"/>
      <c r="C1375" s="6"/>
      <c r="D1375" s="7"/>
    </row>
    <row r="1376" spans="2:4">
      <c r="B1376" s="14"/>
      <c r="C1376" s="6"/>
      <c r="D1376" s="7"/>
    </row>
    <row r="1377" spans="2:4">
      <c r="B1377" s="14"/>
      <c r="C1377" s="6"/>
      <c r="D1377" s="7"/>
    </row>
    <row r="1378" spans="2:4">
      <c r="B1378" s="14"/>
      <c r="C1378" s="6"/>
      <c r="D1378" s="7"/>
    </row>
    <row r="1379" spans="2:4">
      <c r="B1379" s="14"/>
      <c r="C1379" s="6"/>
      <c r="D1379" s="7"/>
    </row>
    <row r="1380" spans="2:4">
      <c r="B1380" s="14"/>
      <c r="C1380" s="6"/>
      <c r="D1380" s="7"/>
    </row>
    <row r="1381" spans="2:4">
      <c r="B1381" s="14"/>
      <c r="C1381" s="6"/>
      <c r="D1381" s="7"/>
    </row>
    <row r="1382" spans="2:4">
      <c r="B1382" s="14"/>
      <c r="C1382" s="6"/>
      <c r="D1382" s="7"/>
    </row>
    <row r="1383" spans="2:4">
      <c r="B1383" s="14"/>
      <c r="C1383" s="6"/>
      <c r="D1383" s="7"/>
    </row>
    <row r="1384" spans="2:4">
      <c r="B1384" s="14"/>
      <c r="C1384" s="6"/>
      <c r="D1384" s="7"/>
    </row>
    <row r="1385" spans="2:4">
      <c r="B1385" s="14"/>
      <c r="C1385" s="6"/>
      <c r="D1385" s="7"/>
    </row>
    <row r="1386" spans="2:4">
      <c r="B1386" s="14"/>
      <c r="C1386" s="6"/>
      <c r="D1386" s="7"/>
    </row>
    <row r="1387" spans="2:4">
      <c r="B1387" s="14"/>
      <c r="C1387" s="6"/>
      <c r="D1387" s="7"/>
    </row>
    <row r="1388" spans="2:4">
      <c r="B1388" s="14"/>
      <c r="C1388" s="6"/>
      <c r="D1388" s="7"/>
    </row>
    <row r="1389" spans="2:4">
      <c r="B1389" s="14"/>
      <c r="C1389" s="6"/>
      <c r="D1389" s="7"/>
    </row>
    <row r="1390" spans="2:4">
      <c r="B1390" s="14"/>
      <c r="C1390" s="6"/>
      <c r="D1390" s="7"/>
    </row>
    <row r="1391" spans="2:4">
      <c r="B1391" s="14"/>
      <c r="C1391" s="6"/>
      <c r="D1391" s="7"/>
    </row>
    <row r="1392" spans="2:4">
      <c r="B1392" s="14"/>
      <c r="C1392" s="6"/>
      <c r="D1392" s="7"/>
    </row>
    <row r="1393" spans="2:4">
      <c r="B1393" s="14"/>
      <c r="C1393" s="6"/>
      <c r="D1393" s="7"/>
    </row>
    <row r="1394" spans="2:4">
      <c r="B1394" s="14"/>
      <c r="C1394" s="6"/>
      <c r="D1394" s="7"/>
    </row>
    <row r="1395" spans="2:4">
      <c r="B1395" s="14"/>
      <c r="C1395" s="6"/>
      <c r="D1395" s="7"/>
    </row>
    <row r="1396" spans="2:4">
      <c r="B1396" s="14"/>
      <c r="C1396" s="6"/>
      <c r="D1396" s="7"/>
    </row>
    <row r="1397" spans="2:4">
      <c r="B1397" s="14"/>
      <c r="C1397" s="6"/>
      <c r="D1397" s="7"/>
    </row>
    <row r="1398" spans="2:4">
      <c r="B1398" s="14"/>
      <c r="C1398" s="6"/>
      <c r="D1398" s="7"/>
    </row>
    <row r="1399" spans="2:4">
      <c r="B1399" s="14"/>
      <c r="C1399" s="6"/>
      <c r="D1399" s="7"/>
    </row>
    <row r="1400" spans="2:4">
      <c r="B1400" s="14"/>
      <c r="C1400" s="6"/>
      <c r="D1400" s="7"/>
    </row>
    <row r="1401" spans="2:4">
      <c r="B1401" s="14"/>
      <c r="C1401" s="6"/>
      <c r="D1401" s="7"/>
    </row>
    <row r="1402" spans="2:4">
      <c r="B1402" s="14"/>
      <c r="C1402" s="6"/>
      <c r="D1402" s="7"/>
    </row>
    <row r="1403" spans="2:4">
      <c r="B1403" s="14"/>
      <c r="C1403" s="6"/>
      <c r="D1403" s="7"/>
    </row>
    <row r="1404" spans="2:4">
      <c r="B1404" s="14"/>
      <c r="C1404" s="6"/>
      <c r="D1404" s="7"/>
    </row>
    <row r="1405" spans="2:4">
      <c r="B1405" s="14"/>
      <c r="C1405" s="6"/>
      <c r="D1405" s="7"/>
    </row>
    <row r="1406" spans="2:4">
      <c r="B1406" s="14"/>
      <c r="C1406" s="6"/>
      <c r="D1406" s="7"/>
    </row>
    <row r="1407" spans="2:4">
      <c r="B1407" s="14"/>
      <c r="C1407" s="6"/>
      <c r="D1407" s="7"/>
    </row>
    <row r="1408" spans="2:4">
      <c r="B1408" s="14"/>
      <c r="C1408" s="6"/>
      <c r="D1408" s="7"/>
    </row>
    <row r="1409" spans="2:4">
      <c r="B1409" s="14"/>
      <c r="C1409" s="6"/>
      <c r="D1409" s="7"/>
    </row>
    <row r="1410" spans="2:4">
      <c r="B1410" s="14"/>
      <c r="C1410" s="6"/>
      <c r="D1410" s="7"/>
    </row>
    <row r="1411" spans="2:4">
      <c r="B1411" s="14"/>
      <c r="C1411" s="6"/>
      <c r="D1411" s="7"/>
    </row>
    <row r="1412" spans="2:4">
      <c r="B1412" s="14"/>
      <c r="C1412" s="6"/>
      <c r="D1412" s="7"/>
    </row>
    <row r="1413" spans="2:4">
      <c r="B1413" s="14"/>
      <c r="C1413" s="6"/>
      <c r="D1413" s="7"/>
    </row>
    <row r="1414" spans="2:4">
      <c r="B1414" s="14"/>
      <c r="C1414" s="6"/>
      <c r="D1414" s="7"/>
    </row>
    <row r="1415" spans="2:4">
      <c r="B1415" s="14"/>
      <c r="C1415" s="6"/>
      <c r="D1415" s="7"/>
    </row>
    <row r="1416" spans="2:4">
      <c r="B1416" s="14"/>
      <c r="C1416" s="6"/>
      <c r="D1416" s="7"/>
    </row>
    <row r="1417" spans="2:4">
      <c r="B1417" s="14"/>
      <c r="C1417" s="6"/>
      <c r="D1417" s="7"/>
    </row>
    <row r="1418" spans="2:4">
      <c r="B1418" s="14"/>
      <c r="C1418" s="6"/>
      <c r="D1418" s="7"/>
    </row>
    <row r="1419" spans="2:4">
      <c r="B1419" s="14"/>
      <c r="C1419" s="6"/>
      <c r="D1419" s="7"/>
    </row>
    <row r="1420" spans="2:4">
      <c r="B1420" s="14"/>
      <c r="C1420" s="6"/>
      <c r="D1420" s="7"/>
    </row>
    <row r="1421" spans="2:4">
      <c r="B1421" s="14"/>
      <c r="C1421" s="6"/>
      <c r="D1421" s="7"/>
    </row>
    <row r="1422" spans="2:4">
      <c r="B1422" s="14"/>
      <c r="C1422" s="6"/>
      <c r="D1422" s="7"/>
    </row>
    <row r="1423" spans="2:4">
      <c r="B1423" s="14"/>
      <c r="C1423" s="6"/>
      <c r="D1423" s="7"/>
    </row>
    <row r="1424" spans="2:4">
      <c r="B1424" s="14"/>
      <c r="C1424" s="6"/>
      <c r="D1424" s="7"/>
    </row>
    <row r="1425" spans="2:4">
      <c r="B1425" s="14"/>
      <c r="C1425" s="6"/>
      <c r="D1425" s="7"/>
    </row>
    <row r="1426" spans="2:4">
      <c r="B1426" s="14"/>
      <c r="C1426" s="6"/>
      <c r="D1426" s="7"/>
    </row>
    <row r="1427" spans="2:4">
      <c r="B1427" s="14"/>
      <c r="C1427" s="6"/>
      <c r="D1427" s="7"/>
    </row>
    <row r="1428" spans="2:4">
      <c r="B1428" s="14"/>
      <c r="C1428" s="6"/>
      <c r="D1428" s="7"/>
    </row>
    <row r="1429" spans="2:4">
      <c r="B1429" s="14"/>
      <c r="C1429" s="6"/>
      <c r="D1429" s="7"/>
    </row>
    <row r="1430" spans="2:4">
      <c r="B1430" s="14"/>
      <c r="C1430" s="6"/>
      <c r="D1430" s="7"/>
    </row>
    <row r="1431" spans="2:4">
      <c r="B1431" s="14"/>
      <c r="C1431" s="6"/>
      <c r="D1431" s="7"/>
    </row>
    <row r="1432" spans="2:4">
      <c r="B1432" s="14"/>
      <c r="C1432" s="6"/>
      <c r="D1432" s="7"/>
    </row>
    <row r="1433" spans="2:4">
      <c r="B1433" s="14"/>
      <c r="C1433" s="6"/>
      <c r="D1433" s="7"/>
    </row>
    <row r="1434" spans="2:4">
      <c r="B1434" s="14"/>
      <c r="C1434" s="6"/>
      <c r="D1434" s="7"/>
    </row>
    <row r="1435" spans="2:4">
      <c r="B1435" s="14"/>
      <c r="C1435" s="6"/>
      <c r="D1435" s="7"/>
    </row>
    <row r="1436" spans="2:4">
      <c r="B1436" s="14"/>
      <c r="C1436" s="6"/>
      <c r="D1436" s="7"/>
    </row>
    <row r="1437" spans="2:4">
      <c r="B1437" s="14"/>
      <c r="C1437" s="6"/>
      <c r="D1437" s="7"/>
    </row>
    <row r="1438" spans="2:4">
      <c r="B1438" s="14"/>
      <c r="C1438" s="6"/>
      <c r="D1438" s="7"/>
    </row>
    <row r="1439" spans="2:4">
      <c r="B1439" s="14"/>
      <c r="C1439" s="6"/>
      <c r="D1439" s="7"/>
    </row>
    <row r="1440" spans="2:4">
      <c r="B1440" s="14"/>
      <c r="C1440" s="6"/>
      <c r="D1440" s="7"/>
    </row>
    <row r="1441" spans="2:4">
      <c r="B1441" s="14"/>
      <c r="C1441" s="6"/>
      <c r="D1441" s="7"/>
    </row>
    <row r="1442" spans="2:4">
      <c r="B1442" s="14"/>
      <c r="C1442" s="6"/>
      <c r="D1442" s="7"/>
    </row>
    <row r="1443" spans="2:4">
      <c r="B1443" s="14"/>
      <c r="C1443" s="6"/>
      <c r="D1443" s="7"/>
    </row>
    <row r="1444" spans="2:4">
      <c r="B1444" s="14"/>
      <c r="C1444" s="6"/>
      <c r="D1444" s="7"/>
    </row>
    <row r="1445" spans="2:4">
      <c r="B1445" s="14"/>
      <c r="C1445" s="6"/>
      <c r="D1445" s="7"/>
    </row>
    <row r="1446" spans="2:4">
      <c r="B1446" s="14"/>
      <c r="C1446" s="6"/>
      <c r="D1446" s="7"/>
    </row>
    <row r="1447" spans="2:4">
      <c r="B1447" s="14"/>
      <c r="C1447" s="6"/>
      <c r="D1447" s="7"/>
    </row>
    <row r="1448" spans="2:4">
      <c r="B1448" s="14"/>
      <c r="C1448" s="6"/>
      <c r="D1448" s="7"/>
    </row>
    <row r="1449" spans="2:4">
      <c r="B1449" s="14"/>
      <c r="C1449" s="6"/>
      <c r="D1449" s="7"/>
    </row>
    <row r="1450" spans="2:4">
      <c r="B1450" s="14"/>
      <c r="C1450" s="6"/>
      <c r="D1450" s="7"/>
    </row>
    <row r="1451" spans="2:4">
      <c r="B1451" s="14"/>
      <c r="C1451" s="6"/>
      <c r="D1451" s="7"/>
    </row>
    <row r="1452" spans="2:4">
      <c r="B1452" s="14"/>
      <c r="C1452" s="6"/>
      <c r="D1452" s="7"/>
    </row>
    <row r="1453" spans="2:4">
      <c r="B1453" s="14"/>
      <c r="C1453" s="6"/>
      <c r="D1453" s="7"/>
    </row>
    <row r="1454" spans="2:4">
      <c r="B1454" s="14"/>
      <c r="C1454" s="6"/>
      <c r="D1454" s="7"/>
    </row>
    <row r="1455" spans="2:4">
      <c r="B1455" s="14"/>
      <c r="C1455" s="6"/>
      <c r="D1455" s="7"/>
    </row>
    <row r="1456" spans="2:4">
      <c r="B1456" s="14"/>
      <c r="C1456" s="6"/>
      <c r="D1456" s="7"/>
    </row>
    <row r="1457" spans="2:4">
      <c r="B1457" s="14"/>
      <c r="C1457" s="6"/>
      <c r="D1457" s="7"/>
    </row>
    <row r="1458" spans="2:4">
      <c r="B1458" s="14"/>
      <c r="C1458" s="6"/>
      <c r="D1458" s="7"/>
    </row>
    <row r="1459" spans="2:4">
      <c r="B1459" s="14"/>
      <c r="C1459" s="6"/>
      <c r="D1459" s="7"/>
    </row>
    <row r="1460" spans="2:4">
      <c r="B1460" s="14"/>
      <c r="C1460" s="6"/>
      <c r="D1460" s="7"/>
    </row>
    <row r="1461" spans="2:4">
      <c r="B1461" s="14"/>
      <c r="C1461" s="6"/>
      <c r="D1461" s="7"/>
    </row>
    <row r="1462" spans="2:4">
      <c r="B1462" s="14"/>
      <c r="C1462" s="6"/>
      <c r="D1462" s="7"/>
    </row>
    <row r="1463" spans="2:4">
      <c r="B1463" s="14"/>
      <c r="C1463" s="6"/>
      <c r="D1463" s="7"/>
    </row>
    <row r="1464" spans="2:4">
      <c r="B1464" s="14"/>
      <c r="C1464" s="6"/>
      <c r="D1464" s="7"/>
    </row>
    <row r="1465" spans="2:4">
      <c r="B1465" s="14"/>
      <c r="C1465" s="6"/>
      <c r="D1465" s="7"/>
    </row>
    <row r="1466" spans="2:4">
      <c r="B1466" s="14"/>
      <c r="C1466" s="6"/>
      <c r="D1466" s="7"/>
    </row>
    <row r="1467" spans="2:4">
      <c r="B1467" s="14"/>
      <c r="C1467" s="6"/>
      <c r="D1467" s="7"/>
    </row>
    <row r="1468" spans="2:4">
      <c r="B1468" s="14"/>
      <c r="C1468" s="6"/>
      <c r="D1468" s="7"/>
    </row>
    <row r="1469" spans="2:4">
      <c r="B1469" s="14"/>
      <c r="C1469" s="6"/>
      <c r="D1469" s="7"/>
    </row>
    <row r="1470" spans="2:4">
      <c r="B1470" s="14"/>
      <c r="C1470" s="6"/>
      <c r="D1470" s="7"/>
    </row>
    <row r="1471" spans="2:4">
      <c r="B1471" s="14"/>
      <c r="C1471" s="6"/>
      <c r="D1471" s="7"/>
    </row>
    <row r="1472" spans="2:4">
      <c r="B1472" s="14"/>
      <c r="C1472" s="6"/>
      <c r="D1472" s="7"/>
    </row>
    <row r="1473" spans="2:4">
      <c r="B1473" s="14"/>
      <c r="C1473" s="6"/>
      <c r="D1473" s="7"/>
    </row>
    <row r="1474" spans="2:4">
      <c r="B1474" s="14"/>
      <c r="C1474" s="6"/>
      <c r="D1474" s="7"/>
    </row>
    <row r="1475" spans="2:4">
      <c r="B1475" s="14"/>
      <c r="C1475" s="6"/>
      <c r="D1475" s="7"/>
    </row>
    <row r="1476" spans="2:4">
      <c r="B1476" s="14"/>
      <c r="C1476" s="6"/>
      <c r="D1476" s="7"/>
    </row>
    <row r="1477" spans="2:4">
      <c r="B1477" s="14"/>
      <c r="C1477" s="6"/>
      <c r="D1477" s="7"/>
    </row>
    <row r="1478" spans="2:4">
      <c r="B1478" s="14"/>
      <c r="C1478" s="6"/>
      <c r="D1478" s="7"/>
    </row>
    <row r="1479" spans="2:4">
      <c r="B1479" s="14"/>
      <c r="C1479" s="6"/>
      <c r="D1479" s="7"/>
    </row>
    <row r="1480" spans="2:4">
      <c r="B1480" s="14"/>
      <c r="C1480" s="6"/>
      <c r="D1480" s="7"/>
    </row>
    <row r="1481" spans="2:4">
      <c r="B1481" s="14"/>
      <c r="C1481" s="6"/>
      <c r="D1481" s="7"/>
    </row>
    <row r="1482" spans="2:4">
      <c r="B1482" s="14"/>
      <c r="C1482" s="6"/>
      <c r="D1482" s="7"/>
    </row>
    <row r="1483" spans="2:4">
      <c r="B1483" s="14"/>
      <c r="C1483" s="6"/>
      <c r="D1483" s="7"/>
    </row>
    <row r="1484" spans="2:4">
      <c r="B1484" s="14"/>
      <c r="C1484" s="6"/>
      <c r="D1484" s="7"/>
    </row>
    <row r="1485" spans="2:4">
      <c r="B1485" s="14"/>
      <c r="C1485" s="6"/>
      <c r="D1485" s="7"/>
    </row>
    <row r="1486" spans="2:4">
      <c r="B1486" s="14"/>
      <c r="C1486" s="6"/>
      <c r="D1486" s="7"/>
    </row>
    <row r="1487" spans="2:4">
      <c r="B1487" s="14"/>
      <c r="C1487" s="6"/>
      <c r="D1487" s="7"/>
    </row>
    <row r="1488" spans="2:4">
      <c r="B1488" s="14"/>
      <c r="C1488" s="6"/>
      <c r="D1488" s="7"/>
    </row>
    <row r="1489" spans="2:4">
      <c r="B1489" s="14"/>
      <c r="C1489" s="6"/>
      <c r="D1489" s="7"/>
    </row>
    <row r="1490" spans="2:4">
      <c r="B1490" s="14"/>
      <c r="C1490" s="6"/>
      <c r="D1490" s="7"/>
    </row>
    <row r="1491" spans="2:4">
      <c r="B1491" s="14"/>
      <c r="C1491" s="6"/>
      <c r="D1491" s="7"/>
    </row>
    <row r="1492" spans="2:4">
      <c r="B1492" s="14"/>
      <c r="C1492" s="6"/>
      <c r="D1492" s="7"/>
    </row>
    <row r="1493" spans="2:4">
      <c r="B1493" s="14"/>
      <c r="C1493" s="6"/>
      <c r="D1493" s="7"/>
    </row>
    <row r="1494" spans="2:4">
      <c r="B1494" s="14"/>
      <c r="C1494" s="6"/>
      <c r="D1494" s="7"/>
    </row>
    <row r="1495" spans="2:4">
      <c r="B1495" s="14"/>
      <c r="C1495" s="6"/>
      <c r="D1495" s="7"/>
    </row>
    <row r="1496" spans="2:4">
      <c r="B1496" s="14"/>
      <c r="C1496" s="6"/>
      <c r="D1496" s="7"/>
    </row>
    <row r="1497" spans="2:4">
      <c r="B1497" s="14"/>
      <c r="C1497" s="6"/>
      <c r="D1497" s="7"/>
    </row>
    <row r="1498" spans="2:4">
      <c r="B1498" s="14"/>
      <c r="C1498" s="6"/>
      <c r="D1498" s="7"/>
    </row>
    <row r="1499" spans="2:4">
      <c r="B1499" s="14"/>
      <c r="C1499" s="6"/>
      <c r="D1499" s="7"/>
    </row>
    <row r="1500" spans="2:4">
      <c r="B1500" s="14"/>
      <c r="C1500" s="6"/>
      <c r="D1500" s="7"/>
    </row>
    <row r="1501" spans="2:4">
      <c r="B1501" s="14"/>
      <c r="C1501" s="6"/>
      <c r="D1501" s="7"/>
    </row>
    <row r="1502" spans="2:4">
      <c r="B1502" s="14"/>
      <c r="C1502" s="6"/>
      <c r="D1502" s="7"/>
    </row>
    <row r="1503" spans="2:4">
      <c r="B1503" s="14"/>
      <c r="C1503" s="6"/>
      <c r="D1503" s="7"/>
    </row>
    <row r="1504" spans="2:4">
      <c r="B1504" s="14"/>
      <c r="C1504" s="6"/>
      <c r="D1504" s="7"/>
    </row>
    <row r="1505" spans="2:4">
      <c r="B1505" s="14"/>
      <c r="C1505" s="6"/>
      <c r="D1505" s="7"/>
    </row>
    <row r="1506" spans="2:4">
      <c r="B1506" s="14"/>
      <c r="C1506" s="6"/>
      <c r="D1506" s="7"/>
    </row>
    <row r="1507" spans="2:4">
      <c r="B1507" s="14"/>
      <c r="C1507" s="6"/>
      <c r="D1507" s="7"/>
    </row>
    <row r="1508" spans="2:4">
      <c r="B1508" s="14"/>
      <c r="C1508" s="6"/>
      <c r="D1508" s="7"/>
    </row>
    <row r="1509" spans="2:4">
      <c r="B1509" s="14"/>
      <c r="C1509" s="6"/>
      <c r="D1509" s="7"/>
    </row>
    <row r="1510" spans="2:4">
      <c r="B1510" s="14"/>
      <c r="C1510" s="6"/>
      <c r="D1510" s="7"/>
    </row>
    <row r="1511" spans="2:4">
      <c r="B1511" s="14"/>
      <c r="C1511" s="6"/>
      <c r="D1511" s="7"/>
    </row>
    <row r="1512" spans="2:4">
      <c r="B1512" s="14"/>
      <c r="C1512" s="6"/>
      <c r="D1512" s="7"/>
    </row>
    <row r="1513" spans="2:4">
      <c r="B1513" s="14"/>
      <c r="C1513" s="6"/>
      <c r="D1513" s="7"/>
    </row>
    <row r="1514" spans="2:4">
      <c r="B1514" s="14"/>
      <c r="C1514" s="6"/>
      <c r="D1514" s="7"/>
    </row>
    <row r="1515" spans="2:4">
      <c r="B1515" s="14"/>
      <c r="C1515" s="6"/>
      <c r="D1515" s="7"/>
    </row>
    <row r="1516" spans="2:4">
      <c r="B1516" s="14"/>
      <c r="C1516" s="6"/>
      <c r="D1516" s="7"/>
    </row>
    <row r="1517" spans="2:4">
      <c r="B1517" s="14"/>
      <c r="C1517" s="6"/>
      <c r="D1517" s="7"/>
    </row>
    <row r="1518" spans="2:4">
      <c r="B1518" s="14"/>
      <c r="C1518" s="6"/>
      <c r="D1518" s="7"/>
    </row>
    <row r="1519" spans="2:4">
      <c r="B1519" s="14"/>
      <c r="C1519" s="6"/>
      <c r="D1519" s="7"/>
    </row>
    <row r="1520" spans="2:4">
      <c r="B1520" s="14"/>
      <c r="C1520" s="6"/>
      <c r="D1520" s="7"/>
    </row>
    <row r="1521" spans="2:4">
      <c r="B1521" s="14"/>
      <c r="C1521" s="6"/>
      <c r="D1521" s="7"/>
    </row>
    <row r="1522" spans="2:4">
      <c r="B1522" s="14"/>
      <c r="C1522" s="6"/>
      <c r="D1522" s="7"/>
    </row>
    <row r="1523" spans="2:4">
      <c r="B1523" s="14"/>
      <c r="C1523" s="6"/>
      <c r="D1523" s="7"/>
    </row>
    <row r="1524" spans="2:4">
      <c r="B1524" s="14"/>
      <c r="C1524" s="6"/>
      <c r="D1524" s="7"/>
    </row>
    <row r="1525" spans="2:4">
      <c r="B1525" s="14"/>
      <c r="C1525" s="6"/>
      <c r="D1525" s="7"/>
    </row>
    <row r="1526" spans="2:4">
      <c r="B1526" s="14"/>
      <c r="C1526" s="6"/>
      <c r="D1526" s="7"/>
    </row>
    <row r="1527" spans="2:4">
      <c r="B1527" s="14"/>
      <c r="C1527" s="6"/>
      <c r="D1527" s="7"/>
    </row>
    <row r="1528" spans="2:4">
      <c r="B1528" s="14"/>
      <c r="C1528" s="6"/>
      <c r="D1528" s="7"/>
    </row>
    <row r="1529" spans="2:4">
      <c r="B1529" s="14"/>
      <c r="C1529" s="6"/>
      <c r="D1529" s="7"/>
    </row>
    <row r="1530" spans="2:4">
      <c r="B1530" s="14"/>
      <c r="C1530" s="6"/>
      <c r="D1530" s="7"/>
    </row>
    <row r="1531" spans="2:4">
      <c r="B1531" s="14"/>
      <c r="C1531" s="6"/>
      <c r="D1531" s="7"/>
    </row>
    <row r="1532" spans="2:4">
      <c r="B1532" s="14"/>
      <c r="C1532" s="6"/>
      <c r="D1532" s="7"/>
    </row>
    <row r="1533" spans="2:4">
      <c r="B1533" s="14"/>
      <c r="C1533" s="6"/>
      <c r="D1533" s="7"/>
    </row>
    <row r="1534" spans="2:4">
      <c r="B1534" s="14"/>
      <c r="C1534" s="6"/>
      <c r="D1534" s="7"/>
    </row>
    <row r="1535" spans="2:4">
      <c r="B1535" s="14"/>
      <c r="C1535" s="6"/>
      <c r="D1535" s="7"/>
    </row>
    <row r="1536" spans="2:4">
      <c r="B1536" s="14"/>
      <c r="C1536" s="6"/>
      <c r="D1536" s="7"/>
    </row>
    <row r="1537" spans="2:4">
      <c r="B1537" s="14"/>
      <c r="C1537" s="6"/>
      <c r="D1537" s="7"/>
    </row>
    <row r="1538" spans="2:4">
      <c r="B1538" s="14"/>
      <c r="C1538" s="6"/>
      <c r="D1538" s="7"/>
    </row>
    <row r="1539" spans="2:4">
      <c r="B1539" s="14"/>
      <c r="C1539" s="6"/>
      <c r="D1539" s="7"/>
    </row>
    <row r="1540" spans="2:4">
      <c r="B1540" s="14"/>
      <c r="C1540" s="6"/>
      <c r="D1540" s="7"/>
    </row>
    <row r="1541" spans="2:4">
      <c r="B1541" s="14"/>
      <c r="C1541" s="6"/>
      <c r="D1541" s="7"/>
    </row>
    <row r="1542" spans="2:4">
      <c r="B1542" s="14"/>
      <c r="C1542" s="6"/>
      <c r="D1542" s="7"/>
    </row>
    <row r="1543" spans="2:4">
      <c r="B1543" s="14"/>
      <c r="C1543" s="6"/>
      <c r="D1543" s="7"/>
    </row>
    <row r="1544" spans="2:4">
      <c r="B1544" s="14"/>
      <c r="C1544" s="6"/>
      <c r="D1544" s="7"/>
    </row>
    <row r="1545" spans="2:4">
      <c r="B1545" s="14"/>
      <c r="C1545" s="6"/>
      <c r="D1545" s="7"/>
    </row>
    <row r="1546" spans="2:4">
      <c r="B1546" s="14"/>
      <c r="C1546" s="6"/>
      <c r="D1546" s="7"/>
    </row>
    <row r="1547" spans="2:4">
      <c r="B1547" s="14"/>
      <c r="C1547" s="6"/>
      <c r="D1547" s="7"/>
    </row>
    <row r="1548" spans="2:4">
      <c r="B1548" s="14"/>
      <c r="C1548" s="6"/>
      <c r="D1548" s="7"/>
    </row>
    <row r="1549" spans="2:4">
      <c r="B1549" s="14"/>
      <c r="C1549" s="6"/>
      <c r="D1549" s="7"/>
    </row>
    <row r="1550" spans="2:4">
      <c r="B1550" s="14"/>
      <c r="C1550" s="6"/>
      <c r="D1550" s="7"/>
    </row>
    <row r="1551" spans="2:4">
      <c r="B1551" s="14"/>
      <c r="C1551" s="6"/>
      <c r="D1551" s="7"/>
    </row>
    <row r="1552" spans="2:4">
      <c r="B1552" s="14"/>
      <c r="C1552" s="6"/>
      <c r="D1552" s="7"/>
    </row>
    <row r="1553" spans="2:4">
      <c r="B1553" s="14"/>
      <c r="C1553" s="6"/>
      <c r="D1553" s="7"/>
    </row>
    <row r="1554" spans="2:4">
      <c r="B1554" s="14"/>
      <c r="C1554" s="6"/>
      <c r="D1554" s="7"/>
    </row>
    <row r="1555" spans="2:4">
      <c r="B1555" s="14"/>
      <c r="C1555" s="6"/>
      <c r="D1555" s="7"/>
    </row>
    <row r="1556" spans="2:4">
      <c r="B1556" s="14"/>
      <c r="C1556" s="6"/>
      <c r="D1556" s="7"/>
    </row>
    <row r="1557" spans="2:4">
      <c r="B1557" s="14"/>
      <c r="C1557" s="6"/>
      <c r="D1557" s="7"/>
    </row>
    <row r="1558" spans="2:4">
      <c r="B1558" s="14"/>
      <c r="C1558" s="6"/>
      <c r="D1558" s="7"/>
    </row>
    <row r="1559" spans="2:4">
      <c r="B1559" s="14"/>
      <c r="C1559" s="6"/>
      <c r="D1559" s="7"/>
    </row>
    <row r="1560" spans="2:4">
      <c r="B1560" s="14"/>
      <c r="C1560" s="6"/>
      <c r="D1560" s="7"/>
    </row>
    <row r="1561" spans="2:4">
      <c r="B1561" s="14"/>
      <c r="C1561" s="6"/>
      <c r="D1561" s="7"/>
    </row>
    <row r="1562" spans="2:4">
      <c r="B1562" s="14"/>
      <c r="C1562" s="6"/>
      <c r="D1562" s="7"/>
    </row>
    <row r="1563" spans="2:4">
      <c r="B1563" s="14"/>
      <c r="C1563" s="6"/>
      <c r="D1563" s="7"/>
    </row>
    <row r="1564" spans="2:4">
      <c r="B1564" s="14"/>
      <c r="C1564" s="6"/>
      <c r="D1564" s="7"/>
    </row>
    <row r="1565" spans="2:4">
      <c r="B1565" s="14"/>
      <c r="C1565" s="6"/>
      <c r="D1565" s="7"/>
    </row>
    <row r="1566" spans="2:4">
      <c r="B1566" s="14"/>
      <c r="C1566" s="6"/>
      <c r="D1566" s="7"/>
    </row>
    <row r="1567" spans="2:4">
      <c r="B1567" s="14"/>
      <c r="C1567" s="6"/>
      <c r="D1567" s="7"/>
    </row>
    <row r="1568" spans="2:4">
      <c r="B1568" s="14"/>
      <c r="C1568" s="6"/>
      <c r="D1568" s="7"/>
    </row>
    <row r="1569" spans="2:4">
      <c r="B1569" s="14"/>
      <c r="C1569" s="6"/>
      <c r="D1569" s="7"/>
    </row>
    <row r="1570" spans="2:4">
      <c r="B1570" s="14"/>
      <c r="C1570" s="6"/>
      <c r="D1570" s="7"/>
    </row>
    <row r="1571" spans="2:4">
      <c r="B1571" s="14"/>
      <c r="C1571" s="6"/>
      <c r="D1571" s="7"/>
    </row>
    <row r="1572" spans="2:4">
      <c r="B1572" s="14"/>
      <c r="C1572" s="6"/>
      <c r="D1572" s="7"/>
    </row>
    <row r="1573" spans="2:4">
      <c r="B1573" s="14"/>
      <c r="C1573" s="6"/>
      <c r="D1573" s="7"/>
    </row>
    <row r="1574" spans="2:4">
      <c r="B1574" s="14"/>
      <c r="C1574" s="6"/>
      <c r="D1574" s="7"/>
    </row>
    <row r="1575" spans="2:4">
      <c r="B1575" s="14"/>
      <c r="C1575" s="6"/>
      <c r="D1575" s="7"/>
    </row>
    <row r="1576" spans="2:4">
      <c r="B1576" s="14"/>
      <c r="C1576" s="6"/>
      <c r="D1576" s="7"/>
    </row>
    <row r="1577" spans="2:4">
      <c r="B1577" s="14"/>
      <c r="C1577" s="6"/>
      <c r="D1577" s="7"/>
    </row>
    <row r="1578" spans="2:4">
      <c r="B1578" s="14"/>
      <c r="C1578" s="6"/>
      <c r="D1578" s="7"/>
    </row>
    <row r="1579" spans="2:4">
      <c r="B1579" s="14"/>
      <c r="C1579" s="6"/>
      <c r="D1579" s="7"/>
    </row>
    <row r="1580" spans="2:4">
      <c r="B1580" s="14"/>
      <c r="C1580" s="6"/>
      <c r="D1580" s="7"/>
    </row>
    <row r="1581" spans="2:4">
      <c r="B1581" s="14"/>
      <c r="C1581" s="6"/>
      <c r="D1581" s="7"/>
    </row>
    <row r="1582" spans="2:4">
      <c r="B1582" s="14"/>
      <c r="C1582" s="6"/>
      <c r="D1582" s="7"/>
    </row>
    <row r="1583" spans="2:4">
      <c r="B1583" s="14"/>
      <c r="C1583" s="6"/>
      <c r="D1583" s="7"/>
    </row>
    <row r="1584" spans="2:4">
      <c r="B1584" s="14"/>
      <c r="C1584" s="6"/>
      <c r="D1584" s="7"/>
    </row>
    <row r="1585" spans="2:4">
      <c r="B1585" s="14"/>
      <c r="C1585" s="6"/>
      <c r="D1585" s="7"/>
    </row>
    <row r="1586" spans="2:4">
      <c r="B1586" s="14"/>
      <c r="C1586" s="6"/>
      <c r="D1586" s="7"/>
    </row>
    <row r="1587" spans="2:4">
      <c r="B1587" s="14"/>
      <c r="C1587" s="6"/>
      <c r="D1587" s="7"/>
    </row>
    <row r="1588" spans="2:4">
      <c r="B1588" s="14"/>
      <c r="C1588" s="6"/>
      <c r="D1588" s="7"/>
    </row>
    <row r="1589" spans="2:4">
      <c r="B1589" s="14"/>
      <c r="C1589" s="6"/>
      <c r="D1589" s="7"/>
    </row>
    <row r="1590" spans="2:4">
      <c r="B1590" s="14"/>
      <c r="C1590" s="6"/>
      <c r="D1590" s="7"/>
    </row>
    <row r="1591" spans="2:4">
      <c r="B1591" s="14"/>
      <c r="C1591" s="6"/>
      <c r="D1591" s="7"/>
    </row>
    <row r="1592" spans="2:4">
      <c r="B1592" s="14"/>
      <c r="C1592" s="6"/>
      <c r="D1592" s="7"/>
    </row>
    <row r="1593" spans="2:4">
      <c r="B1593" s="14"/>
      <c r="C1593" s="6"/>
      <c r="D1593" s="7"/>
    </row>
    <row r="1594" spans="2:4">
      <c r="B1594" s="14"/>
      <c r="C1594" s="6"/>
      <c r="D1594" s="7"/>
    </row>
    <row r="1595" spans="2:4">
      <c r="B1595" s="14"/>
      <c r="C1595" s="6"/>
      <c r="D1595" s="7"/>
    </row>
    <row r="1596" spans="2:4">
      <c r="B1596" s="14"/>
      <c r="C1596" s="6"/>
      <c r="D1596" s="7"/>
    </row>
    <row r="1597" spans="2:4">
      <c r="B1597" s="14"/>
      <c r="C1597" s="6"/>
      <c r="D1597" s="7"/>
    </row>
    <row r="1598" spans="2:4">
      <c r="B1598" s="14"/>
      <c r="C1598" s="6"/>
      <c r="D1598" s="7"/>
    </row>
    <row r="1599" spans="2:4">
      <c r="B1599" s="14"/>
      <c r="C1599" s="6"/>
      <c r="D1599" s="7"/>
    </row>
    <row r="1600" spans="2:4">
      <c r="B1600" s="14"/>
      <c r="C1600" s="6"/>
      <c r="D1600" s="7"/>
    </row>
    <row r="1601" spans="2:4">
      <c r="B1601" s="14"/>
      <c r="C1601" s="6"/>
      <c r="D1601" s="7"/>
    </row>
    <row r="1602" spans="2:4">
      <c r="B1602" s="14"/>
      <c r="C1602" s="6"/>
      <c r="D1602" s="7"/>
    </row>
    <row r="1603" spans="2:4">
      <c r="B1603" s="14"/>
      <c r="C1603" s="6"/>
      <c r="D1603" s="7"/>
    </row>
    <row r="1604" spans="2:4">
      <c r="B1604" s="14"/>
      <c r="C1604" s="6"/>
      <c r="D1604" s="7"/>
    </row>
    <row r="1605" spans="2:4">
      <c r="B1605" s="14"/>
      <c r="C1605" s="6"/>
      <c r="D1605" s="7"/>
    </row>
    <row r="1606" spans="2:4">
      <c r="B1606" s="14"/>
      <c r="C1606" s="6"/>
      <c r="D1606" s="7"/>
    </row>
    <row r="1607" spans="2:4">
      <c r="B1607" s="14"/>
      <c r="C1607" s="6"/>
      <c r="D1607" s="7"/>
    </row>
    <row r="1608" spans="2:4">
      <c r="B1608" s="14"/>
      <c r="C1608" s="6"/>
      <c r="D1608" s="7"/>
    </row>
    <row r="1609" spans="2:4">
      <c r="B1609" s="14"/>
      <c r="C1609" s="6"/>
      <c r="D1609" s="7"/>
    </row>
    <row r="1610" spans="2:4">
      <c r="B1610" s="14"/>
      <c r="C1610" s="6"/>
      <c r="D1610" s="7"/>
    </row>
    <row r="1611" spans="2:4">
      <c r="B1611" s="14"/>
      <c r="C1611" s="6"/>
      <c r="D1611" s="7"/>
    </row>
    <row r="1612" spans="2:4">
      <c r="B1612" s="14"/>
      <c r="C1612" s="6"/>
      <c r="D1612" s="7"/>
    </row>
    <row r="1613" spans="2:4">
      <c r="B1613" s="14"/>
      <c r="C1613" s="6"/>
      <c r="D1613" s="7"/>
    </row>
    <row r="1614" spans="2:4">
      <c r="B1614" s="14"/>
      <c r="C1614" s="6"/>
      <c r="D1614" s="7"/>
    </row>
    <row r="1615" spans="2:4">
      <c r="B1615" s="14"/>
      <c r="C1615" s="6"/>
      <c r="D1615" s="7"/>
    </row>
    <row r="1616" spans="2:4">
      <c r="B1616" s="14"/>
      <c r="C1616" s="6"/>
      <c r="D1616" s="7"/>
    </row>
    <row r="1617" spans="2:4">
      <c r="B1617" s="14"/>
      <c r="C1617" s="6"/>
      <c r="D1617" s="7"/>
    </row>
    <row r="1618" spans="2:4">
      <c r="B1618" s="14"/>
      <c r="C1618" s="6"/>
      <c r="D1618" s="7"/>
    </row>
    <row r="1619" spans="2:4">
      <c r="B1619" s="14"/>
      <c r="C1619" s="6"/>
      <c r="D1619" s="7"/>
    </row>
    <row r="1620" spans="2:4">
      <c r="B1620" s="14"/>
      <c r="C1620" s="6"/>
      <c r="D1620" s="7"/>
    </row>
    <row r="1621" spans="2:4">
      <c r="B1621" s="14"/>
      <c r="C1621" s="6"/>
      <c r="D1621" s="7"/>
    </row>
    <row r="1622" spans="2:4">
      <c r="B1622" s="14"/>
      <c r="C1622" s="6"/>
      <c r="D1622" s="7"/>
    </row>
    <row r="1623" spans="2:4">
      <c r="B1623" s="14"/>
      <c r="C1623" s="6"/>
      <c r="D1623" s="7"/>
    </row>
    <row r="1624" spans="2:4">
      <c r="B1624" s="14"/>
      <c r="C1624" s="6"/>
      <c r="D1624" s="7"/>
    </row>
    <row r="1625" spans="2:4">
      <c r="B1625" s="14"/>
      <c r="C1625" s="6"/>
      <c r="D1625" s="7"/>
    </row>
    <row r="1626" spans="2:4">
      <c r="B1626" s="14"/>
      <c r="C1626" s="6"/>
      <c r="D1626" s="7"/>
    </row>
    <row r="1627" spans="2:4">
      <c r="B1627" s="14"/>
      <c r="C1627" s="6"/>
      <c r="D1627" s="7"/>
    </row>
    <row r="1628" spans="2:4">
      <c r="B1628" s="14"/>
      <c r="C1628" s="6"/>
      <c r="D1628" s="7"/>
    </row>
    <row r="1629" spans="2:4">
      <c r="B1629" s="14"/>
      <c r="C1629" s="6"/>
      <c r="D1629" s="7"/>
    </row>
    <row r="1630" spans="2:4">
      <c r="B1630" s="14"/>
      <c r="C1630" s="6"/>
      <c r="D1630" s="7"/>
    </row>
    <row r="1631" spans="2:4">
      <c r="B1631" s="14"/>
      <c r="C1631" s="6"/>
      <c r="D1631" s="7"/>
    </row>
    <row r="1632" spans="2:4">
      <c r="B1632" s="14"/>
      <c r="C1632" s="6"/>
      <c r="D1632" s="7"/>
    </row>
    <row r="1633" spans="2:4">
      <c r="B1633" s="14"/>
      <c r="C1633" s="6"/>
      <c r="D1633" s="7"/>
    </row>
    <row r="1634" spans="2:4">
      <c r="B1634" s="14"/>
      <c r="C1634" s="6"/>
      <c r="D1634" s="7"/>
    </row>
    <row r="1635" spans="2:4">
      <c r="B1635" s="14"/>
      <c r="C1635" s="6"/>
      <c r="D1635" s="7"/>
    </row>
    <row r="1636" spans="2:4">
      <c r="B1636" s="14"/>
      <c r="C1636" s="6"/>
      <c r="D1636" s="7"/>
    </row>
    <row r="1637" spans="2:4">
      <c r="B1637" s="14"/>
      <c r="C1637" s="6"/>
      <c r="D1637" s="7"/>
    </row>
    <row r="1638" spans="2:4">
      <c r="B1638" s="14"/>
      <c r="C1638" s="6"/>
      <c r="D1638" s="7"/>
    </row>
    <row r="1639" spans="2:4">
      <c r="B1639" s="14"/>
      <c r="C1639" s="6"/>
      <c r="D1639" s="7"/>
    </row>
    <row r="1640" spans="2:4">
      <c r="B1640" s="14"/>
      <c r="C1640" s="6"/>
      <c r="D1640" s="7"/>
    </row>
    <row r="1641" spans="2:4">
      <c r="B1641" s="14"/>
      <c r="C1641" s="6"/>
      <c r="D1641" s="7"/>
    </row>
    <row r="1642" spans="2:4">
      <c r="B1642" s="14"/>
      <c r="C1642" s="6"/>
      <c r="D1642" s="7"/>
    </row>
    <row r="1643" spans="2:4">
      <c r="B1643" s="14"/>
      <c r="C1643" s="6"/>
      <c r="D1643" s="7"/>
    </row>
    <row r="1644" spans="2:4">
      <c r="B1644" s="14"/>
      <c r="C1644" s="6"/>
      <c r="D1644" s="7"/>
    </row>
    <row r="1645" spans="2:4">
      <c r="B1645" s="14"/>
      <c r="C1645" s="6"/>
      <c r="D1645" s="7"/>
    </row>
    <row r="1646" spans="2:4">
      <c r="B1646" s="14"/>
      <c r="C1646" s="6"/>
      <c r="D1646" s="7"/>
    </row>
    <row r="1647" spans="2:4">
      <c r="B1647" s="14"/>
      <c r="C1647" s="6"/>
      <c r="D1647" s="7"/>
    </row>
    <row r="1648" spans="2:4">
      <c r="B1648" s="14"/>
      <c r="C1648" s="6"/>
      <c r="D1648" s="7"/>
    </row>
    <row r="1649" spans="2:4">
      <c r="B1649" s="14"/>
      <c r="C1649" s="6"/>
      <c r="D1649" s="7"/>
    </row>
    <row r="1650" spans="2:4">
      <c r="B1650" s="14"/>
      <c r="C1650" s="6"/>
      <c r="D1650" s="7"/>
    </row>
    <row r="1651" spans="2:4">
      <c r="B1651" s="14"/>
      <c r="C1651" s="6"/>
      <c r="D1651" s="7"/>
    </row>
    <row r="1652" spans="2:4">
      <c r="B1652" s="14"/>
      <c r="C1652" s="6"/>
      <c r="D1652" s="7"/>
    </row>
    <row r="1653" spans="2:4">
      <c r="B1653" s="14"/>
      <c r="C1653" s="6"/>
      <c r="D1653" s="7"/>
    </row>
    <row r="1654" spans="2:4">
      <c r="B1654" s="14"/>
      <c r="C1654" s="6"/>
      <c r="D1654" s="7"/>
    </row>
    <row r="1655" spans="2:4">
      <c r="B1655" s="14"/>
      <c r="C1655" s="6"/>
      <c r="D1655" s="7"/>
    </row>
    <row r="1656" spans="2:4">
      <c r="B1656" s="14"/>
      <c r="C1656" s="6"/>
      <c r="D1656" s="7"/>
    </row>
    <row r="1657" spans="2:4">
      <c r="B1657" s="14"/>
      <c r="C1657" s="6"/>
      <c r="D1657" s="7"/>
    </row>
    <row r="1658" spans="2:4">
      <c r="B1658" s="14"/>
      <c r="C1658" s="6"/>
      <c r="D1658" s="7"/>
    </row>
    <row r="1659" spans="2:4">
      <c r="B1659" s="14"/>
      <c r="C1659" s="6"/>
      <c r="D1659" s="7"/>
    </row>
    <row r="1660" spans="2:4">
      <c r="B1660" s="14"/>
      <c r="C1660" s="6"/>
      <c r="D1660" s="7"/>
    </row>
    <row r="1661" spans="2:4">
      <c r="B1661" s="14"/>
      <c r="C1661" s="6"/>
      <c r="D1661" s="7"/>
    </row>
    <row r="1662" spans="2:4">
      <c r="B1662" s="14"/>
      <c r="C1662" s="6"/>
      <c r="D1662" s="7"/>
    </row>
    <row r="1663" spans="2:4">
      <c r="B1663" s="14"/>
      <c r="C1663" s="6"/>
      <c r="D1663" s="7"/>
    </row>
    <row r="1664" spans="2:4">
      <c r="B1664" s="14"/>
      <c r="C1664" s="6"/>
      <c r="D1664" s="7"/>
    </row>
    <row r="1665" spans="2:4">
      <c r="B1665" s="14"/>
      <c r="C1665" s="6"/>
      <c r="D1665" s="7"/>
    </row>
    <row r="1666" spans="2:4">
      <c r="B1666" s="14"/>
      <c r="C1666" s="6"/>
      <c r="D1666" s="7"/>
    </row>
    <row r="1667" spans="2:4">
      <c r="B1667" s="14"/>
      <c r="C1667" s="6"/>
      <c r="D1667" s="7"/>
    </row>
    <row r="1668" spans="2:4">
      <c r="B1668" s="14"/>
      <c r="C1668" s="6"/>
      <c r="D1668" s="7"/>
    </row>
    <row r="1669" spans="2:4">
      <c r="B1669" s="14"/>
      <c r="C1669" s="6"/>
      <c r="D1669" s="7"/>
    </row>
    <row r="1670" spans="2:4">
      <c r="B1670" s="14"/>
      <c r="C1670" s="6"/>
      <c r="D1670" s="7"/>
    </row>
    <row r="1671" spans="2:4">
      <c r="B1671" s="14"/>
      <c r="C1671" s="6"/>
      <c r="D1671" s="7"/>
    </row>
    <row r="1672" spans="2:4">
      <c r="B1672" s="14"/>
      <c r="C1672" s="6"/>
      <c r="D1672" s="7"/>
    </row>
    <row r="1673" spans="2:4">
      <c r="B1673" s="14"/>
      <c r="C1673" s="6"/>
      <c r="D1673" s="7"/>
    </row>
    <row r="1674" spans="2:4">
      <c r="B1674" s="14"/>
      <c r="C1674" s="6"/>
      <c r="D1674" s="7"/>
    </row>
    <row r="1675" spans="2:4">
      <c r="B1675" s="14"/>
      <c r="C1675" s="6"/>
      <c r="D1675" s="7"/>
    </row>
    <row r="1676" spans="2:4">
      <c r="B1676" s="14"/>
      <c r="C1676" s="6"/>
      <c r="D1676" s="7"/>
    </row>
    <row r="1677" spans="2:4">
      <c r="B1677" s="14"/>
      <c r="C1677" s="6"/>
      <c r="D1677" s="7"/>
    </row>
    <row r="1678" spans="2:4">
      <c r="B1678" s="14"/>
      <c r="C1678" s="6"/>
      <c r="D1678" s="7"/>
    </row>
    <row r="1679" spans="2:4">
      <c r="B1679" s="14"/>
      <c r="C1679" s="6"/>
      <c r="D1679" s="7"/>
    </row>
    <row r="1680" spans="2:4">
      <c r="B1680" s="14"/>
      <c r="C1680" s="6"/>
      <c r="D1680" s="7"/>
    </row>
    <row r="1681" spans="2:4">
      <c r="B1681" s="14"/>
      <c r="C1681" s="6"/>
      <c r="D1681" s="7"/>
    </row>
    <row r="1682" spans="2:4">
      <c r="B1682" s="14"/>
      <c r="C1682" s="6"/>
      <c r="D1682" s="7"/>
    </row>
    <row r="1683" spans="2:4">
      <c r="B1683" s="14"/>
      <c r="C1683" s="6"/>
      <c r="D1683" s="7"/>
    </row>
    <row r="1684" spans="2:4">
      <c r="B1684" s="14"/>
      <c r="C1684" s="6"/>
      <c r="D1684" s="7"/>
    </row>
    <row r="1685" spans="2:4">
      <c r="B1685" s="14"/>
      <c r="C1685" s="6"/>
      <c r="D1685" s="7"/>
    </row>
    <row r="1686" spans="2:4">
      <c r="B1686" s="14"/>
      <c r="C1686" s="6"/>
      <c r="D1686" s="7"/>
    </row>
    <row r="1687" spans="2:4">
      <c r="B1687" s="14"/>
      <c r="C1687" s="6"/>
      <c r="D1687" s="7"/>
    </row>
    <row r="1688" spans="2:4">
      <c r="B1688" s="14"/>
      <c r="C1688" s="6"/>
      <c r="D1688" s="7"/>
    </row>
    <row r="1689" spans="2:4">
      <c r="B1689" s="14"/>
      <c r="C1689" s="6"/>
      <c r="D1689" s="7"/>
    </row>
    <row r="1690" spans="2:4">
      <c r="B1690" s="14"/>
      <c r="C1690" s="6"/>
      <c r="D1690" s="7"/>
    </row>
    <row r="1691" spans="2:4">
      <c r="B1691" s="14"/>
      <c r="C1691" s="6"/>
      <c r="D1691" s="7"/>
    </row>
    <row r="1692" spans="2:4">
      <c r="B1692" s="14"/>
      <c r="C1692" s="6"/>
      <c r="D1692" s="7"/>
    </row>
    <row r="1693" spans="2:4">
      <c r="B1693" s="14"/>
      <c r="C1693" s="6"/>
      <c r="D1693" s="7"/>
    </row>
    <row r="1694" spans="2:4">
      <c r="B1694" s="14"/>
      <c r="C1694" s="6"/>
      <c r="D1694" s="7"/>
    </row>
    <row r="1695" spans="2:4">
      <c r="B1695" s="14"/>
      <c r="C1695" s="6"/>
      <c r="D1695" s="7"/>
    </row>
    <row r="1696" spans="2:4">
      <c r="B1696" s="14"/>
      <c r="C1696" s="6"/>
      <c r="D1696" s="7"/>
    </row>
    <row r="1697" spans="2:4">
      <c r="B1697" s="14"/>
      <c r="C1697" s="6"/>
      <c r="D1697" s="7"/>
    </row>
    <row r="1698" spans="2:4">
      <c r="B1698" s="14"/>
      <c r="C1698" s="6"/>
      <c r="D1698" s="7"/>
    </row>
    <row r="1699" spans="2:4">
      <c r="B1699" s="14"/>
      <c r="C1699" s="6"/>
      <c r="D1699" s="7"/>
    </row>
    <row r="1700" spans="2:4">
      <c r="B1700" s="14"/>
      <c r="C1700" s="6"/>
      <c r="D1700" s="7"/>
    </row>
    <row r="1701" spans="2:4">
      <c r="B1701" s="14"/>
      <c r="C1701" s="6"/>
      <c r="D1701" s="7"/>
    </row>
    <row r="1702" spans="2:4">
      <c r="B1702" s="14"/>
      <c r="C1702" s="6"/>
      <c r="D1702" s="7"/>
    </row>
    <row r="1703" spans="2:4">
      <c r="B1703" s="14"/>
      <c r="C1703" s="6"/>
      <c r="D1703" s="7"/>
    </row>
    <row r="1704" spans="2:4">
      <c r="B1704" s="14"/>
      <c r="C1704" s="6"/>
      <c r="D1704" s="7"/>
    </row>
    <row r="1705" spans="2:4">
      <c r="B1705" s="14"/>
      <c r="C1705" s="6"/>
      <c r="D1705" s="7"/>
    </row>
    <row r="1706" spans="2:4">
      <c r="B1706" s="14"/>
      <c r="C1706" s="6"/>
      <c r="D1706" s="7"/>
    </row>
    <row r="1707" spans="2:4">
      <c r="B1707" s="14"/>
      <c r="C1707" s="6"/>
      <c r="D1707" s="7"/>
    </row>
    <row r="1708" spans="2:4">
      <c r="B1708" s="14"/>
      <c r="C1708" s="6"/>
      <c r="D1708" s="7"/>
    </row>
    <row r="1709" spans="2:4">
      <c r="B1709" s="14"/>
      <c r="C1709" s="6"/>
      <c r="D1709" s="7"/>
    </row>
    <row r="1710" spans="2:4">
      <c r="B1710" s="14"/>
      <c r="C1710" s="6"/>
      <c r="D1710" s="7"/>
    </row>
    <row r="1711" spans="2:4">
      <c r="B1711" s="14"/>
      <c r="C1711" s="6"/>
      <c r="D1711" s="7"/>
    </row>
    <row r="1712" spans="2:4">
      <c r="B1712" s="14"/>
      <c r="C1712" s="6"/>
      <c r="D1712" s="7"/>
    </row>
    <row r="1713" spans="2:4">
      <c r="B1713" s="14"/>
      <c r="C1713" s="6"/>
      <c r="D1713" s="7"/>
    </row>
    <row r="1714" spans="2:4">
      <c r="B1714" s="14"/>
      <c r="C1714" s="6"/>
      <c r="D1714" s="7"/>
    </row>
    <row r="1715" spans="2:4">
      <c r="B1715" s="14"/>
      <c r="C1715" s="6"/>
      <c r="D1715" s="7"/>
    </row>
    <row r="1716" spans="2:4">
      <c r="B1716" s="14"/>
      <c r="C1716" s="6"/>
      <c r="D1716" s="7"/>
    </row>
    <row r="1717" spans="2:4">
      <c r="B1717" s="14"/>
      <c r="C1717" s="6"/>
      <c r="D1717" s="7"/>
    </row>
    <row r="1718" spans="2:4">
      <c r="B1718" s="14"/>
      <c r="C1718" s="6"/>
      <c r="D1718" s="7"/>
    </row>
    <row r="1719" spans="2:4">
      <c r="B1719" s="14"/>
      <c r="C1719" s="6"/>
      <c r="D1719" s="7"/>
    </row>
    <row r="1720" spans="2:4">
      <c r="B1720" s="14"/>
      <c r="C1720" s="6"/>
      <c r="D1720" s="7"/>
    </row>
    <row r="1721" spans="2:4">
      <c r="B1721" s="14"/>
      <c r="C1721" s="6"/>
      <c r="D1721" s="7"/>
    </row>
    <row r="1722" spans="2:4">
      <c r="B1722" s="14"/>
      <c r="C1722" s="6"/>
      <c r="D1722" s="7"/>
    </row>
    <row r="1723" spans="2:4">
      <c r="B1723" s="14"/>
      <c r="C1723" s="6"/>
      <c r="D1723" s="7"/>
    </row>
    <row r="1724" spans="2:4">
      <c r="B1724" s="14"/>
      <c r="C1724" s="6"/>
      <c r="D1724" s="7"/>
    </row>
    <row r="1725" spans="2:4">
      <c r="B1725" s="14"/>
      <c r="C1725" s="6"/>
      <c r="D1725" s="7"/>
    </row>
    <row r="1726" spans="2:4">
      <c r="B1726" s="14"/>
      <c r="C1726" s="6"/>
      <c r="D1726" s="7"/>
    </row>
    <row r="1727" spans="2:4">
      <c r="B1727" s="14"/>
      <c r="C1727" s="6"/>
      <c r="D1727" s="7"/>
    </row>
    <row r="1728" spans="2:4">
      <c r="B1728" s="14"/>
      <c r="C1728" s="6"/>
      <c r="D1728" s="7"/>
    </row>
    <row r="1729" spans="2:4">
      <c r="B1729" s="14"/>
      <c r="C1729" s="6"/>
      <c r="D1729" s="7"/>
    </row>
    <row r="1730" spans="2:4">
      <c r="B1730" s="14"/>
      <c r="C1730" s="6"/>
      <c r="D1730" s="7"/>
    </row>
    <row r="1731" spans="2:4">
      <c r="B1731" s="14"/>
      <c r="C1731" s="6"/>
      <c r="D1731" s="7"/>
    </row>
    <row r="1732" spans="2:4">
      <c r="B1732" s="14"/>
      <c r="C1732" s="6"/>
      <c r="D1732" s="7"/>
    </row>
    <row r="1733" spans="2:4">
      <c r="B1733" s="14"/>
      <c r="C1733" s="6"/>
      <c r="D1733" s="7"/>
    </row>
    <row r="1734" spans="2:4">
      <c r="B1734" s="14"/>
      <c r="C1734" s="6"/>
      <c r="D1734" s="7"/>
    </row>
    <row r="1735" spans="2:4">
      <c r="B1735" s="14"/>
      <c r="C1735" s="6"/>
      <c r="D1735" s="7"/>
    </row>
    <row r="1736" spans="2:4">
      <c r="B1736" s="14"/>
      <c r="C1736" s="6"/>
      <c r="D1736" s="7"/>
    </row>
    <row r="1737" spans="2:4">
      <c r="B1737" s="14"/>
      <c r="C1737" s="6"/>
      <c r="D1737" s="7"/>
    </row>
    <row r="1738" spans="2:4">
      <c r="B1738" s="14"/>
      <c r="C1738" s="6"/>
      <c r="D1738" s="7"/>
    </row>
    <row r="1739" spans="2:4">
      <c r="B1739" s="14"/>
      <c r="C1739" s="6"/>
      <c r="D1739" s="7"/>
    </row>
    <row r="1740" spans="2:4">
      <c r="B1740" s="14"/>
      <c r="C1740" s="6"/>
      <c r="D1740" s="7"/>
    </row>
    <row r="1741" spans="2:4">
      <c r="B1741" s="14"/>
      <c r="C1741" s="6"/>
      <c r="D1741" s="7"/>
    </row>
    <row r="1742" spans="2:4">
      <c r="B1742" s="14"/>
      <c r="C1742" s="6"/>
      <c r="D1742" s="7"/>
    </row>
    <row r="1743" spans="2:4">
      <c r="B1743" s="14"/>
      <c r="C1743" s="6"/>
      <c r="D1743" s="7"/>
    </row>
    <row r="1744" spans="2:4">
      <c r="B1744" s="14"/>
      <c r="C1744" s="6"/>
      <c r="D1744" s="7"/>
    </row>
    <row r="1745" spans="2:4">
      <c r="B1745" s="14"/>
      <c r="C1745" s="6"/>
      <c r="D1745" s="7"/>
    </row>
    <row r="1746" spans="2:4">
      <c r="B1746" s="14"/>
      <c r="C1746" s="6"/>
      <c r="D1746" s="7"/>
    </row>
    <row r="1747" spans="2:4">
      <c r="B1747" s="14"/>
      <c r="C1747" s="6"/>
      <c r="D1747" s="7"/>
    </row>
    <row r="1748" spans="2:4">
      <c r="B1748" s="14"/>
      <c r="C1748" s="6"/>
      <c r="D1748" s="7"/>
    </row>
    <row r="1749" spans="2:4">
      <c r="B1749" s="14"/>
      <c r="C1749" s="6"/>
      <c r="D1749" s="7"/>
    </row>
    <row r="1750" spans="2:4">
      <c r="B1750" s="14"/>
      <c r="C1750" s="6"/>
      <c r="D1750" s="7"/>
    </row>
    <row r="1751" spans="2:4">
      <c r="B1751" s="14"/>
      <c r="C1751" s="6"/>
      <c r="D1751" s="7"/>
    </row>
    <row r="1752" spans="2:4">
      <c r="B1752" s="14"/>
      <c r="C1752" s="6"/>
      <c r="D1752" s="7"/>
    </row>
    <row r="1753" spans="2:4">
      <c r="B1753" s="14"/>
      <c r="C1753" s="6"/>
      <c r="D1753" s="7"/>
    </row>
    <row r="1754" spans="2:4">
      <c r="B1754" s="14"/>
      <c r="C1754" s="6"/>
      <c r="D1754" s="7"/>
    </row>
    <row r="1755" spans="2:4">
      <c r="B1755" s="14"/>
      <c r="C1755" s="6"/>
      <c r="D1755" s="7"/>
    </row>
    <row r="1756" spans="2:4">
      <c r="B1756" s="14"/>
      <c r="C1756" s="6"/>
      <c r="D1756" s="7"/>
    </row>
    <row r="1757" spans="2:4">
      <c r="B1757" s="14"/>
      <c r="C1757" s="6"/>
      <c r="D1757" s="7"/>
    </row>
    <row r="1758" spans="2:4">
      <c r="B1758" s="14"/>
      <c r="C1758" s="6"/>
      <c r="D1758" s="7"/>
    </row>
    <row r="1759" spans="2:4">
      <c r="B1759" s="14"/>
      <c r="C1759" s="6"/>
      <c r="D1759" s="7"/>
    </row>
    <row r="1760" spans="2:4">
      <c r="B1760" s="14"/>
      <c r="C1760" s="6"/>
      <c r="D1760" s="7"/>
    </row>
    <row r="1761" spans="2:4">
      <c r="B1761" s="14"/>
      <c r="C1761" s="6"/>
      <c r="D1761" s="7"/>
    </row>
    <row r="1762" spans="2:4">
      <c r="B1762" s="14"/>
      <c r="C1762" s="6"/>
      <c r="D1762" s="7"/>
    </row>
    <row r="1763" spans="2:4">
      <c r="B1763" s="14"/>
      <c r="C1763" s="6"/>
      <c r="D1763" s="7"/>
    </row>
    <row r="1764" spans="2:4">
      <c r="B1764" s="14"/>
      <c r="C1764" s="6"/>
      <c r="D1764" s="7"/>
    </row>
    <row r="1765" spans="2:4">
      <c r="B1765" s="14"/>
      <c r="C1765" s="6"/>
      <c r="D1765" s="7"/>
    </row>
    <row r="1766" spans="2:4">
      <c r="B1766" s="14"/>
      <c r="C1766" s="6"/>
      <c r="D1766" s="7"/>
    </row>
    <row r="1767" spans="2:4">
      <c r="B1767" s="14"/>
      <c r="C1767" s="6"/>
      <c r="D1767" s="7"/>
    </row>
    <row r="1768" spans="2:4">
      <c r="B1768" s="14"/>
      <c r="C1768" s="6"/>
      <c r="D1768" s="7"/>
    </row>
    <row r="1769" spans="2:4">
      <c r="B1769" s="14"/>
      <c r="C1769" s="6"/>
      <c r="D1769" s="7"/>
    </row>
    <row r="1770" spans="2:4">
      <c r="B1770" s="14"/>
      <c r="C1770" s="6"/>
      <c r="D1770" s="7"/>
    </row>
    <row r="1771" spans="2:4">
      <c r="B1771" s="14"/>
      <c r="C1771" s="6"/>
      <c r="D1771" s="7"/>
    </row>
    <row r="1772" spans="2:4">
      <c r="B1772" s="14"/>
      <c r="C1772" s="6"/>
      <c r="D1772" s="7"/>
    </row>
    <row r="1773" spans="2:4">
      <c r="B1773" s="14"/>
      <c r="C1773" s="6"/>
      <c r="D1773" s="7"/>
    </row>
    <row r="1774" spans="2:4">
      <c r="B1774" s="14"/>
      <c r="C1774" s="6"/>
      <c r="D1774" s="7"/>
    </row>
    <row r="1775" spans="2:4">
      <c r="B1775" s="14"/>
      <c r="C1775" s="6"/>
      <c r="D1775" s="7"/>
    </row>
    <row r="1776" spans="2:4">
      <c r="B1776" s="14"/>
      <c r="C1776" s="6"/>
      <c r="D1776" s="7"/>
    </row>
    <row r="1777" spans="2:4">
      <c r="B1777" s="14"/>
      <c r="C1777" s="6"/>
      <c r="D1777" s="7"/>
    </row>
    <row r="1778" spans="2:4">
      <c r="B1778" s="14"/>
      <c r="C1778" s="6"/>
      <c r="D1778" s="7"/>
    </row>
    <row r="1779" spans="2:4">
      <c r="B1779" s="14"/>
      <c r="C1779" s="6"/>
      <c r="D1779" s="7"/>
    </row>
    <row r="1780" spans="2:4">
      <c r="B1780" s="14"/>
      <c r="C1780" s="6"/>
      <c r="D1780" s="7"/>
    </row>
    <row r="1781" spans="2:4">
      <c r="B1781" s="14"/>
      <c r="C1781" s="6"/>
      <c r="D1781" s="7"/>
    </row>
    <row r="1782" spans="2:4">
      <c r="B1782" s="14"/>
      <c r="C1782" s="6"/>
      <c r="D1782" s="7"/>
    </row>
    <row r="1783" spans="2:4">
      <c r="B1783" s="14"/>
      <c r="C1783" s="6"/>
      <c r="D1783" s="7"/>
    </row>
    <row r="1784" spans="2:4">
      <c r="B1784" s="14"/>
      <c r="C1784" s="6"/>
      <c r="D1784" s="7"/>
    </row>
    <row r="1785" spans="2:4">
      <c r="B1785" s="14"/>
      <c r="C1785" s="6"/>
      <c r="D1785" s="7"/>
    </row>
    <row r="1786" spans="2:4">
      <c r="B1786" s="14"/>
      <c r="C1786" s="6"/>
      <c r="D1786" s="7"/>
    </row>
    <row r="1787" spans="2:4">
      <c r="B1787" s="14"/>
      <c r="C1787" s="6"/>
      <c r="D1787" s="7"/>
    </row>
    <row r="1788" spans="2:4">
      <c r="B1788" s="14"/>
      <c r="C1788" s="6"/>
      <c r="D1788" s="7"/>
    </row>
    <row r="1789" spans="2:4">
      <c r="B1789" s="14"/>
      <c r="C1789" s="6"/>
      <c r="D1789" s="7"/>
    </row>
    <row r="1790" spans="2:4">
      <c r="B1790" s="14"/>
      <c r="C1790" s="6"/>
      <c r="D1790" s="7"/>
    </row>
    <row r="1791" spans="2:4">
      <c r="B1791" s="14"/>
      <c r="C1791" s="6"/>
      <c r="D1791" s="7"/>
    </row>
    <row r="1792" spans="2:4">
      <c r="B1792" s="14"/>
      <c r="C1792" s="6"/>
      <c r="D1792" s="7"/>
    </row>
    <row r="1793" spans="2:4">
      <c r="B1793" s="14"/>
      <c r="C1793" s="6"/>
      <c r="D1793" s="7"/>
    </row>
    <row r="1794" spans="2:4">
      <c r="B1794" s="14"/>
      <c r="C1794" s="6"/>
      <c r="D1794" s="7"/>
    </row>
    <row r="1795" spans="2:4">
      <c r="B1795" s="14"/>
      <c r="C1795" s="6"/>
      <c r="D1795" s="7"/>
    </row>
    <row r="1796" spans="2:4">
      <c r="B1796" s="14"/>
      <c r="C1796" s="6"/>
      <c r="D1796" s="7"/>
    </row>
    <row r="1797" spans="2:4">
      <c r="B1797" s="14"/>
      <c r="C1797" s="6"/>
      <c r="D1797" s="7"/>
    </row>
    <row r="1798" spans="2:4">
      <c r="B1798" s="14"/>
      <c r="C1798" s="6"/>
      <c r="D1798" s="7"/>
    </row>
    <row r="1799" spans="2:4">
      <c r="B1799" s="14"/>
      <c r="C1799" s="6"/>
      <c r="D1799" s="7"/>
    </row>
    <row r="1800" spans="2:4">
      <c r="B1800" s="14"/>
      <c r="C1800" s="6"/>
      <c r="D1800" s="7"/>
    </row>
    <row r="1801" spans="2:4">
      <c r="B1801" s="14"/>
      <c r="C1801" s="6"/>
      <c r="D1801" s="7"/>
    </row>
    <row r="1802" spans="2:4">
      <c r="B1802" s="14"/>
      <c r="C1802" s="6"/>
      <c r="D1802" s="7"/>
    </row>
    <row r="1803" spans="2:4">
      <c r="B1803" s="14"/>
      <c r="C1803" s="6"/>
      <c r="D1803" s="7"/>
    </row>
    <row r="1804" spans="2:4">
      <c r="B1804" s="14"/>
      <c r="C1804" s="6"/>
      <c r="D1804" s="7"/>
    </row>
    <row r="1805" spans="2:4">
      <c r="B1805" s="14"/>
      <c r="C1805" s="6"/>
      <c r="D1805" s="7"/>
    </row>
    <row r="1806" spans="2:4">
      <c r="B1806" s="14"/>
      <c r="C1806" s="6"/>
      <c r="D1806" s="7"/>
    </row>
    <row r="1807" spans="2:4">
      <c r="B1807" s="14"/>
      <c r="C1807" s="6"/>
      <c r="D1807" s="7"/>
    </row>
    <row r="1808" spans="2:4">
      <c r="B1808" s="14"/>
      <c r="C1808" s="6"/>
      <c r="D1808" s="7"/>
    </row>
    <row r="1809" spans="2:4">
      <c r="B1809" s="14"/>
      <c r="C1809" s="6"/>
      <c r="D1809" s="7"/>
    </row>
    <row r="1810" spans="2:4">
      <c r="B1810" s="14"/>
      <c r="C1810" s="6"/>
      <c r="D1810" s="7"/>
    </row>
    <row r="1811" spans="2:4">
      <c r="B1811" s="14"/>
      <c r="C1811" s="6"/>
      <c r="D1811" s="7"/>
    </row>
    <row r="1812" spans="2:4">
      <c r="B1812" s="14"/>
      <c r="C1812" s="6"/>
      <c r="D1812" s="7"/>
    </row>
    <row r="1813" spans="2:4">
      <c r="B1813" s="14"/>
      <c r="C1813" s="6"/>
      <c r="D1813" s="7"/>
    </row>
    <row r="1814" spans="2:4">
      <c r="B1814" s="14"/>
      <c r="C1814" s="6"/>
      <c r="D1814" s="7"/>
    </row>
    <row r="1815" spans="2:4">
      <c r="B1815" s="14"/>
      <c r="C1815" s="6"/>
      <c r="D1815" s="7"/>
    </row>
    <row r="1816" spans="2:4">
      <c r="B1816" s="14"/>
      <c r="C1816" s="6"/>
      <c r="D1816" s="7"/>
    </row>
    <row r="1817" spans="2:4">
      <c r="B1817" s="14"/>
      <c r="C1817" s="6"/>
      <c r="D1817" s="7"/>
    </row>
    <row r="1818" spans="2:4">
      <c r="B1818" s="14"/>
      <c r="C1818" s="6"/>
      <c r="D1818" s="7"/>
    </row>
    <row r="1819" spans="2:4">
      <c r="B1819" s="14"/>
      <c r="C1819" s="6"/>
      <c r="D1819" s="7"/>
    </row>
    <row r="1820" spans="2:4">
      <c r="B1820" s="14"/>
      <c r="C1820" s="6"/>
      <c r="D1820" s="7"/>
    </row>
    <row r="1821" spans="2:4">
      <c r="B1821" s="14"/>
      <c r="C1821" s="6"/>
      <c r="D1821" s="7"/>
    </row>
    <row r="1822" spans="2:4">
      <c r="B1822" s="14"/>
      <c r="C1822" s="6"/>
      <c r="D1822" s="7"/>
    </row>
    <row r="1823" spans="2:4">
      <c r="B1823" s="14"/>
      <c r="C1823" s="6"/>
      <c r="D1823" s="7"/>
    </row>
    <row r="1824" spans="2:4">
      <c r="B1824" s="14"/>
      <c r="C1824" s="6"/>
      <c r="D1824" s="7"/>
    </row>
    <row r="1825" spans="2:4">
      <c r="B1825" s="14"/>
      <c r="C1825" s="6"/>
      <c r="D1825" s="7"/>
    </row>
    <row r="1826" spans="2:4">
      <c r="B1826" s="14"/>
      <c r="C1826" s="6"/>
      <c r="D1826" s="7"/>
    </row>
    <row r="1827" spans="2:4">
      <c r="B1827" s="14"/>
      <c r="C1827" s="6"/>
      <c r="D1827" s="7"/>
    </row>
    <row r="1828" spans="2:4">
      <c r="B1828" s="14"/>
      <c r="C1828" s="6"/>
      <c r="D1828" s="7"/>
    </row>
    <row r="1829" spans="2:4">
      <c r="B1829" s="14"/>
      <c r="C1829" s="6"/>
      <c r="D1829" s="7"/>
    </row>
    <row r="1830" spans="2:4">
      <c r="B1830" s="14"/>
      <c r="C1830" s="6"/>
      <c r="D1830" s="7"/>
    </row>
    <row r="1831" spans="2:4">
      <c r="B1831" s="14"/>
      <c r="C1831" s="6"/>
      <c r="D1831" s="7"/>
    </row>
    <row r="1832" spans="2:4">
      <c r="B1832" s="14"/>
      <c r="C1832" s="6"/>
      <c r="D1832" s="7"/>
    </row>
    <row r="1833" spans="2:4">
      <c r="B1833" s="14"/>
      <c r="C1833" s="6"/>
      <c r="D1833" s="7"/>
    </row>
    <row r="1834" spans="2:4">
      <c r="B1834" s="14"/>
      <c r="C1834" s="6"/>
      <c r="D1834" s="7"/>
    </row>
    <row r="1835" spans="2:4">
      <c r="B1835" s="14"/>
      <c r="C1835" s="6"/>
      <c r="D1835" s="7"/>
    </row>
    <row r="1836" spans="2:4">
      <c r="B1836" s="14"/>
      <c r="C1836" s="6"/>
      <c r="D1836" s="7"/>
    </row>
    <row r="1837" spans="2:4">
      <c r="B1837" s="14"/>
      <c r="C1837" s="6"/>
      <c r="D1837" s="7"/>
    </row>
    <row r="1838" spans="2:4">
      <c r="B1838" s="14"/>
      <c r="C1838" s="6"/>
      <c r="D1838" s="7"/>
    </row>
    <row r="1839" spans="2:4">
      <c r="B1839" s="14"/>
      <c r="C1839" s="6"/>
      <c r="D1839" s="7"/>
    </row>
    <row r="1840" spans="2:4">
      <c r="B1840" s="14"/>
      <c r="C1840" s="6"/>
      <c r="D1840" s="7"/>
    </row>
    <row r="1841" spans="2:4">
      <c r="B1841" s="14"/>
      <c r="C1841" s="6"/>
      <c r="D1841" s="7"/>
    </row>
    <row r="1842" spans="2:4">
      <c r="B1842" s="14"/>
      <c r="C1842" s="6"/>
      <c r="D1842" s="7"/>
    </row>
    <row r="1843" spans="2:4">
      <c r="B1843" s="14"/>
      <c r="C1843" s="6"/>
      <c r="D1843" s="7"/>
    </row>
    <row r="1844" spans="2:4">
      <c r="B1844" s="14"/>
      <c r="C1844" s="6"/>
      <c r="D1844" s="7"/>
    </row>
    <row r="1845" spans="2:4">
      <c r="B1845" s="14"/>
      <c r="C1845" s="6"/>
      <c r="D1845" s="7"/>
    </row>
    <row r="1846" spans="2:4">
      <c r="B1846" s="14"/>
      <c r="C1846" s="6"/>
      <c r="D1846" s="7"/>
    </row>
    <row r="1847" spans="2:4">
      <c r="B1847" s="14"/>
      <c r="C1847" s="6"/>
      <c r="D1847" s="7"/>
    </row>
    <row r="1848" spans="2:4">
      <c r="B1848" s="14"/>
      <c r="C1848" s="6"/>
      <c r="D1848" s="7"/>
    </row>
    <row r="1849" spans="2:4">
      <c r="B1849" s="14"/>
      <c r="C1849" s="6"/>
      <c r="D1849" s="7"/>
    </row>
    <row r="1850" spans="2:4">
      <c r="B1850" s="14"/>
      <c r="C1850" s="6"/>
      <c r="D1850" s="7"/>
    </row>
    <row r="1851" spans="2:4">
      <c r="B1851" s="14"/>
      <c r="C1851" s="6"/>
      <c r="D1851" s="7"/>
    </row>
    <row r="1852" spans="2:4">
      <c r="B1852" s="14"/>
      <c r="C1852" s="6"/>
      <c r="D1852" s="7"/>
    </row>
    <row r="1853" spans="2:4">
      <c r="B1853" s="14"/>
      <c r="C1853" s="6"/>
      <c r="D1853" s="7"/>
    </row>
    <row r="1854" spans="2:4">
      <c r="B1854" s="14"/>
      <c r="C1854" s="6"/>
      <c r="D1854" s="7"/>
    </row>
    <row r="1855" spans="2:4">
      <c r="B1855" s="14"/>
      <c r="C1855" s="6"/>
      <c r="D1855" s="7"/>
    </row>
    <row r="1856" spans="2:4">
      <c r="B1856" s="14"/>
      <c r="C1856" s="6"/>
      <c r="D1856" s="7"/>
    </row>
    <row r="1857" spans="2:4">
      <c r="B1857" s="14"/>
      <c r="C1857" s="6"/>
      <c r="D1857" s="7"/>
    </row>
    <row r="1858" spans="2:4">
      <c r="B1858" s="14"/>
      <c r="C1858" s="6"/>
      <c r="D1858" s="7"/>
    </row>
    <row r="1859" spans="2:4">
      <c r="B1859" s="14"/>
      <c r="C1859" s="6"/>
      <c r="D1859" s="7"/>
    </row>
    <row r="1860" spans="2:4">
      <c r="B1860" s="14"/>
      <c r="C1860" s="6"/>
      <c r="D1860" s="7"/>
    </row>
    <row r="1861" spans="2:4">
      <c r="B1861" s="14"/>
      <c r="C1861" s="6"/>
      <c r="D1861" s="7"/>
    </row>
    <row r="1862" spans="2:4">
      <c r="B1862" s="14"/>
      <c r="C1862" s="6"/>
      <c r="D1862" s="7"/>
    </row>
    <row r="1863" spans="2:4">
      <c r="B1863" s="14"/>
      <c r="C1863" s="6"/>
      <c r="D1863" s="7"/>
    </row>
    <row r="1864" spans="2:4">
      <c r="B1864" s="14"/>
      <c r="C1864" s="6"/>
      <c r="D1864" s="7"/>
    </row>
    <row r="1865" spans="2:4">
      <c r="B1865" s="14"/>
      <c r="C1865" s="6"/>
      <c r="D1865" s="7"/>
    </row>
    <row r="1866" spans="2:4">
      <c r="B1866" s="14"/>
      <c r="C1866" s="6"/>
      <c r="D1866" s="7"/>
    </row>
    <row r="1867" spans="2:4">
      <c r="B1867" s="14"/>
      <c r="C1867" s="6"/>
      <c r="D1867" s="7"/>
    </row>
    <row r="1868" spans="2:4">
      <c r="B1868" s="14"/>
      <c r="C1868" s="6"/>
      <c r="D1868" s="7"/>
    </row>
    <row r="1869" spans="2:4">
      <c r="B1869" s="14"/>
      <c r="C1869" s="6"/>
      <c r="D1869" s="7"/>
    </row>
    <row r="1870" spans="2:4">
      <c r="B1870" s="14"/>
      <c r="C1870" s="6"/>
      <c r="D1870" s="7"/>
    </row>
    <row r="1871" spans="2:4">
      <c r="B1871" s="14"/>
      <c r="C1871" s="6"/>
      <c r="D1871" s="7"/>
    </row>
    <row r="1872" spans="2:4">
      <c r="B1872" s="14"/>
      <c r="C1872" s="6"/>
      <c r="D1872" s="7"/>
    </row>
    <row r="1873" spans="2:4">
      <c r="B1873" s="14"/>
      <c r="C1873" s="6"/>
      <c r="D1873" s="7"/>
    </row>
    <row r="1874" spans="2:4">
      <c r="B1874" s="14"/>
      <c r="C1874" s="6"/>
      <c r="D1874" s="7"/>
    </row>
    <row r="1875" spans="2:4">
      <c r="B1875" s="14"/>
      <c r="C1875" s="6"/>
      <c r="D1875" s="7"/>
    </row>
    <row r="1876" spans="2:4">
      <c r="B1876" s="14"/>
      <c r="C1876" s="6"/>
      <c r="D1876" s="7"/>
    </row>
    <row r="1877" spans="2:4">
      <c r="B1877" s="14"/>
      <c r="C1877" s="6"/>
      <c r="D1877" s="7"/>
    </row>
    <row r="1878" spans="2:4">
      <c r="B1878" s="14"/>
      <c r="C1878" s="6"/>
      <c r="D1878" s="7"/>
    </row>
    <row r="1879" spans="2:4">
      <c r="B1879" s="14"/>
      <c r="C1879" s="6"/>
      <c r="D1879" s="7"/>
    </row>
    <row r="1880" spans="2:4">
      <c r="B1880" s="14"/>
      <c r="C1880" s="6"/>
      <c r="D1880" s="7"/>
    </row>
    <row r="1881" spans="2:4">
      <c r="B1881" s="14"/>
      <c r="C1881" s="6"/>
      <c r="D1881" s="7"/>
    </row>
    <row r="1882" spans="2:4">
      <c r="B1882" s="14"/>
      <c r="C1882" s="6"/>
      <c r="D1882" s="7"/>
    </row>
    <row r="1883" spans="2:4">
      <c r="B1883" s="14"/>
      <c r="C1883" s="6"/>
      <c r="D1883" s="7"/>
    </row>
    <row r="1884" spans="2:4">
      <c r="B1884" s="14"/>
      <c r="C1884" s="6"/>
      <c r="D1884" s="7"/>
    </row>
    <row r="1885" spans="2:4">
      <c r="B1885" s="14"/>
      <c r="C1885" s="6"/>
      <c r="D1885" s="7"/>
    </row>
    <row r="1886" spans="2:4">
      <c r="B1886" s="14"/>
      <c r="C1886" s="6"/>
      <c r="D1886" s="7"/>
    </row>
    <row r="1887" spans="2:4">
      <c r="B1887" s="14"/>
      <c r="C1887" s="6"/>
      <c r="D1887" s="7"/>
    </row>
    <row r="1888" spans="2:4">
      <c r="B1888" s="14"/>
      <c r="C1888" s="6"/>
      <c r="D1888" s="7"/>
    </row>
    <row r="1889" spans="2:4">
      <c r="B1889" s="14"/>
      <c r="C1889" s="6"/>
      <c r="D1889" s="7"/>
    </row>
    <row r="1890" spans="2:4">
      <c r="B1890" s="14"/>
      <c r="C1890" s="6"/>
      <c r="D1890" s="7"/>
    </row>
    <row r="1891" spans="2:4">
      <c r="B1891" s="14"/>
      <c r="C1891" s="6"/>
      <c r="D1891" s="7"/>
    </row>
    <row r="1892" spans="2:4">
      <c r="B1892" s="14"/>
      <c r="C1892" s="6"/>
      <c r="D1892" s="7"/>
    </row>
    <row r="1893" spans="2:4">
      <c r="B1893" s="14"/>
      <c r="C1893" s="6"/>
      <c r="D1893" s="7"/>
    </row>
    <row r="1894" spans="2:4">
      <c r="B1894" s="14"/>
      <c r="C1894" s="6"/>
      <c r="D1894" s="7"/>
    </row>
    <row r="1895" spans="2:4">
      <c r="B1895" s="14"/>
      <c r="C1895" s="6"/>
      <c r="D1895" s="7"/>
    </row>
    <row r="1896" spans="2:4">
      <c r="B1896" s="14"/>
      <c r="C1896" s="6"/>
      <c r="D1896" s="7"/>
    </row>
    <row r="1897" spans="2:4">
      <c r="B1897" s="14"/>
      <c r="C1897" s="6"/>
      <c r="D1897" s="7"/>
    </row>
    <row r="1898" spans="2:4">
      <c r="B1898" s="14"/>
      <c r="C1898" s="6"/>
      <c r="D1898" s="7"/>
    </row>
    <row r="1899" spans="2:4">
      <c r="B1899" s="14"/>
      <c r="C1899" s="6"/>
      <c r="D1899" s="7"/>
    </row>
    <row r="1900" spans="2:4">
      <c r="B1900" s="14"/>
      <c r="C1900" s="6"/>
      <c r="D1900" s="7"/>
    </row>
    <row r="1901" spans="2:4">
      <c r="B1901" s="14"/>
      <c r="C1901" s="6"/>
      <c r="D1901" s="7"/>
    </row>
    <row r="1902" spans="2:4">
      <c r="B1902" s="14"/>
      <c r="C1902" s="6"/>
      <c r="D1902" s="7"/>
    </row>
    <row r="1903" spans="2:4">
      <c r="B1903" s="14"/>
      <c r="C1903" s="6"/>
      <c r="D1903" s="7"/>
    </row>
    <row r="1904" spans="2:4">
      <c r="B1904" s="14"/>
      <c r="C1904" s="6"/>
      <c r="D1904" s="7"/>
    </row>
    <row r="1905" spans="2:4">
      <c r="B1905" s="14"/>
      <c r="C1905" s="6"/>
      <c r="D1905" s="7"/>
    </row>
    <row r="1906" spans="2:4">
      <c r="B1906" s="14"/>
      <c r="C1906" s="6"/>
      <c r="D1906" s="7"/>
    </row>
    <row r="1907" spans="2:4">
      <c r="B1907" s="14"/>
      <c r="C1907" s="6"/>
      <c r="D1907" s="7"/>
    </row>
    <row r="1908" spans="2:4">
      <c r="B1908" s="14"/>
      <c r="C1908" s="6"/>
      <c r="D1908" s="7"/>
    </row>
    <row r="1909" spans="2:4">
      <c r="B1909" s="14"/>
      <c r="C1909" s="6"/>
      <c r="D1909" s="7"/>
    </row>
    <row r="1910" spans="2:4">
      <c r="B1910" s="14"/>
      <c r="C1910" s="6"/>
      <c r="D1910" s="7"/>
    </row>
    <row r="1911" spans="2:4">
      <c r="B1911" s="14"/>
      <c r="C1911" s="6"/>
      <c r="D1911" s="7"/>
    </row>
    <row r="1912" spans="2:4">
      <c r="B1912" s="14"/>
      <c r="C1912" s="6"/>
      <c r="D1912" s="7"/>
    </row>
    <row r="1913" spans="2:4">
      <c r="B1913" s="14"/>
      <c r="C1913" s="6"/>
      <c r="D1913" s="7"/>
    </row>
    <row r="1914" spans="2:4">
      <c r="B1914" s="14"/>
      <c r="C1914" s="6"/>
      <c r="D1914" s="7"/>
    </row>
    <row r="1915" spans="2:4">
      <c r="B1915" s="14"/>
      <c r="C1915" s="6"/>
      <c r="D1915" s="7"/>
    </row>
    <row r="1916" spans="2:4">
      <c r="B1916" s="14"/>
      <c r="C1916" s="6"/>
      <c r="D1916" s="7"/>
    </row>
    <row r="1917" spans="2:4">
      <c r="B1917" s="14"/>
      <c r="C1917" s="6"/>
      <c r="D1917" s="7"/>
    </row>
    <row r="1918" spans="2:4">
      <c r="B1918" s="14"/>
      <c r="C1918" s="6"/>
      <c r="D1918" s="7"/>
    </row>
    <row r="1919" spans="2:4">
      <c r="B1919" s="14"/>
      <c r="C1919" s="6"/>
      <c r="D1919" s="7"/>
    </row>
    <row r="1920" spans="2:4">
      <c r="B1920" s="14"/>
      <c r="C1920" s="6"/>
      <c r="D1920" s="7"/>
    </row>
    <row r="1921" spans="2:4">
      <c r="B1921" s="14"/>
      <c r="C1921" s="6"/>
      <c r="D1921" s="7"/>
    </row>
    <row r="1922" spans="2:4">
      <c r="B1922" s="14"/>
      <c r="C1922" s="6"/>
      <c r="D1922" s="7"/>
    </row>
    <row r="1923" spans="2:4">
      <c r="B1923" s="14"/>
      <c r="C1923" s="6"/>
      <c r="D1923" s="7"/>
    </row>
    <row r="1924" spans="2:4">
      <c r="B1924" s="14"/>
      <c r="C1924" s="6"/>
      <c r="D1924" s="7"/>
    </row>
    <row r="1925" spans="2:4">
      <c r="B1925" s="14"/>
      <c r="C1925" s="6"/>
      <c r="D1925" s="7"/>
    </row>
    <row r="1926" spans="2:4">
      <c r="B1926" s="14"/>
      <c r="C1926" s="6"/>
      <c r="D1926" s="7"/>
    </row>
    <row r="1927" spans="2:4">
      <c r="B1927" s="14"/>
      <c r="C1927" s="6"/>
      <c r="D1927" s="7"/>
    </row>
    <row r="1928" spans="2:4">
      <c r="B1928" s="14"/>
      <c r="C1928" s="6"/>
      <c r="D1928" s="7"/>
    </row>
    <row r="1929" spans="2:4">
      <c r="B1929" s="14"/>
      <c r="C1929" s="6"/>
      <c r="D1929" s="7"/>
    </row>
    <row r="1930" spans="2:4">
      <c r="B1930" s="14"/>
      <c r="C1930" s="6"/>
      <c r="D1930" s="7"/>
    </row>
    <row r="1931" spans="2:4">
      <c r="B1931" s="14"/>
      <c r="C1931" s="6"/>
      <c r="D1931" s="7"/>
    </row>
    <row r="1932" spans="2:4">
      <c r="B1932" s="14"/>
      <c r="C1932" s="6"/>
      <c r="D1932" s="7"/>
    </row>
    <row r="1933" spans="2:4">
      <c r="B1933" s="14"/>
      <c r="C1933" s="6"/>
      <c r="D1933" s="7"/>
    </row>
    <row r="1934" spans="2:4">
      <c r="B1934" s="14"/>
      <c r="C1934" s="6"/>
      <c r="D1934" s="7"/>
    </row>
    <row r="1935" spans="2:4">
      <c r="B1935" s="14"/>
      <c r="C1935" s="6"/>
      <c r="D1935" s="7"/>
    </row>
    <row r="1936" spans="2:4">
      <c r="B1936" s="14"/>
      <c r="C1936" s="6"/>
      <c r="D1936" s="7"/>
    </row>
    <row r="1937" spans="2:4">
      <c r="B1937" s="14"/>
      <c r="C1937" s="6"/>
      <c r="D1937" s="7"/>
    </row>
    <row r="1938" spans="2:4">
      <c r="B1938" s="14"/>
      <c r="C1938" s="6"/>
      <c r="D1938" s="7"/>
    </row>
    <row r="1939" spans="2:4">
      <c r="B1939" s="14"/>
      <c r="C1939" s="6"/>
      <c r="D1939" s="7"/>
    </row>
    <row r="1940" spans="2:4">
      <c r="B1940" s="14"/>
      <c r="C1940" s="6"/>
      <c r="D1940" s="7"/>
    </row>
    <row r="1941" spans="2:4">
      <c r="B1941" s="14"/>
      <c r="C1941" s="6"/>
      <c r="D1941" s="7"/>
    </row>
    <row r="1942" spans="2:4">
      <c r="B1942" s="14"/>
      <c r="C1942" s="6"/>
      <c r="D1942" s="7"/>
    </row>
    <row r="1943" spans="2:4">
      <c r="B1943" s="14"/>
      <c r="C1943" s="6"/>
      <c r="D1943" s="7"/>
    </row>
    <row r="1944" spans="2:4">
      <c r="B1944" s="14"/>
      <c r="C1944" s="6"/>
      <c r="D1944" s="7"/>
    </row>
    <row r="1945" spans="2:4">
      <c r="B1945" s="14"/>
      <c r="C1945" s="6"/>
      <c r="D1945" s="7"/>
    </row>
    <row r="1946" spans="2:4">
      <c r="B1946" s="14"/>
      <c r="C1946" s="6"/>
      <c r="D1946" s="7"/>
    </row>
    <row r="1947" spans="2:4">
      <c r="B1947" s="14"/>
      <c r="C1947" s="6"/>
      <c r="D1947" s="7"/>
    </row>
    <row r="1948" spans="2:4">
      <c r="B1948" s="14"/>
      <c r="C1948" s="6"/>
      <c r="D1948" s="7"/>
    </row>
    <row r="1949" spans="2:4">
      <c r="B1949" s="14"/>
      <c r="C1949" s="6"/>
      <c r="D1949" s="7"/>
    </row>
    <row r="1950" spans="2:4">
      <c r="B1950" s="14"/>
      <c r="C1950" s="6"/>
      <c r="D1950" s="7"/>
    </row>
    <row r="1951" spans="2:4">
      <c r="B1951" s="14"/>
      <c r="C1951" s="6"/>
      <c r="D1951" s="7"/>
    </row>
    <row r="1952" spans="2:4">
      <c r="B1952" s="14"/>
      <c r="C1952" s="6"/>
      <c r="D1952" s="7"/>
    </row>
    <row r="1953" spans="2:4">
      <c r="B1953" s="14"/>
      <c r="C1953" s="6"/>
      <c r="D1953" s="7"/>
    </row>
    <row r="1954" spans="2:4">
      <c r="B1954" s="14"/>
      <c r="C1954" s="6"/>
      <c r="D1954" s="7"/>
    </row>
    <row r="1955" spans="2:4">
      <c r="B1955" s="14"/>
      <c r="C1955" s="6"/>
      <c r="D1955" s="7"/>
    </row>
    <row r="1956" spans="2:4">
      <c r="B1956" s="14"/>
      <c r="C1956" s="6"/>
      <c r="D1956" s="7"/>
    </row>
    <row r="1957" spans="2:4">
      <c r="B1957" s="14"/>
      <c r="C1957" s="6"/>
      <c r="D1957" s="7"/>
    </row>
    <row r="1958" spans="2:4">
      <c r="B1958" s="14"/>
      <c r="C1958" s="6"/>
      <c r="D1958" s="7"/>
    </row>
    <row r="1959" spans="2:4">
      <c r="B1959" s="14"/>
      <c r="C1959" s="6"/>
      <c r="D1959" s="7"/>
    </row>
    <row r="1960" spans="2:4">
      <c r="B1960" s="14"/>
      <c r="C1960" s="6"/>
      <c r="D1960" s="7"/>
    </row>
    <row r="1961" spans="2:4">
      <c r="B1961" s="14"/>
      <c r="C1961" s="6"/>
      <c r="D1961" s="7"/>
    </row>
    <row r="1962" spans="2:4">
      <c r="B1962" s="14"/>
      <c r="C1962" s="6"/>
      <c r="D1962" s="7"/>
    </row>
    <row r="1963" spans="2:4">
      <c r="B1963" s="14"/>
      <c r="C1963" s="6"/>
      <c r="D1963" s="7"/>
    </row>
    <row r="1964" spans="2:4">
      <c r="B1964" s="14"/>
      <c r="C1964" s="6"/>
      <c r="D1964" s="7"/>
    </row>
    <row r="1965" spans="2:4">
      <c r="B1965" s="14"/>
      <c r="C1965" s="6"/>
      <c r="D1965" s="7"/>
    </row>
    <row r="1966" spans="2:4">
      <c r="B1966" s="14"/>
      <c r="C1966" s="6"/>
      <c r="D1966" s="7"/>
    </row>
    <row r="1967" spans="2:4">
      <c r="B1967" s="14"/>
      <c r="C1967" s="6"/>
      <c r="D1967" s="7"/>
    </row>
    <row r="1968" spans="2:4">
      <c r="B1968" s="14"/>
      <c r="C1968" s="6"/>
      <c r="D1968" s="7"/>
    </row>
    <row r="1969" spans="2:4">
      <c r="B1969" s="14"/>
      <c r="C1969" s="6"/>
      <c r="D1969" s="7"/>
    </row>
    <row r="1970" spans="2:4">
      <c r="B1970" s="14"/>
      <c r="C1970" s="6"/>
      <c r="D1970" s="7"/>
    </row>
    <row r="1971" spans="2:4">
      <c r="B1971" s="14"/>
      <c r="C1971" s="6"/>
      <c r="D1971" s="7"/>
    </row>
    <row r="1972" spans="2:4">
      <c r="B1972" s="14"/>
      <c r="C1972" s="6"/>
      <c r="D1972" s="7"/>
    </row>
    <row r="1973" spans="2:4">
      <c r="B1973" s="14"/>
      <c r="C1973" s="6"/>
      <c r="D1973" s="7"/>
    </row>
    <row r="1974" spans="2:4">
      <c r="B1974" s="14"/>
      <c r="C1974" s="6"/>
      <c r="D1974" s="7"/>
    </row>
    <row r="1975" spans="2:4">
      <c r="B1975" s="14"/>
      <c r="C1975" s="6"/>
      <c r="D1975" s="7"/>
    </row>
    <row r="1976" spans="2:4">
      <c r="B1976" s="14"/>
      <c r="C1976" s="6"/>
      <c r="D1976" s="7"/>
    </row>
    <row r="1977" spans="2:4">
      <c r="B1977" s="14"/>
      <c r="C1977" s="6"/>
      <c r="D1977" s="7"/>
    </row>
    <row r="1978" spans="2:4">
      <c r="B1978" s="14"/>
      <c r="C1978" s="6"/>
      <c r="D1978" s="7"/>
    </row>
    <row r="1979" spans="2:4">
      <c r="B1979" s="14"/>
      <c r="C1979" s="6"/>
      <c r="D1979" s="7"/>
    </row>
    <row r="1980" spans="2:4">
      <c r="B1980" s="14"/>
      <c r="C1980" s="6"/>
      <c r="D1980" s="7"/>
    </row>
    <row r="1981" spans="2:4">
      <c r="B1981" s="14"/>
      <c r="C1981" s="6"/>
      <c r="D1981" s="7"/>
    </row>
    <row r="1982" spans="2:4">
      <c r="B1982" s="14"/>
      <c r="C1982" s="6"/>
      <c r="D1982" s="7"/>
    </row>
    <row r="1983" spans="2:4">
      <c r="B1983" s="14"/>
      <c r="C1983" s="6"/>
      <c r="D1983" s="7"/>
    </row>
    <row r="1984" spans="2:4">
      <c r="B1984" s="14"/>
      <c r="C1984" s="6"/>
      <c r="D1984" s="7"/>
    </row>
    <row r="1985" spans="2:4">
      <c r="B1985" s="14"/>
      <c r="C1985" s="6"/>
      <c r="D1985" s="7"/>
    </row>
    <row r="1986" spans="2:4">
      <c r="B1986" s="14"/>
      <c r="C1986" s="6"/>
      <c r="D1986" s="7"/>
    </row>
    <row r="1987" spans="2:4">
      <c r="B1987" s="14"/>
      <c r="C1987" s="6"/>
      <c r="D1987" s="7"/>
    </row>
    <row r="1988" spans="2:4">
      <c r="B1988" s="14"/>
      <c r="C1988" s="6"/>
      <c r="D1988" s="7"/>
    </row>
    <row r="1989" spans="2:4">
      <c r="B1989" s="14"/>
      <c r="C1989" s="6"/>
      <c r="D1989" s="7"/>
    </row>
    <row r="1990" spans="2:4">
      <c r="B1990" s="14"/>
      <c r="C1990" s="6"/>
      <c r="D1990" s="7"/>
    </row>
    <row r="1991" spans="2:4">
      <c r="B1991" s="14"/>
      <c r="C1991" s="6"/>
      <c r="D1991" s="7"/>
    </row>
    <row r="1992" spans="2:4">
      <c r="B1992" s="14"/>
      <c r="C1992" s="6"/>
      <c r="D1992" s="7"/>
    </row>
    <row r="1993" spans="2:4">
      <c r="B1993" s="14"/>
      <c r="C1993" s="6"/>
      <c r="D1993" s="7"/>
    </row>
    <row r="1994" spans="2:4">
      <c r="B1994" s="14"/>
      <c r="C1994" s="6"/>
      <c r="D1994" s="7"/>
    </row>
  </sheetData>
  <sortState xmlns:xlrd2="http://schemas.microsoft.com/office/spreadsheetml/2017/richdata2" ref="A2:J238">
    <sortCondition descending="1" ref="D2:D238"/>
  </sortState>
  <conditionalFormatting sqref="A5716 A5783 A5787 A6504:A6507">
    <cfRule type="containsText" dxfId="0" priority="1" operator="containsText" text="TO BE PAID">
      <formula>NOT(ISERROR(SEARCH("TO BE PAID",A5716)))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F2"/>
  <sheetViews>
    <sheetView workbookViewId="0">
      <selection activeCell="A2" sqref="A2:XFD234"/>
    </sheetView>
  </sheetViews>
  <sheetFormatPr defaultColWidth="15.140625" defaultRowHeight="12.75"/>
  <cols>
    <col min="1" max="1" width="27.5703125" bestFit="1" customWidth="1"/>
    <col min="2" max="2" width="12" customWidth="1"/>
    <col min="3" max="3" width="11.28515625" style="1" bestFit="1" customWidth="1"/>
    <col min="4" max="4" width="10.140625" style="3" bestFit="1" customWidth="1"/>
    <col min="5" max="5" width="10.42578125" bestFit="1" customWidth="1"/>
    <col min="6" max="6" width="14" hidden="1" customWidth="1"/>
    <col min="7" max="7" width="20.5703125" bestFit="1" customWidth="1"/>
    <col min="8" max="8" width="33.42578125" bestFit="1" customWidth="1"/>
    <col min="9" max="9" width="11.42578125" bestFit="1" customWidth="1"/>
    <col min="10" max="12" width="8" customWidth="1"/>
    <col min="13" max="13" width="23" bestFit="1" customWidth="1"/>
    <col min="14" max="18" width="8" customWidth="1"/>
  </cols>
  <sheetData>
    <row r="1" spans="1:6" ht="15" customHeight="1">
      <c r="A1" s="48" t="s">
        <v>0</v>
      </c>
      <c r="B1" s="49" t="s">
        <v>144</v>
      </c>
      <c r="C1" s="50" t="s">
        <v>145</v>
      </c>
      <c r="D1" s="51" t="s">
        <v>146</v>
      </c>
      <c r="E1" s="52" t="s">
        <v>147</v>
      </c>
      <c r="F1" s="48" t="s">
        <v>21</v>
      </c>
    </row>
    <row r="2" spans="1:6">
      <c r="A2" t="s">
        <v>351</v>
      </c>
      <c r="B2" s="14" t="s">
        <v>352</v>
      </c>
      <c r="C2" s="6">
        <v>8574.57</v>
      </c>
      <c r="D2" s="7">
        <v>46139</v>
      </c>
      <c r="F2" t="s">
        <v>353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999"/>
  <sheetViews>
    <sheetView workbookViewId="0">
      <selection activeCell="G17" sqref="G17:H17"/>
    </sheetView>
  </sheetViews>
  <sheetFormatPr defaultRowHeight="15.75" customHeight="1"/>
  <cols>
    <col min="1" max="1" width="10.140625" style="3" bestFit="1" customWidth="1"/>
    <col min="2" max="2" width="12.42578125" bestFit="1" customWidth="1"/>
    <col min="3" max="3" width="11.5703125" style="1" bestFit="1" customWidth="1"/>
    <col min="4" max="5" width="9.140625" customWidth="1"/>
    <col min="6" max="6" width="10.140625" style="3" bestFit="1" customWidth="1"/>
    <col min="7" max="8" width="12.28515625" bestFit="1" customWidth="1"/>
    <col min="9" max="16" width="9.140625" customWidth="1"/>
    <col min="17" max="17" width="17.42578125" bestFit="1" customWidth="1"/>
  </cols>
  <sheetData>
    <row r="1" spans="1:19" ht="12.75" customHeight="1">
      <c r="A1" s="3" t="str" cm="1">
        <f t="array" ref="A1:A3">_xlfn.UNIQUE('Future payment'!D:D)</f>
        <v>Paid Date</v>
      </c>
      <c r="D1" t="s">
        <v>4</v>
      </c>
      <c r="F1" s="3" t="str" cm="1">
        <f t="array" ref="F1:F107">_xlfn.UNIQUE('Payment Summary'!D:D)</f>
        <v>Paid Date</v>
      </c>
      <c r="I1" t="s">
        <v>7</v>
      </c>
    </row>
    <row r="2" spans="1:19" ht="12.75" customHeight="1">
      <c r="A2" s="3">
        <v>46139</v>
      </c>
      <c r="B2" s="1">
        <f>SUMIF('Future payment'!D:D,'Future Summary'!A2,'Future payment'!C:C)</f>
        <v>8574.57</v>
      </c>
      <c r="C2" s="1">
        <f>VLOOKUP(A2,PAYMENTS!A:D,3,FALSE)</f>
        <v>0</v>
      </c>
      <c r="D2" t="str">
        <f t="shared" ref="D2:D17" si="0">IF(ISNA(C2),"",IF(B2=C2,"Equal","Not Equal"))</f>
        <v>Not Equal</v>
      </c>
      <c r="F2" s="3">
        <v>46133</v>
      </c>
      <c r="G2" s="1">
        <f>SUMIF('Payment Summary'!D:D,'Future Summary'!F2,'Payment Summary'!C:C)</f>
        <v>5508.98</v>
      </c>
      <c r="H2" s="1">
        <f>VLOOKUP(F2,PAYMENTS!A:C,3,FALSE)</f>
        <v>5508.98</v>
      </c>
      <c r="I2" t="str">
        <f t="shared" ref="I2:I17" si="1">IF(G2=H2,"Equal","Not Equal")</f>
        <v>Equal</v>
      </c>
    </row>
    <row r="3" spans="1:19" ht="12.75" customHeight="1">
      <c r="A3" s="3">
        <v>0</v>
      </c>
      <c r="B3" s="1">
        <f>SUMIF('Future payment'!D:D,'Future Summary'!A3,'Future payment'!C:C)</f>
        <v>0</v>
      </c>
      <c r="C3" s="1" t="e">
        <f>VLOOKUP(A3,PAYMENTS!A:D,3,FALSE)</f>
        <v>#N/A</v>
      </c>
      <c r="D3" t="str">
        <f t="shared" si="0"/>
        <v/>
      </c>
      <c r="F3" s="3">
        <v>46122</v>
      </c>
      <c r="G3" s="1">
        <f>SUMIF('Payment Summary'!D:D,'Future Summary'!F3,'Payment Summary'!C:C)</f>
        <v>7151.44</v>
      </c>
      <c r="H3" s="1">
        <f>VLOOKUP(F3,PAYMENTS!A:C,3,FALSE)</f>
        <v>7151.44</v>
      </c>
      <c r="I3" t="str">
        <f t="shared" si="1"/>
        <v>Equal</v>
      </c>
    </row>
    <row r="4" spans="1:19" ht="14.25" customHeight="1">
      <c r="B4" s="1">
        <f>SUMIF('Future payment'!D:D,'Future Summary'!A4,'Future payment'!C:C)</f>
        <v>0</v>
      </c>
      <c r="C4" s="1" t="e">
        <f>VLOOKUP(A4,PAYMENTS!A:D,3,FALSE)</f>
        <v>#N/A</v>
      </c>
      <c r="D4" t="str">
        <f t="shared" si="0"/>
        <v/>
      </c>
      <c r="F4" s="3">
        <v>46118</v>
      </c>
      <c r="G4" s="1">
        <f>SUMIF('Payment Summary'!D:D,'Future Summary'!F4,'Payment Summary'!C:C)</f>
        <v>12029.28</v>
      </c>
      <c r="H4" s="1">
        <f>VLOOKUP(F4,PAYMENTS!A:C,3,FALSE)</f>
        <v>12029.28</v>
      </c>
      <c r="I4" t="str">
        <f t="shared" si="1"/>
        <v>Equal</v>
      </c>
      <c r="P4" s="9" t="s">
        <v>354</v>
      </c>
      <c r="S4" s="3"/>
    </row>
    <row r="5" spans="1:19" ht="14.25" customHeight="1">
      <c r="B5" s="1">
        <f>SUMIF('Future payment'!D:D,'Future Summary'!A5,'Future payment'!C:C)</f>
        <v>0</v>
      </c>
      <c r="C5" s="1" t="e">
        <f>VLOOKUP(A5,PAYMENTS!A:D,3,FALSE)</f>
        <v>#N/A</v>
      </c>
      <c r="D5" t="str">
        <f t="shared" si="0"/>
        <v/>
      </c>
      <c r="F5" s="3">
        <v>46115</v>
      </c>
      <c r="G5" s="1">
        <f>SUMIF('Payment Summary'!D:D,'Future Summary'!F5,'Payment Summary'!C:C)</f>
        <v>16107.900000000001</v>
      </c>
      <c r="H5" s="1">
        <f>VLOOKUP(F5,PAYMENTS!A:C,3,FALSE)</f>
        <v>16107.9</v>
      </c>
      <c r="I5" t="str">
        <f t="shared" si="1"/>
        <v>Equal</v>
      </c>
      <c r="P5" s="9" t="s">
        <v>354</v>
      </c>
      <c r="S5" s="3"/>
    </row>
    <row r="6" spans="1:19" ht="14.25" customHeight="1">
      <c r="B6" s="1">
        <f>SUMIF('Future payment'!D:D,'Future Summary'!A6,'Future payment'!C:C)</f>
        <v>0</v>
      </c>
      <c r="C6" s="1" t="e">
        <f>VLOOKUP(A6,PAYMENTS!A:D,3,FALSE)</f>
        <v>#N/A</v>
      </c>
      <c r="D6" t="str">
        <f t="shared" si="0"/>
        <v/>
      </c>
      <c r="F6" s="3">
        <v>46112</v>
      </c>
      <c r="G6" s="1">
        <f>SUMIF('Payment Summary'!D:D,'Future Summary'!F6,'Payment Summary'!C:C)</f>
        <v>7807.69</v>
      </c>
      <c r="H6" s="1">
        <f>VLOOKUP(F6,PAYMENTS!A:C,3,FALSE)</f>
        <v>7807.69</v>
      </c>
      <c r="I6" t="str">
        <f t="shared" si="1"/>
        <v>Equal</v>
      </c>
      <c r="P6" s="9" t="s">
        <v>354</v>
      </c>
      <c r="S6" s="3"/>
    </row>
    <row r="7" spans="1:19" ht="14.25" customHeight="1">
      <c r="B7" s="1">
        <f>SUMIF('Future payment'!D:D,'Future Summary'!A7,'Future payment'!C:C)</f>
        <v>0</v>
      </c>
      <c r="C7" s="1" t="e">
        <f>VLOOKUP(A7,PAYMENTS!A:D,3,FALSE)</f>
        <v>#N/A</v>
      </c>
      <c r="D7" t="str">
        <f t="shared" si="0"/>
        <v/>
      </c>
      <c r="F7" s="3">
        <v>46101</v>
      </c>
      <c r="G7" s="1">
        <f>SUMIF('Payment Summary'!D:D,'Future Summary'!F7,'Payment Summary'!C:C)</f>
        <v>5108.17</v>
      </c>
      <c r="H7" s="1">
        <f>VLOOKUP(F7,PAYMENTS!A:C,3,FALSE)</f>
        <v>5108.17</v>
      </c>
      <c r="I7" t="str">
        <f t="shared" si="1"/>
        <v>Equal</v>
      </c>
      <c r="P7" s="9" t="s">
        <v>354</v>
      </c>
      <c r="S7" s="3"/>
    </row>
    <row r="8" spans="1:19" ht="14.25" customHeight="1">
      <c r="B8" s="1">
        <f>SUMIF('Future payment'!D:D,'Future Summary'!A8,'Future payment'!C:C)</f>
        <v>0</v>
      </c>
      <c r="C8" s="1" t="e">
        <f>VLOOKUP(A8,PAYMENTS!A:D,3,FALSE)</f>
        <v>#N/A</v>
      </c>
      <c r="D8" t="str">
        <f t="shared" si="0"/>
        <v/>
      </c>
      <c r="F8" s="3">
        <v>46099</v>
      </c>
      <c r="G8" s="1">
        <f>SUMIF('Payment Summary'!D:D,'Future Summary'!F8,'Payment Summary'!C:C)</f>
        <v>4102.46</v>
      </c>
      <c r="H8" s="1">
        <f>VLOOKUP(F8,PAYMENTS!A:C,3,FALSE)</f>
        <v>4102.46</v>
      </c>
      <c r="I8" t="str">
        <f t="shared" si="1"/>
        <v>Equal</v>
      </c>
      <c r="P8" s="9" t="s">
        <v>354</v>
      </c>
      <c r="S8" s="3"/>
    </row>
    <row r="9" spans="1:19" ht="12.75" customHeight="1">
      <c r="B9" s="1">
        <f>SUMIF('Future payment'!D:D,'Future Summary'!A9,'Future payment'!C:C)</f>
        <v>0</v>
      </c>
      <c r="C9" s="1" t="e">
        <f>VLOOKUP(A9,PAYMENTS!A:D,3,FALSE)</f>
        <v>#N/A</v>
      </c>
      <c r="D9" t="str">
        <f t="shared" si="0"/>
        <v/>
      </c>
      <c r="F9" s="3">
        <v>46094</v>
      </c>
      <c r="G9" s="1">
        <f>SUMIF('Payment Summary'!D:D,'Future Summary'!F9,'Payment Summary'!C:C)</f>
        <v>7948.52</v>
      </c>
      <c r="H9" s="1">
        <f>VLOOKUP(F9,PAYMENTS!A:C,3,FALSE)</f>
        <v>7948.52</v>
      </c>
      <c r="I9" t="str">
        <f t="shared" si="1"/>
        <v>Equal</v>
      </c>
    </row>
    <row r="10" spans="1:19" ht="12.75" customHeight="1">
      <c r="B10" s="1">
        <f>SUMIF('Future payment'!D:D,'Future Summary'!A10,'Future payment'!C:C)</f>
        <v>0</v>
      </c>
      <c r="C10" s="1" t="e">
        <f>VLOOKUP(A10,PAYMENTS!A:D,3,FALSE)</f>
        <v>#N/A</v>
      </c>
      <c r="D10" t="str">
        <f t="shared" si="0"/>
        <v/>
      </c>
      <c r="F10" s="3">
        <v>46093</v>
      </c>
      <c r="G10" s="1">
        <f>SUMIF('Payment Summary'!D:D,'Future Summary'!F10,'Payment Summary'!C:C)</f>
        <v>971.51</v>
      </c>
      <c r="H10" s="1">
        <f>VLOOKUP(F10,PAYMENTS!A:C,3,FALSE)</f>
        <v>971.51</v>
      </c>
      <c r="I10" t="str">
        <f t="shared" si="1"/>
        <v>Equal</v>
      </c>
    </row>
    <row r="11" spans="1:19" ht="12.75" customHeight="1">
      <c r="B11" s="1">
        <f>SUMIF('Future payment'!D:D,'Future Summary'!A11,'Future payment'!C:C)</f>
        <v>0</v>
      </c>
      <c r="C11" s="1" t="e">
        <f>VLOOKUP(A11,PAYMENTS!A:D,3,FALSE)</f>
        <v>#N/A</v>
      </c>
      <c r="D11" t="str">
        <f t="shared" si="0"/>
        <v/>
      </c>
      <c r="F11" s="3">
        <v>46091</v>
      </c>
      <c r="G11" s="1">
        <f>SUMIF('Payment Summary'!D:D,'Future Summary'!F11,'Payment Summary'!C:C)</f>
        <v>16150.439999999999</v>
      </c>
      <c r="H11" s="1">
        <f>VLOOKUP(F11,PAYMENTS!A:C,3,FALSE)</f>
        <v>16150.44</v>
      </c>
      <c r="I11" t="str">
        <f t="shared" si="1"/>
        <v>Equal</v>
      </c>
    </row>
    <row r="12" spans="1:19" ht="12.75" customHeight="1">
      <c r="B12" s="1">
        <f>SUMIF('Future payment'!D:D,'Future Summary'!A12,'Future payment'!C:C)</f>
        <v>0</v>
      </c>
      <c r="C12" s="1" t="e">
        <f>VLOOKUP(A12,PAYMENTS!A:D,3,FALSE)</f>
        <v>#N/A</v>
      </c>
      <c r="D12" t="str">
        <f t="shared" si="0"/>
        <v/>
      </c>
      <c r="F12" s="3">
        <v>46086</v>
      </c>
      <c r="G12" s="1">
        <f>SUMIF('Payment Summary'!D:D,'Future Summary'!F12,'Payment Summary'!C:C)</f>
        <v>8102.1600000000008</v>
      </c>
      <c r="H12" s="1">
        <f>VLOOKUP(F12,PAYMENTS!A:C,3,FALSE)</f>
        <v>8102.16</v>
      </c>
      <c r="I12" t="str">
        <f t="shared" si="1"/>
        <v>Equal</v>
      </c>
    </row>
    <row r="13" spans="1:19" ht="12.75" customHeight="1">
      <c r="B13" s="1">
        <f>SUMIF('Future payment'!D:D,'Future Summary'!A13,'Future payment'!C:C)</f>
        <v>0</v>
      </c>
      <c r="C13" s="1" t="e">
        <f>VLOOKUP(A13,PAYMENTS!A:D,3,FALSE)</f>
        <v>#N/A</v>
      </c>
      <c r="D13" t="str">
        <f t="shared" si="0"/>
        <v/>
      </c>
      <c r="F13" s="3">
        <v>46084</v>
      </c>
      <c r="G13" s="1">
        <f>SUMIF('Payment Summary'!D:D,'Future Summary'!F13,'Payment Summary'!C:C)</f>
        <v>10990.43</v>
      </c>
      <c r="H13" s="1">
        <f>VLOOKUP(F13,PAYMENTS!A:C,3,FALSE)</f>
        <v>10990.43</v>
      </c>
      <c r="I13" t="str">
        <f t="shared" si="1"/>
        <v>Equal</v>
      </c>
    </row>
    <row r="14" spans="1:19" ht="12.75" customHeight="1">
      <c r="B14" s="1">
        <f>SUMIF('Future payment'!D:D,'Future Summary'!A14,'Future payment'!C:C)</f>
        <v>0</v>
      </c>
      <c r="C14" s="1" t="e">
        <f>VLOOKUP(A14,PAYMENTS!A:D,3,FALSE)</f>
        <v>#N/A</v>
      </c>
      <c r="D14" t="str">
        <f t="shared" si="0"/>
        <v/>
      </c>
      <c r="F14" s="3">
        <v>46083</v>
      </c>
      <c r="G14" s="1">
        <f>SUMIF('Payment Summary'!D:D,'Future Summary'!F14,'Payment Summary'!C:C)</f>
        <v>8903.2000000000007</v>
      </c>
      <c r="H14" s="1">
        <f>VLOOKUP(F14,PAYMENTS!A:C,3,FALSE)</f>
        <v>8903.2000000000007</v>
      </c>
      <c r="I14" t="str">
        <f t="shared" si="1"/>
        <v>Equal</v>
      </c>
    </row>
    <row r="15" spans="1:19" ht="12.75" customHeight="1">
      <c r="B15" s="1">
        <f>SUMIF('Future payment'!D:D,'Future Summary'!A15,'Future payment'!C:C)</f>
        <v>0</v>
      </c>
      <c r="C15" s="1" t="e">
        <f>VLOOKUP(A15,PAYMENTS!A:D,3,FALSE)</f>
        <v>#N/A</v>
      </c>
      <c r="D15" t="str">
        <f t="shared" si="0"/>
        <v/>
      </c>
      <c r="F15" s="3">
        <v>46080</v>
      </c>
      <c r="G15" s="1">
        <f>SUMIF('Payment Summary'!D:D,'Future Summary'!F15,'Payment Summary'!C:C)</f>
        <v>26666.19</v>
      </c>
      <c r="H15" s="1">
        <f>VLOOKUP(F15,PAYMENTS!A:C,3,FALSE)</f>
        <v>26666.19</v>
      </c>
      <c r="I15" t="str">
        <f t="shared" si="1"/>
        <v>Equal</v>
      </c>
    </row>
    <row r="16" spans="1:19" ht="12.75" customHeight="1">
      <c r="B16" s="1">
        <f>SUMIF('Future payment'!D:D,'Future Summary'!A16,'Future payment'!C:C)</f>
        <v>0</v>
      </c>
      <c r="C16" s="1" t="e">
        <f>VLOOKUP(A16,PAYMENTS!A:D,3,FALSE)</f>
        <v>#N/A</v>
      </c>
      <c r="D16" t="str">
        <f t="shared" si="0"/>
        <v/>
      </c>
      <c r="F16" s="3">
        <v>46079</v>
      </c>
      <c r="G16" s="1">
        <f>SUMIF('Payment Summary'!D:D,'Future Summary'!F16,'Payment Summary'!C:C)</f>
        <v>20260.07</v>
      </c>
      <c r="H16" s="1">
        <f>VLOOKUP(F16,PAYMENTS!A:C,3,FALSE)</f>
        <v>20260.07</v>
      </c>
      <c r="I16" t="str">
        <f t="shared" si="1"/>
        <v>Equal</v>
      </c>
    </row>
    <row r="17" spans="2:9" ht="12.75" customHeight="1">
      <c r="B17" s="1">
        <f>SUMIF('Future payment'!D:D,'Future Summary'!A17,'Future payment'!C:C)</f>
        <v>0</v>
      </c>
      <c r="C17" s="1" t="e">
        <f>VLOOKUP(A17,PAYMENTS!A:D,3,FALSE)</f>
        <v>#N/A</v>
      </c>
      <c r="D17" t="str">
        <f t="shared" si="0"/>
        <v/>
      </c>
      <c r="F17" s="3">
        <v>46077</v>
      </c>
      <c r="G17" s="1">
        <f>SUMIF('Payment Summary'!D:D,'Future Summary'!F17,'Payment Summary'!C:C)</f>
        <v>7662.26</v>
      </c>
      <c r="H17" s="1">
        <f>VLOOKUP(F17,PAYMENTS!A:C,3,FALSE)</f>
        <v>7662.26</v>
      </c>
      <c r="I17" t="str">
        <f t="shared" si="1"/>
        <v>Equal</v>
      </c>
    </row>
    <row r="18" spans="2:9" ht="12.75" customHeight="1">
      <c r="B18" s="1" t="e">
        <f>SUMIF(#REF!,#REF!,#REF!)</f>
        <v>#REF!</v>
      </c>
      <c r="F18" s="3">
        <v>46076</v>
      </c>
      <c r="G18" s="1"/>
      <c r="H18" s="1"/>
    </row>
    <row r="19" spans="2:9" ht="12.75" customHeight="1">
      <c r="B19" s="1" t="e">
        <f>SUMIF(#REF!,#REF!,#REF!)</f>
        <v>#REF!</v>
      </c>
      <c r="F19" s="3">
        <v>46064</v>
      </c>
      <c r="G19" s="1"/>
      <c r="H19" s="1"/>
    </row>
    <row r="20" spans="2:9" ht="12.75" customHeight="1">
      <c r="B20" s="1" t="e">
        <f>SUMIF(#REF!,#REF!,#REF!)</f>
        <v>#REF!</v>
      </c>
      <c r="F20" s="3">
        <v>46063</v>
      </c>
      <c r="G20" s="1"/>
      <c r="H20" s="1"/>
    </row>
    <row r="21" spans="2:9" ht="12.75" customHeight="1">
      <c r="B21" s="1" t="e">
        <f>SUMIF(#REF!,#REF!,#REF!)</f>
        <v>#REF!</v>
      </c>
      <c r="F21" s="3">
        <v>46062</v>
      </c>
      <c r="G21" s="1"/>
      <c r="H21" s="1"/>
    </row>
    <row r="22" spans="2:9" ht="12.75" customHeight="1">
      <c r="B22" s="1" t="e">
        <f>SUMIF(#REF!,#REF!,#REF!)</f>
        <v>#REF!</v>
      </c>
      <c r="F22" s="3">
        <v>46042</v>
      </c>
      <c r="G22" s="1"/>
      <c r="H22" s="1"/>
    </row>
    <row r="23" spans="2:9" ht="12.75" customHeight="1">
      <c r="B23" s="1" t="e">
        <f>SUMIF(#REF!,#REF!,#REF!)</f>
        <v>#REF!</v>
      </c>
      <c r="F23" s="3">
        <v>46013</v>
      </c>
      <c r="G23" s="1"/>
      <c r="H23" s="1"/>
    </row>
    <row r="24" spans="2:9" ht="12.75" customHeight="1">
      <c r="B24" s="1" t="e">
        <f>SUMIF(#REF!,#REF!,#REF!)</f>
        <v>#REF!</v>
      </c>
      <c r="F24" s="3">
        <v>46006</v>
      </c>
      <c r="G24" s="1"/>
      <c r="H24" s="1"/>
    </row>
    <row r="25" spans="2:9" ht="12.75" customHeight="1">
      <c r="B25" s="1" t="e">
        <f>SUMIF(#REF!,#REF!,#REF!)</f>
        <v>#REF!</v>
      </c>
      <c r="F25" s="3">
        <v>45992</v>
      </c>
      <c r="G25" s="1"/>
      <c r="H25" s="1"/>
    </row>
    <row r="26" spans="2:9" ht="12.75" customHeight="1">
      <c r="B26" s="1" t="e">
        <f>SUMIF(#REF!,#REF!,#REF!)</f>
        <v>#REF!</v>
      </c>
      <c r="F26" s="3">
        <v>45985</v>
      </c>
      <c r="G26" s="1"/>
      <c r="H26" s="1"/>
    </row>
    <row r="27" spans="2:9" ht="12.75" customHeight="1">
      <c r="B27" s="1" t="e">
        <f>SUMIF(#REF!,#REF!,#REF!)</f>
        <v>#REF!</v>
      </c>
      <c r="F27" s="3">
        <v>45980</v>
      </c>
      <c r="G27" s="1"/>
      <c r="H27" s="1"/>
    </row>
    <row r="28" spans="2:9" ht="12.75" customHeight="1">
      <c r="B28" s="1" t="e">
        <f>SUMIF(#REF!,#REF!,#REF!)</f>
        <v>#REF!</v>
      </c>
      <c r="F28" s="3">
        <v>45979</v>
      </c>
      <c r="G28" s="1"/>
      <c r="H28" s="1"/>
    </row>
    <row r="29" spans="2:9" ht="12.75" customHeight="1">
      <c r="B29" s="1" t="e">
        <f>SUMIF(#REF!,#REF!,#REF!)</f>
        <v>#REF!</v>
      </c>
      <c r="F29" s="3">
        <v>45975</v>
      </c>
      <c r="G29" s="1"/>
      <c r="H29" s="1"/>
    </row>
    <row r="30" spans="2:9" ht="12.75" customHeight="1">
      <c r="B30" s="1" t="e">
        <f>SUMIF(#REF!,#REF!,#REF!)</f>
        <v>#REF!</v>
      </c>
      <c r="F30" s="3">
        <v>45968</v>
      </c>
      <c r="G30" s="1"/>
      <c r="H30" s="1"/>
    </row>
    <row r="31" spans="2:9" ht="12.75" customHeight="1">
      <c r="B31" s="1" t="e">
        <f>SUMIF(#REF!,#REF!,#REF!)</f>
        <v>#REF!</v>
      </c>
      <c r="F31" s="3">
        <v>45961</v>
      </c>
      <c r="G31" s="1"/>
      <c r="H31" s="1"/>
    </row>
    <row r="32" spans="2:9" ht="12.75" customHeight="1">
      <c r="B32" s="1" t="e">
        <f>SUMIF(#REF!,#REF!,#REF!)</f>
        <v>#REF!</v>
      </c>
      <c r="F32" s="3">
        <v>45957</v>
      </c>
      <c r="G32" s="1"/>
      <c r="H32" s="1"/>
    </row>
    <row r="33" spans="2:8" ht="12.75" customHeight="1">
      <c r="B33" s="1" t="e">
        <f>SUMIF(#REF!,#REF!,#REF!)</f>
        <v>#REF!</v>
      </c>
      <c r="F33" s="3">
        <v>45951</v>
      </c>
      <c r="G33" s="1"/>
      <c r="H33" s="1"/>
    </row>
    <row r="34" spans="2:8" ht="12.75" customHeight="1">
      <c r="B34" s="1" t="e">
        <f>SUMIF(#REF!,#REF!,#REF!)</f>
        <v>#REF!</v>
      </c>
      <c r="F34" s="3">
        <v>45947</v>
      </c>
      <c r="G34" s="1"/>
      <c r="H34" s="1"/>
    </row>
    <row r="35" spans="2:8" ht="12.75" customHeight="1">
      <c r="B35" s="1" t="e">
        <f>SUMIF(#REF!,#REF!,#REF!)</f>
        <v>#REF!</v>
      </c>
      <c r="F35" s="3">
        <v>45938</v>
      </c>
      <c r="G35" s="1"/>
      <c r="H35" s="1"/>
    </row>
    <row r="36" spans="2:8" ht="12.75" customHeight="1">
      <c r="B36" s="1" t="e">
        <f>SUMIF(#REF!,#REF!,#REF!)</f>
        <v>#REF!</v>
      </c>
      <c r="F36" s="3">
        <v>45936</v>
      </c>
      <c r="G36" s="1"/>
      <c r="H36" s="1"/>
    </row>
    <row r="37" spans="2:8" ht="12.75" customHeight="1">
      <c r="B37" s="1" t="e">
        <f>SUMIF(#REF!,#REF!,#REF!)</f>
        <v>#REF!</v>
      </c>
      <c r="F37" s="3">
        <v>45932</v>
      </c>
      <c r="G37" s="1"/>
      <c r="H37" s="1"/>
    </row>
    <row r="38" spans="2:8" ht="12.75" customHeight="1">
      <c r="B38" s="1" t="e">
        <f>SUMIF(#REF!,#REF!,#REF!)</f>
        <v>#REF!</v>
      </c>
      <c r="F38" s="3">
        <v>45929</v>
      </c>
      <c r="G38" s="1"/>
      <c r="H38" s="1"/>
    </row>
    <row r="39" spans="2:8" ht="12.75" customHeight="1">
      <c r="B39" s="1" t="e">
        <f>SUMIF(#REF!,#REF!,#REF!)</f>
        <v>#REF!</v>
      </c>
      <c r="F39" s="3">
        <v>45923</v>
      </c>
      <c r="G39" s="1"/>
      <c r="H39" s="1"/>
    </row>
    <row r="40" spans="2:8" ht="12.75" customHeight="1">
      <c r="B40" s="1" t="e">
        <f>SUMIF(#REF!,#REF!,#REF!)</f>
        <v>#REF!</v>
      </c>
      <c r="F40" s="3">
        <v>45919</v>
      </c>
      <c r="G40" s="1"/>
      <c r="H40" s="1"/>
    </row>
    <row r="41" spans="2:8" ht="12.75" customHeight="1">
      <c r="B41" s="1" t="e">
        <f>SUMIF(#REF!,#REF!,#REF!)</f>
        <v>#REF!</v>
      </c>
      <c r="F41" s="3">
        <v>45916</v>
      </c>
      <c r="G41" s="1"/>
      <c r="H41" s="1"/>
    </row>
    <row r="42" spans="2:8" ht="12.75" customHeight="1">
      <c r="B42" s="1" t="e">
        <f>SUMIF(#REF!,#REF!,#REF!)</f>
        <v>#REF!</v>
      </c>
      <c r="F42" s="3">
        <v>45911</v>
      </c>
      <c r="G42" s="1"/>
      <c r="H42" s="1"/>
    </row>
    <row r="43" spans="2:8" ht="12.75" customHeight="1">
      <c r="F43" s="3">
        <v>45909</v>
      </c>
      <c r="G43" s="1"/>
      <c r="H43" s="1"/>
    </row>
    <row r="44" spans="2:8" ht="12.75" customHeight="1">
      <c r="F44" s="3">
        <v>45902</v>
      </c>
      <c r="G44" s="1"/>
      <c r="H44" s="1"/>
    </row>
    <row r="45" spans="2:8" ht="12.75" customHeight="1">
      <c r="F45" s="3">
        <v>45896</v>
      </c>
      <c r="G45" s="1"/>
      <c r="H45" s="1"/>
    </row>
    <row r="46" spans="2:8" ht="12.75" customHeight="1">
      <c r="F46" s="3">
        <v>45894</v>
      </c>
      <c r="G46" s="1"/>
      <c r="H46" s="1"/>
    </row>
    <row r="47" spans="2:8" ht="12.75" customHeight="1">
      <c r="F47" s="3">
        <v>45891</v>
      </c>
      <c r="G47" s="1"/>
      <c r="H47" s="1"/>
    </row>
    <row r="48" spans="2:8" ht="12.75" customHeight="1">
      <c r="F48" s="3">
        <v>45890</v>
      </c>
      <c r="G48" s="1"/>
      <c r="H48" s="1"/>
    </row>
    <row r="49" spans="6:8" ht="12.75" customHeight="1">
      <c r="F49" s="3">
        <v>45883</v>
      </c>
      <c r="G49" s="1"/>
      <c r="H49" s="1"/>
    </row>
    <row r="50" spans="6:8" ht="12.75" customHeight="1">
      <c r="F50" s="3">
        <v>45882</v>
      </c>
      <c r="G50" s="1"/>
      <c r="H50" s="1"/>
    </row>
    <row r="51" spans="6:8" ht="12.75" customHeight="1">
      <c r="F51" s="3">
        <v>45876</v>
      </c>
      <c r="G51" s="1"/>
      <c r="H51" s="1"/>
    </row>
    <row r="52" spans="6:8" ht="12.75" customHeight="1">
      <c r="F52" s="3">
        <v>45868</v>
      </c>
      <c r="G52" s="1"/>
      <c r="H52" s="1"/>
    </row>
    <row r="53" spans="6:8" ht="12.75" customHeight="1">
      <c r="F53" s="3">
        <v>45867</v>
      </c>
      <c r="G53" s="1"/>
      <c r="H53" s="1"/>
    </row>
    <row r="54" spans="6:8" ht="12.75" customHeight="1">
      <c r="F54" s="3">
        <v>45861</v>
      </c>
      <c r="G54" s="1"/>
      <c r="H54" s="1"/>
    </row>
    <row r="55" spans="6:8" ht="12.75" customHeight="1">
      <c r="F55" s="3">
        <v>45854</v>
      </c>
      <c r="G55" s="1"/>
      <c r="H55" s="1"/>
    </row>
    <row r="56" spans="6:8" ht="12.75" customHeight="1">
      <c r="F56" s="3">
        <v>45832</v>
      </c>
      <c r="G56" s="1"/>
      <c r="H56" s="1"/>
    </row>
    <row r="57" spans="6:8" ht="12.75" customHeight="1">
      <c r="F57" s="3">
        <v>45825</v>
      </c>
      <c r="G57" s="1"/>
      <c r="H57" s="1"/>
    </row>
    <row r="58" spans="6:8" ht="12.75" customHeight="1">
      <c r="F58" s="3">
        <v>45824</v>
      </c>
      <c r="G58" s="1"/>
      <c r="H58" s="1"/>
    </row>
    <row r="59" spans="6:8" ht="12.75" customHeight="1">
      <c r="F59" s="3">
        <v>45821</v>
      </c>
      <c r="G59" s="1"/>
      <c r="H59" s="1"/>
    </row>
    <row r="60" spans="6:8" ht="12.75" customHeight="1">
      <c r="F60" s="3">
        <v>45818</v>
      </c>
      <c r="G60" s="1"/>
      <c r="H60" s="1"/>
    </row>
    <row r="61" spans="6:8" ht="12.75" customHeight="1">
      <c r="F61" s="3">
        <v>45811</v>
      </c>
      <c r="G61" s="1"/>
      <c r="H61" s="1"/>
    </row>
    <row r="62" spans="6:8" ht="12.75" customHeight="1">
      <c r="F62" s="3">
        <v>45810</v>
      </c>
      <c r="G62" s="1"/>
      <c r="H62" s="1"/>
    </row>
    <row r="63" spans="6:8" ht="12.75" customHeight="1">
      <c r="F63" s="3">
        <v>45806</v>
      </c>
      <c r="G63" s="1"/>
    </row>
    <row r="64" spans="6:8" ht="12.75" customHeight="1">
      <c r="F64" s="3">
        <v>45805</v>
      </c>
      <c r="G64" s="1"/>
    </row>
    <row r="65" spans="6:7" ht="12.75" customHeight="1">
      <c r="F65" s="3">
        <v>45796</v>
      </c>
      <c r="G65" s="1"/>
    </row>
    <row r="66" spans="6:7" ht="12.75" customHeight="1">
      <c r="F66" s="3">
        <v>45786</v>
      </c>
      <c r="G66" s="1"/>
    </row>
    <row r="67" spans="6:7" ht="12.75" customHeight="1">
      <c r="F67" s="3">
        <v>45777</v>
      </c>
      <c r="G67" s="1"/>
    </row>
    <row r="68" spans="6:7" ht="12.75" customHeight="1">
      <c r="F68" s="3">
        <v>45770</v>
      </c>
      <c r="G68" s="1"/>
    </row>
    <row r="69" spans="6:7" ht="12.75" customHeight="1">
      <c r="F69" s="3">
        <v>45769</v>
      </c>
      <c r="G69" s="1"/>
    </row>
    <row r="70" spans="6:7" ht="12.75" customHeight="1">
      <c r="F70" s="3">
        <v>45762</v>
      </c>
      <c r="G70" s="1"/>
    </row>
    <row r="71" spans="6:7" ht="12.75" customHeight="1">
      <c r="F71" s="3">
        <v>45758</v>
      </c>
      <c r="G71" s="1"/>
    </row>
    <row r="72" spans="6:7" ht="12.75" customHeight="1">
      <c r="F72" s="3">
        <v>45756</v>
      </c>
      <c r="G72" s="1"/>
    </row>
    <row r="73" spans="6:7" ht="12.75" customHeight="1">
      <c r="F73" s="3">
        <v>45754</v>
      </c>
      <c r="G73" s="1"/>
    </row>
    <row r="74" spans="6:7" ht="12.75" customHeight="1">
      <c r="F74" s="3">
        <v>45750</v>
      </c>
      <c r="G74" s="1"/>
    </row>
    <row r="75" spans="6:7" ht="12.75" customHeight="1">
      <c r="F75" s="3">
        <v>45749</v>
      </c>
      <c r="G75" s="1"/>
    </row>
    <row r="76" spans="6:7" ht="12.75" customHeight="1">
      <c r="F76" s="3">
        <v>45748</v>
      </c>
      <c r="G76" s="1"/>
    </row>
    <row r="77" spans="6:7" ht="12.75" customHeight="1">
      <c r="F77" s="3">
        <v>45747</v>
      </c>
      <c r="G77" s="1"/>
    </row>
    <row r="78" spans="6:7" ht="12.75" customHeight="1">
      <c r="F78" s="3">
        <v>45715</v>
      </c>
      <c r="G78" s="1"/>
    </row>
    <row r="79" spans="6:7" ht="12.75" customHeight="1">
      <c r="F79" s="3">
        <v>45714</v>
      </c>
      <c r="G79" s="1"/>
    </row>
    <row r="80" spans="6:7" ht="12.75" customHeight="1">
      <c r="F80" s="3">
        <v>45707</v>
      </c>
      <c r="G80" s="1"/>
    </row>
    <row r="81" spans="6:7" ht="12.75" customHeight="1">
      <c r="F81" s="3">
        <v>45706</v>
      </c>
      <c r="G81" s="1"/>
    </row>
    <row r="82" spans="6:7" ht="12.75" customHeight="1">
      <c r="F82" s="3">
        <v>45701</v>
      </c>
      <c r="G82" s="1"/>
    </row>
    <row r="83" spans="6:7" ht="12.75" customHeight="1">
      <c r="F83" s="3">
        <v>45695</v>
      </c>
      <c r="G83" s="1"/>
    </row>
    <row r="84" spans="6:7" ht="12.75" customHeight="1">
      <c r="F84" s="3">
        <v>45693</v>
      </c>
      <c r="G84" s="1"/>
    </row>
    <row r="85" spans="6:7" ht="12.75" customHeight="1">
      <c r="F85" s="3">
        <v>45692</v>
      </c>
      <c r="G85" s="1"/>
    </row>
    <row r="86" spans="6:7" ht="12.75" customHeight="1">
      <c r="F86" s="3">
        <v>45685</v>
      </c>
      <c r="G86" s="1"/>
    </row>
    <row r="87" spans="6:7" ht="12.75" customHeight="1">
      <c r="F87" s="3">
        <v>45681</v>
      </c>
      <c r="G87" s="1"/>
    </row>
    <row r="88" spans="6:7" ht="12.75" customHeight="1">
      <c r="F88" s="3">
        <v>45680</v>
      </c>
      <c r="G88" s="1"/>
    </row>
    <row r="89" spans="6:7" ht="12.75" customHeight="1">
      <c r="F89" s="3">
        <v>45674</v>
      </c>
      <c r="G89" s="1"/>
    </row>
    <row r="90" spans="6:7" ht="12.75" customHeight="1">
      <c r="F90" s="3">
        <v>45673</v>
      </c>
      <c r="G90" s="1"/>
    </row>
    <row r="91" spans="6:7" ht="12.75" customHeight="1">
      <c r="F91" s="3">
        <v>45672</v>
      </c>
      <c r="G91" s="1"/>
    </row>
    <row r="92" spans="6:7" ht="12.75" customHeight="1">
      <c r="F92" s="3">
        <v>45671</v>
      </c>
      <c r="G92" s="1"/>
    </row>
    <row r="93" spans="6:7" ht="12.75" customHeight="1">
      <c r="F93" s="3">
        <v>45665</v>
      </c>
      <c r="G93" s="1"/>
    </row>
    <row r="94" spans="6:7" ht="12.75" customHeight="1">
      <c r="F94" s="3">
        <v>45663</v>
      </c>
      <c r="G94" s="1"/>
    </row>
    <row r="95" spans="6:7" ht="12.75" customHeight="1">
      <c r="F95" s="3">
        <v>45659</v>
      </c>
      <c r="G95" s="1"/>
    </row>
    <row r="96" spans="6:7" ht="12.75" customHeight="1">
      <c r="F96" s="3">
        <v>45649</v>
      </c>
      <c r="G96" s="1"/>
    </row>
    <row r="97" spans="6:7" ht="12.75" customHeight="1">
      <c r="F97" s="3">
        <v>45630</v>
      </c>
      <c r="G97" s="1"/>
    </row>
    <row r="98" spans="6:7" ht="12.75" customHeight="1">
      <c r="F98" s="3">
        <v>45621</v>
      </c>
      <c r="G98" s="1"/>
    </row>
    <row r="99" spans="6:7" ht="12.75" customHeight="1">
      <c r="F99" s="3">
        <v>45618</v>
      </c>
      <c r="G99" s="1"/>
    </row>
    <row r="100" spans="6:7" ht="12.75" customHeight="1">
      <c r="F100" s="3">
        <v>45617</v>
      </c>
      <c r="G100" s="1"/>
    </row>
    <row r="101" spans="6:7" ht="12.75" customHeight="1">
      <c r="F101" s="3">
        <v>45614</v>
      </c>
      <c r="G101" s="1"/>
    </row>
    <row r="102" spans="6:7" ht="12.75" customHeight="1">
      <c r="F102" s="3">
        <v>45597</v>
      </c>
      <c r="G102" s="1"/>
    </row>
    <row r="103" spans="6:7" ht="12.75" customHeight="1">
      <c r="F103" s="3">
        <v>45595</v>
      </c>
    </row>
    <row r="104" spans="6:7" ht="12.75" customHeight="1">
      <c r="F104" s="3">
        <v>45594</v>
      </c>
    </row>
    <row r="105" spans="6:7" ht="12.75" customHeight="1">
      <c r="F105" s="3">
        <v>45588</v>
      </c>
    </row>
    <row r="106" spans="6:7" ht="12.75" customHeight="1">
      <c r="F106" s="3">
        <v>45581</v>
      </c>
    </row>
    <row r="107" spans="6:7" ht="12.75" customHeight="1">
      <c r="F107" s="3">
        <v>0</v>
      </c>
    </row>
    <row r="108" spans="6:7" ht="12.75" customHeight="1"/>
    <row r="109" spans="6:7" ht="12.75" customHeight="1"/>
    <row r="110" spans="6:7" ht="12.75" customHeight="1"/>
    <row r="111" spans="6:7" ht="12.75" customHeight="1"/>
    <row r="112" spans="6: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692A-ACB3-4750-A201-292FA26E32B2}">
  <dimension ref="A1:F2"/>
  <sheetViews>
    <sheetView tabSelected="1" workbookViewId="0">
      <selection activeCell="G34" sqref="G34"/>
    </sheetView>
  </sheetViews>
  <sheetFormatPr defaultRowHeight="12.75"/>
  <cols>
    <col min="1" max="1" width="19.85546875" bestFit="1" customWidth="1"/>
    <col min="2" max="2" width="9.7109375" bestFit="1" customWidth="1"/>
    <col min="3" max="3" width="11.85546875" style="3" bestFit="1" customWidth="1"/>
    <col min="4" max="4" width="17.42578125" bestFit="1" customWidth="1"/>
    <col min="5" max="5" width="18.7109375" bestFit="1" customWidth="1"/>
    <col min="6" max="6" width="6.28515625" bestFit="1" customWidth="1"/>
  </cols>
  <sheetData>
    <row r="1" spans="1:6" ht="15" customHeight="1">
      <c r="A1" s="48" t="s">
        <v>0</v>
      </c>
      <c r="B1" s="49" t="s">
        <v>144</v>
      </c>
      <c r="C1" s="49" t="s">
        <v>355</v>
      </c>
      <c r="D1" s="50" t="s">
        <v>356</v>
      </c>
      <c r="E1" s="51" t="s">
        <v>357</v>
      </c>
      <c r="F1" s="52" t="s">
        <v>147</v>
      </c>
    </row>
    <row r="2" spans="1:6">
      <c r="A2" t="s">
        <v>358</v>
      </c>
      <c r="B2" t="s">
        <v>359</v>
      </c>
      <c r="C2" s="3">
        <v>46135</v>
      </c>
      <c r="D2" t="s">
        <v>140</v>
      </c>
      <c r="E2" s="68">
        <v>46149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697D-3061-4730-B0A2-EC2DDBE93F6C}">
  <dimension ref="A1:L4"/>
  <sheetViews>
    <sheetView workbookViewId="0">
      <selection activeCell="E5" sqref="E5"/>
    </sheetView>
  </sheetViews>
  <sheetFormatPr defaultRowHeight="12.75"/>
  <cols>
    <col min="1" max="1" width="5" bestFit="1" customWidth="1"/>
    <col min="2" max="2" width="10" customWidth="1"/>
    <col min="3" max="3" width="10.7109375" bestFit="1" customWidth="1"/>
    <col min="4" max="6" width="13.42578125" bestFit="1" customWidth="1"/>
    <col min="7" max="7" width="14.42578125" bestFit="1" customWidth="1"/>
    <col min="8" max="8" width="13.5703125" bestFit="1" customWidth="1"/>
    <col min="9" max="9" width="13.5703125" customWidth="1"/>
  </cols>
  <sheetData>
    <row r="1" spans="1:12" ht="18" customHeight="1">
      <c r="A1" s="53" t="s">
        <v>360</v>
      </c>
      <c r="B1" s="54" t="s">
        <v>361</v>
      </c>
      <c r="C1" s="55" t="s">
        <v>362</v>
      </c>
      <c r="D1" s="54" t="s">
        <v>363</v>
      </c>
      <c r="E1" s="55" t="s">
        <v>141</v>
      </c>
      <c r="F1" s="56" t="s">
        <v>364</v>
      </c>
      <c r="G1" s="61" t="s">
        <v>365</v>
      </c>
      <c r="H1" s="61" t="s">
        <v>366</v>
      </c>
      <c r="I1" s="61" t="s">
        <v>367</v>
      </c>
      <c r="K1" s="61" t="s">
        <v>368</v>
      </c>
      <c r="L1" t="s">
        <v>369</v>
      </c>
    </row>
    <row r="2" spans="1:12" ht="15">
      <c r="A2" s="60">
        <v>2024</v>
      </c>
      <c r="B2" s="57">
        <v>36.380800000000001</v>
      </c>
      <c r="C2" s="58">
        <v>33494.01</v>
      </c>
      <c r="D2" s="59">
        <f>B2*C2</f>
        <v>1218538.879008</v>
      </c>
      <c r="E2" s="58">
        <v>1141813.6399999999</v>
      </c>
      <c r="F2" s="58">
        <f>D2-E2</f>
        <v>76725.239008000121</v>
      </c>
    </row>
    <row r="3" spans="1:12" ht="15">
      <c r="A3" s="60">
        <v>2025</v>
      </c>
      <c r="B3" s="57">
        <v>27.483699999999999</v>
      </c>
      <c r="C3" s="58">
        <v>34465.339999999997</v>
      </c>
      <c r="D3" s="59">
        <f t="shared" ref="D3:D4" si="0">B3*C3</f>
        <v>947235.06495799986</v>
      </c>
      <c r="E3" s="58">
        <v>1028953.57</v>
      </c>
      <c r="F3" s="58">
        <f t="shared" ref="F3:F4" si="1">D3-E3</f>
        <v>-81718.505042000092</v>
      </c>
    </row>
    <row r="4" spans="1:12" ht="15">
      <c r="A4" s="60">
        <v>2026</v>
      </c>
      <c r="B4" s="57">
        <v>11.182600000000001</v>
      </c>
      <c r="C4" s="58">
        <v>35361.440000000002</v>
      </c>
      <c r="D4" s="59">
        <f t="shared" si="0"/>
        <v>395432.83894400008</v>
      </c>
      <c r="E4" s="58">
        <v>235565.07</v>
      </c>
      <c r="F4" s="58">
        <f t="shared" si="1"/>
        <v>159867.76894400007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Claims</vt:lpstr>
      <vt:lpstr>PAYMENTS</vt:lpstr>
      <vt:lpstr>Payment Summary</vt:lpstr>
      <vt:lpstr>Future payment</vt:lpstr>
      <vt:lpstr>Future Summary</vt:lpstr>
      <vt:lpstr>In Process</vt:lpstr>
      <vt:lpstr>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 Fastovsky</cp:lastModifiedBy>
  <dcterms:created xsi:type="dcterms:W3CDTF">2024-02-05T18:56:53Z</dcterms:created>
  <dcterms:modified xsi:type="dcterms:W3CDTF">2026-04-24T15:56:06Z</dcterms:modified>
</cp:coreProperties>
</file>