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07D9D092-CC81-40D0-B920-AFFDA3D70F81}" xr6:coauthVersionLast="47" xr6:coauthVersionMax="47" xr10:uidLastSave="{00000000-0000-0000-0000-000000000000}"/>
  <bookViews>
    <workbookView showHorizontalScroll="0" showVerticalScroll="0" xWindow="-120" yWindow="-120" windowWidth="29040" windowHeight="15720" activeTab="1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D2" i="13"/>
  <c r="F2" i="13" s="1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D11" i="5"/>
  <c r="C11" i="5"/>
  <c r="B11" i="5"/>
  <c r="C10" i="5"/>
  <c r="D10" i="5" s="1"/>
  <c r="B10" i="5"/>
  <c r="C9" i="5"/>
  <c r="D9" i="5" s="1"/>
  <c r="B9" i="5"/>
  <c r="C8" i="5"/>
  <c r="D8" i="5" s="1"/>
  <c r="B8" i="5"/>
  <c r="D7" i="5"/>
  <c r="C7" i="5"/>
  <c r="B7" i="5"/>
  <c r="C6" i="5"/>
  <c r="D6" i="5" s="1"/>
  <c r="B6" i="5"/>
  <c r="C5" i="5"/>
  <c r="D5" i="5" s="1"/>
  <c r="B5" i="5"/>
  <c r="C4" i="5"/>
  <c r="D4" i="5" s="1"/>
  <c r="B4" i="5"/>
  <c r="D3" i="5"/>
  <c r="C3" i="5"/>
  <c r="B3" i="5"/>
  <c r="F1" i="5" a="1"/>
  <c r="H17" i="5" s="1"/>
  <c r="A1" i="5" a="1"/>
  <c r="C2" i="5" s="1"/>
  <c r="D2" i="5" s="1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G2" i="5" l="1"/>
  <c r="G4" i="5"/>
  <c r="G6" i="5"/>
  <c r="G8" i="5"/>
  <c r="G10" i="5"/>
  <c r="G12" i="5"/>
  <c r="G14" i="5"/>
  <c r="G16" i="5"/>
  <c r="A1" i="5"/>
  <c r="B2" i="5"/>
  <c r="H2" i="5"/>
  <c r="H4" i="5"/>
  <c r="H6" i="5"/>
  <c r="H8" i="5"/>
  <c r="H10" i="5"/>
  <c r="H12" i="5"/>
  <c r="H14" i="5"/>
  <c r="H16" i="5"/>
  <c r="G3" i="5"/>
  <c r="G5" i="5"/>
  <c r="G7" i="5"/>
  <c r="G9" i="5"/>
  <c r="G11" i="5"/>
  <c r="G13" i="5"/>
  <c r="G15" i="5"/>
  <c r="G17" i="5"/>
  <c r="I17" i="5" s="1"/>
  <c r="F1" i="5"/>
  <c r="H3" i="5"/>
  <c r="H5" i="5"/>
  <c r="H7" i="5"/>
  <c r="H9" i="5"/>
  <c r="H11" i="5"/>
  <c r="H13" i="5"/>
  <c r="H15" i="5"/>
  <c r="I11" i="5" l="1"/>
  <c r="I3" i="5"/>
  <c r="I13" i="5"/>
  <c r="I5" i="5"/>
  <c r="I16" i="5"/>
  <c r="I8" i="5"/>
  <c r="I14" i="5"/>
  <c r="I6" i="5"/>
  <c r="I9" i="5"/>
  <c r="I12" i="5"/>
  <c r="I4" i="5"/>
  <c r="I15" i="5"/>
  <c r="I7" i="5"/>
  <c r="I10" i="5"/>
  <c r="I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<sst xmlns="http://schemas.openxmlformats.org/spreadsheetml/2006/main" count="891" uniqueCount="341">
  <si>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</si>
  <si>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</si>
  <si>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</si>
  <si>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</si>
  <si>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</si>
  <si>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</si>
  <si>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</si>
  <si>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</si>
  <si>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</si>
  <si>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</si>
  <si>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</si>
  <si>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</si>
  <si>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</si>
  <si>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</si>
  <si>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</si>
  <si>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</si>
  <si>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</si>
  <si>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</si>
  <si>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</si>
  <si>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</si>
  <si>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</si>
  <si>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</si>
  <si>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</si>
  <si>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</si>
  <si>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</si>
  <si>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</si>
  <si>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</si>
  <si>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</si>
  <si>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</si>
  <si>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</si>
  <si>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</si>
  <si>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</si>
  <si>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</si>
  <si>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</si>
  <si>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</si>
  <si>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</si>
  <si>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</si>
  <si>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</si>
  <si>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</si>
  <si>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</si>
  <si>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</si>
  <si>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</si>
  <si>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</si>
  <si>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</si>
  <si>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</si>
  <si>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</si>
  <si>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</si>
  <si>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</si>
  <si>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</si>
  <si>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</si>
  <si>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</si>
  <si>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</si>
  <si>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</si>
  <si>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</si>
  <si>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</si>
  <si>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</si>
  <si>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</si>
  <si>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</si>
  <si>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</si>
  <si>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</si>
  <si>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</si>
  <si>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</si>
  <si>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</si>
  <si>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</si>
  <si>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</si>
  <si>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</si>
  <si>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</si>
  <si>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</si>
  <si>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</si>
  <si>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</si>
  <si>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</si>
  <si>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</si>
  <si>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</si>
  <si>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</si>
  <si>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</si>
  <si>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</si>
  <si>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</si>
  <si>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</si>
  <si>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</si>
  <si>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</si>
  <si>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</si>
  <si>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</si>
  <si>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</si>
  <si>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</si>
  <si>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</si>
  <si>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</si>
  <si>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</si>
  <si>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</si>
  <si>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</si>
  <si>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</si>
  <si>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</si>
  <si>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</si>
  <si>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</si>
  <si>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</si>
  <si>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</si>
  <si>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</si>
  <si>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</si>
  <si>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</si>
  <si>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</si>
  <si>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</si>
  <si>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</si>
  <si>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</si>
  <si>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</si>
  <si>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</si>
  <si>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</si>
  <si>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</si>
  <si>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</si>
  <si>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</si>
  <si>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</si>
  <si>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</si>
  <si>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</si>
  <si>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</si>
  <si>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</si>
  <si>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</si>
  <si>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</si>
  <si>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</si>
  <si>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</si>
  <si>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</si>
  <si>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</si>
  <si>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</si>
  <si>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</si>
  <si>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</si>
  <si>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</si>
  <si>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</si>
  <si>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</si>
  <si>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</si>
  <si>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</si>
  <si>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</si>
  <si>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</si>
  <si>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</si>
  <si>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</si>
  <si>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</si>
  <si>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</si>
  <si>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</si>
  <si>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</si>
  <si>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</si>
  <si>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</si>
  <si>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</si>
  <si>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</si>
  <si>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</si>
  <si>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</si>
  <si>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</si>
  <si>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</si>
  <si>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Start Date</t>
  </si>
  <si>
    <t>Reimb</t>
  </si>
  <si>
    <t>Paid Date</t>
  </si>
  <si>
    <t>Notes</t>
  </si>
  <si>
    <t>Weir, Josephine</t>
  </si>
  <si>
    <t>2/1/2026</t>
  </si>
  <si>
    <t>9MM3EJ6YX86</t>
  </si>
  <si>
    <t>Walker, Michael</t>
  </si>
  <si>
    <t>5JD6KD6HK89</t>
  </si>
  <si>
    <t>Trejo, Maria</t>
  </si>
  <si>
    <t>2/13/2026</t>
  </si>
  <si>
    <t>7XM2PT4DN80</t>
  </si>
  <si>
    <t>Strebel, Thomas</t>
  </si>
  <si>
    <t>2/12/2026</t>
  </si>
  <si>
    <t>4TM1MW0XT32</t>
  </si>
  <si>
    <t>Mulhern, Malcolm</t>
  </si>
  <si>
    <t>1U36TF5HH30</t>
  </si>
  <si>
    <t>Matsuda, Phyllis</t>
  </si>
  <si>
    <t>9MP7QM0UX20</t>
  </si>
  <si>
    <t>Israel, Theodore</t>
  </si>
  <si>
    <t>7M93WN9JH14</t>
  </si>
  <si>
    <t>Hernandez Marti, Julio</t>
  </si>
  <si>
    <t>1/1/2026</t>
  </si>
  <si>
    <t>6UP4JA6HX90</t>
  </si>
  <si>
    <t>12/6/2025</t>
  </si>
  <si>
    <t>Yu Wang, Manchien</t>
  </si>
  <si>
    <t>7YW3GJ0QW73</t>
  </si>
  <si>
    <t>1/6/2026</t>
  </si>
  <si>
    <t>Lapiana, Consiglia</t>
  </si>
  <si>
    <t>4TN1C83YT33</t>
  </si>
  <si>
    <t>12/1/2025</t>
  </si>
  <si>
    <t>Desorcy, George</t>
  </si>
  <si>
    <t>7T22JN3EH17</t>
  </si>
  <si>
    <t>Corbett, Michael</t>
  </si>
  <si>
    <t>12/11/2025</t>
  </si>
  <si>
    <t>9M74WC8WM74</t>
  </si>
  <si>
    <t>10/27/2025</t>
  </si>
  <si>
    <t>Adjustment</t>
  </si>
  <si>
    <t>Smith, Mary Ellen</t>
  </si>
  <si>
    <t>10/24/2025</t>
  </si>
  <si>
    <t>2A34RU8XV50</t>
  </si>
  <si>
    <t>10/1/2025</t>
  </si>
  <si>
    <t>Carreker, Mildred</t>
  </si>
  <si>
    <t>4YM9N65UA57</t>
  </si>
  <si>
    <t>10/16/2025</t>
  </si>
  <si>
    <t>Smith, Howard</t>
  </si>
  <si>
    <t>1EF6AX8FK51</t>
  </si>
  <si>
    <t>11/1/2025</t>
  </si>
  <si>
    <t>Nelligan, James</t>
  </si>
  <si>
    <t>11/20/2025</t>
  </si>
  <si>
    <t>9EM5D34TE61</t>
  </si>
  <si>
    <t>11/14/2025</t>
  </si>
  <si>
    <t>9/1/2025</t>
  </si>
  <si>
    <t>Allison, Donald</t>
  </si>
  <si>
    <t>9/11/2025</t>
  </si>
  <si>
    <t>3T64K06MY93</t>
  </si>
  <si>
    <t>9/15/2025</t>
  </si>
  <si>
    <t>Declemente, Ann</t>
  </si>
  <si>
    <t>4FK0PU1EU12</t>
  </si>
  <si>
    <t>8/1/2025</t>
  </si>
  <si>
    <t>7/1/2025</t>
  </si>
  <si>
    <t>Gerke, Dj</t>
  </si>
  <si>
    <t>9DX3UM6MK05</t>
  </si>
  <si>
    <t>8/6/2025</t>
  </si>
  <si>
    <t>Aintablian, Valentine</t>
  </si>
  <si>
    <t>8D51JJ9TX11</t>
  </si>
  <si>
    <t>5/1/2025</t>
  </si>
  <si>
    <t>6/1/2025</t>
  </si>
  <si>
    <t>5/31/2025</t>
  </si>
  <si>
    <t>Oneil, Rita</t>
  </si>
  <si>
    <t>6MX2X78JV93</t>
  </si>
  <si>
    <t>Gaffin, Dorothy</t>
  </si>
  <si>
    <t>5Q92WH9AT82</t>
  </si>
  <si>
    <t>Macomber, Robert</t>
  </si>
  <si>
    <t>2JP8CG8DW66</t>
  </si>
  <si>
    <t>Taylor, Elijah</t>
  </si>
  <si>
    <t>6UP1U50XE13</t>
  </si>
  <si>
    <t>Lampkin, Rena</t>
  </si>
  <si>
    <t>7AC4EF3KR02</t>
  </si>
  <si>
    <t>Kratz, Micahel</t>
  </si>
  <si>
    <t>9R21PA9UV27</t>
  </si>
  <si>
    <t>Petillo, Suzette</t>
  </si>
  <si>
    <t>7/6/2025</t>
  </si>
  <si>
    <t>2EM0F87YA47</t>
  </si>
  <si>
    <t>Medina, Fred</t>
  </si>
  <si>
    <t>6J56WT7RR66</t>
  </si>
  <si>
    <t>6/3/2025</t>
  </si>
  <si>
    <t>Grahs, Judy</t>
  </si>
  <si>
    <t>3/9/2025</t>
  </si>
  <si>
    <t>2NF5G29RM72</t>
  </si>
  <si>
    <t>Vennare, Virginia</t>
  </si>
  <si>
    <t>6/2/2025</t>
  </si>
  <si>
    <t>8HD5MK2YP72</t>
  </si>
  <si>
    <t>Sheets, Harry</t>
  </si>
  <si>
    <t>8PH8VU8JE67</t>
  </si>
  <si>
    <t>Villon De Llamo, Juana</t>
  </si>
  <si>
    <t>1YK6XJ0HC78</t>
  </si>
  <si>
    <t>6/18/2025</t>
  </si>
  <si>
    <t>6/8/2025</t>
  </si>
  <si>
    <t>6/11/2025</t>
  </si>
  <si>
    <t>6/19/2025</t>
  </si>
  <si>
    <t>Cage Agnew, Julia</t>
  </si>
  <si>
    <t>1PH8VU6HD56</t>
  </si>
  <si>
    <t>6/17/2025</t>
  </si>
  <si>
    <t>5/30/2025</t>
  </si>
  <si>
    <t>Achiardi, Sandra</t>
  </si>
  <si>
    <t>5/27/2025</t>
  </si>
  <si>
    <t>4KK8GR6RQ38</t>
  </si>
  <si>
    <t>5/29/2025</t>
  </si>
  <si>
    <t>Steeley, Abby</t>
  </si>
  <si>
    <t>5FT3X56JF97</t>
  </si>
  <si>
    <t>5/8/2025</t>
  </si>
  <si>
    <t>Hook, Lloyd</t>
  </si>
  <si>
    <t>9EX1D28NP18</t>
  </si>
  <si>
    <t>2/22/2025</t>
  </si>
  <si>
    <t>Chaidez De Caza, Lucila</t>
  </si>
  <si>
    <t>5QV1JQ3PJ92</t>
  </si>
  <si>
    <t>Hollaway, Victoria</t>
  </si>
  <si>
    <t>5FQ7QK6TQ33</t>
  </si>
  <si>
    <t>Stewart, Gwendolyn</t>
  </si>
  <si>
    <t>8JA5W34JD71</t>
  </si>
  <si>
    <t>Aquino, Antonio</t>
  </si>
  <si>
    <t>8PU3Q24DT60</t>
  </si>
  <si>
    <t>Carrington, Amber-as</t>
  </si>
  <si>
    <t>5/6/2025</t>
  </si>
  <si>
    <t>8JF2A51HH99</t>
  </si>
  <si>
    <t>4/26/2025</t>
  </si>
  <si>
    <t>5/17/2025</t>
  </si>
  <si>
    <t>5/5/2025</t>
  </si>
  <si>
    <t>Cazares, Juan</t>
  </si>
  <si>
    <t>4/1/2025</t>
  </si>
  <si>
    <t>9VQ4QF7UP82</t>
  </si>
  <si>
    <t>Evtushek, Mary</t>
  </si>
  <si>
    <t>4/15/2025</t>
  </si>
  <si>
    <t>3WU5JR0HC74</t>
  </si>
  <si>
    <t>4/21/2025</t>
  </si>
  <si>
    <t>Licastro, Lynn</t>
  </si>
  <si>
    <t>4/14/2025</t>
  </si>
  <si>
    <t>3GW5RQ7GN86</t>
  </si>
  <si>
    <t>Gueffroy, Barbara</t>
  </si>
  <si>
    <t>1KU7GP1NP35</t>
  </si>
  <si>
    <t>3/1/2025</t>
  </si>
  <si>
    <t>3/21/2025</t>
  </si>
  <si>
    <t>Williams, Betty</t>
  </si>
  <si>
    <t>3N23A90YH87</t>
  </si>
  <si>
    <t>3/2/2025</t>
  </si>
  <si>
    <t>Ball, Charles</t>
  </si>
  <si>
    <t>2EC2AY3FE22</t>
  </si>
  <si>
    <t>3/20/2025</t>
  </si>
  <si>
    <t>3/11/2025</t>
  </si>
  <si>
    <t>2/1/2025</t>
  </si>
  <si>
    <t>2/5/2025</t>
  </si>
  <si>
    <t>2/28/2025</t>
  </si>
  <si>
    <t>Herrera, Alicia</t>
  </si>
  <si>
    <t>6GJ2C41DD90</t>
  </si>
  <si>
    <t>Weber, Judy</t>
  </si>
  <si>
    <t>5KJ8K01KK64</t>
  </si>
  <si>
    <t>Hughes, Joyce</t>
  </si>
  <si>
    <t>3XX8C47GK45</t>
  </si>
  <si>
    <t>2/18/2025</t>
  </si>
  <si>
    <t>Fine, George</t>
  </si>
  <si>
    <t>8WH9NA7PG29</t>
  </si>
  <si>
    <t>Bedoy, Maria</t>
  </si>
  <si>
    <t>7R27GQ1YJ50</t>
  </si>
  <si>
    <t>Bedoy, Jose</t>
  </si>
  <si>
    <t>2KT5M04ME75</t>
  </si>
  <si>
    <t>2/12/2025</t>
  </si>
  <si>
    <t>1/1/2025</t>
  </si>
  <si>
    <t>1/14/2025</t>
  </si>
  <si>
    <t>1/22/2025</t>
  </si>
  <si>
    <t>Hofer, Lucille</t>
  </si>
  <si>
    <t>6QY7J95HA78</t>
  </si>
  <si>
    <t>1/29/2025</t>
  </si>
  <si>
    <t>12/1/2024</t>
  </si>
  <si>
    <t>12/18/2024</t>
  </si>
  <si>
    <t>11/1/2024</t>
  </si>
  <si>
    <t>Arias, Gladys</t>
  </si>
  <si>
    <t>11/6/2024</t>
  </si>
  <si>
    <t>5YH6U84HE48</t>
  </si>
  <si>
    <t>10/11/2024</t>
  </si>
  <si>
    <t>10/2/2024</t>
  </si>
  <si>
    <t>10/1/2024</t>
  </si>
  <si>
    <t>9/22/2024</t>
  </si>
  <si>
    <t>9/6/2024</t>
  </si>
  <si>
    <t>9/5/2024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</si>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</sst>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84D5B5A6-0D34-4526-BD38-1DF2C744D45E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abSelected="1" topLeftCell="A351" workbookViewId="0">
      <selection activeCell="F92" sqref="C73:F92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>
        <v>2100.17</v>
      </c>
      <c r="F4" t="s">
        <v>140</v>
      </c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>
        <v>14054.44</v>
      </c>
      <c r="F13" t="s">
        <v>140</v>
      </c>
    </row>
    <row r="14" spans="1:9" ht="15.6" customHeight="1">
      <c r="A14" s="63">
        <v>45614</v>
      </c>
      <c r="B14" s="8">
        <v>45616</v>
      </c>
      <c r="C14" s="64">
        <v>6800.53</v>
      </c>
      <c r="F14" t="s">
        <v>140</v>
      </c>
    </row>
    <row r="15" spans="1:9" ht="15.6" customHeight="1">
      <c r="A15" s="63">
        <v>45615</v>
      </c>
      <c r="B15" s="8">
        <v>45617</v>
      </c>
      <c r="C15" s="64">
        <v>4760.37</v>
      </c>
      <c r="F15" t="s">
        <v>140</v>
      </c>
    </row>
    <row r="16" spans="1:9" ht="15.6" customHeight="1">
      <c r="A16" s="63">
        <v>45616</v>
      </c>
      <c r="B16" s="8">
        <v>45618</v>
      </c>
      <c r="C16" s="64"/>
    </row>
    <row r="17" spans="1:3" ht="15.6" customHeight="1">
      <c r="A17" s="63">
        <v>45617</v>
      </c>
      <c r="B17" s="8">
        <v>45621</v>
      </c>
      <c r="C17" s="64"/>
    </row>
    <row r="18" spans="1:3" ht="15.6" customHeight="1">
      <c r="A18" s="63">
        <v>45618</v>
      </c>
      <c r="B18" s="8">
        <v>45622</v>
      </c>
      <c r="C18" s="64"/>
    </row>
    <row r="19" spans="1:3" ht="15.6" customHeight="1">
      <c r="A19" s="63">
        <v>45621</v>
      </c>
      <c r="B19" s="8">
        <v>45623</v>
      </c>
      <c r="C19" s="64"/>
    </row>
    <row r="20" spans="1:3" ht="15.6" customHeight="1">
      <c r="A20" s="63">
        <v>45622</v>
      </c>
      <c r="B20" s="8">
        <v>45624</v>
      </c>
      <c r="C20" s="64"/>
    </row>
    <row r="21" spans="1:3" ht="15.6" customHeight="1">
      <c r="A21" s="63">
        <v>45623</v>
      </c>
      <c r="B21" s="8">
        <v>45625</v>
      </c>
      <c r="C21" s="64"/>
    </row>
    <row r="22" spans="1:3" ht="15.6" customHeight="1">
      <c r="A22" s="63">
        <v>45624</v>
      </c>
      <c r="B22" s="8">
        <v>45628</v>
      </c>
      <c r="C22" s="64"/>
    </row>
    <row r="23" spans="1:3" ht="15.6" customHeight="1">
      <c r="A23" s="63">
        <v>45625</v>
      </c>
      <c r="B23" s="8">
        <v>45629</v>
      </c>
      <c r="C23" s="64"/>
    </row>
    <row r="24" spans="1:3" ht="15.6" customHeight="1">
      <c r="A24" s="65" t="s">
        <v>141</v>
      </c>
      <c r="B24" s="66"/>
      <c r="C24" s="67">
        <f>SUM(C3:C23)</f>
        <v>27715.51</v>
      </c>
    </row>
    <row r="25" spans="1:3" ht="15.6" customHeight="1">
      <c r="A25" s="69" t="s">
        <v>142</v>
      </c>
      <c r="B25" s="70"/>
      <c r="C25" s="71"/>
    </row>
    <row r="26" spans="1:3" ht="15.6" customHeight="1">
      <c r="A26" s="63">
        <v>45628</v>
      </c>
      <c r="B26" s="8">
        <v>45630</v>
      </c>
      <c r="C26" s="64"/>
    </row>
    <row r="27" spans="1:3" ht="15.6" customHeight="1">
      <c r="A27" s="63">
        <v>45629</v>
      </c>
      <c r="B27" s="8">
        <v>45631</v>
      </c>
      <c r="C27" s="64"/>
    </row>
    <row r="28" spans="1:3" ht="15.6" customHeight="1">
      <c r="A28" s="63">
        <v>45630</v>
      </c>
      <c r="B28" s="8">
        <v>45632</v>
      </c>
      <c r="C28" s="64"/>
    </row>
    <row r="29" spans="1:3" ht="15.6" customHeight="1">
      <c r="A29" s="63">
        <v>45631</v>
      </c>
      <c r="B29" s="8">
        <v>45635</v>
      </c>
      <c r="C29" s="64"/>
    </row>
    <row r="30" spans="1:3" ht="15.6" customHeight="1">
      <c r="A30" s="63">
        <v>45632</v>
      </c>
      <c r="B30" s="8">
        <v>45636</v>
      </c>
      <c r="C30" s="64"/>
    </row>
    <row r="31" spans="1:3" ht="15.6" customHeight="1">
      <c r="A31" s="63">
        <v>45635</v>
      </c>
      <c r="B31" s="8">
        <v>45637</v>
      </c>
      <c r="C31" s="64"/>
    </row>
    <row r="32" spans="1:3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>
        <v>20783.98</v>
      </c>
      <c r="F36" t="s">
        <v>140</v>
      </c>
    </row>
    <row r="37" spans="1:6" ht="15.6" customHeight="1">
      <c r="A37" s="63">
        <v>45643</v>
      </c>
      <c r="B37" s="8">
        <v>45645</v>
      </c>
      <c r="C37" s="64">
        <v>6800.53</v>
      </c>
      <c r="F37" t="s">
        <v>140</v>
      </c>
    </row>
    <row r="38" spans="1:6" ht="15.6" customHeight="1">
      <c r="A38" s="63">
        <v>45644</v>
      </c>
      <c r="B38" s="8">
        <v>45646</v>
      </c>
      <c r="C38" s="64"/>
    </row>
    <row r="39" spans="1:6" ht="15.6" customHeight="1">
      <c r="A39" s="63">
        <v>45645</v>
      </c>
      <c r="B39" s="8">
        <v>45649</v>
      </c>
      <c r="C39" s="64"/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/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27584.51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/>
    </row>
    <row r="52" spans="1:6" ht="15.75" customHeight="1">
      <c r="A52" s="63">
        <v>45663</v>
      </c>
      <c r="B52" s="8">
        <v>45665</v>
      </c>
      <c r="C52" s="64"/>
    </row>
    <row r="53" spans="1:6" ht="15.75" customHeight="1">
      <c r="A53" s="63">
        <v>45664</v>
      </c>
      <c r="B53" s="8">
        <v>45666</v>
      </c>
      <c r="C53" s="64"/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/>
    </row>
    <row r="60" spans="1:6" ht="15.75" customHeight="1">
      <c r="A60" s="63">
        <v>45673</v>
      </c>
      <c r="B60" s="8">
        <v>45677</v>
      </c>
      <c r="C60" s="64"/>
    </row>
    <row r="61" spans="1:6" ht="15.75" customHeight="1">
      <c r="A61" s="63">
        <v>45674</v>
      </c>
      <c r="B61" s="8">
        <v>45678</v>
      </c>
      <c r="C61" s="64">
        <v>20212.810000000001</v>
      </c>
      <c r="F61" t="s">
        <v>140</v>
      </c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6" ht="15.75" customHeight="1">
      <c r="A65" s="63">
        <v>45680</v>
      </c>
      <c r="B65" s="8">
        <v>45684</v>
      </c>
      <c r="C65" s="64">
        <v>5535.37</v>
      </c>
      <c r="F65" t="s">
        <v>140</v>
      </c>
    </row>
    <row r="66" spans="1:6" ht="15.75" customHeight="1">
      <c r="A66" s="63">
        <v>45681</v>
      </c>
      <c r="B66" s="8">
        <v>45685</v>
      </c>
      <c r="C66" s="64"/>
    </row>
    <row r="67" spans="1:6" ht="15.75" customHeight="1">
      <c r="A67" s="63">
        <v>45684</v>
      </c>
      <c r="B67" s="8">
        <v>45686</v>
      </c>
      <c r="C67" s="64"/>
    </row>
    <row r="68" spans="1:6" ht="15.75" customHeight="1">
      <c r="A68" s="63">
        <v>45685</v>
      </c>
      <c r="B68" s="8">
        <v>45687</v>
      </c>
      <c r="C68" s="64"/>
    </row>
    <row r="69" spans="1:6" ht="15.75" customHeight="1">
      <c r="A69" s="63">
        <v>45686</v>
      </c>
      <c r="B69" s="8">
        <v>45688</v>
      </c>
      <c r="C69" s="64"/>
    </row>
    <row r="70" spans="1:6" ht="15.75" customHeight="1">
      <c r="A70" s="63">
        <v>45687</v>
      </c>
      <c r="B70" s="8">
        <v>45691</v>
      </c>
      <c r="C70" s="64"/>
    </row>
    <row r="71" spans="1:6" ht="15.75" customHeight="1">
      <c r="A71" s="63">
        <v>45688</v>
      </c>
      <c r="B71" s="8">
        <v>45692</v>
      </c>
      <c r="C71" s="64"/>
    </row>
    <row r="72" spans="1:6" ht="15.75" customHeight="1">
      <c r="A72" s="65" t="s">
        <v>141</v>
      </c>
      <c r="B72" s="66"/>
      <c r="C72" s="67">
        <f>SUM(C50:C71)</f>
        <v>25748.18</v>
      </c>
    </row>
    <row r="73" spans="1:6" ht="15.75" customHeight="1">
      <c r="A73" s="63">
        <v>45691</v>
      </c>
      <c r="B73" s="8">
        <v>45693</v>
      </c>
      <c r="C73" s="64"/>
    </row>
    <row r="74" spans="1:6" ht="15.75" customHeight="1">
      <c r="A74" s="63">
        <v>45692</v>
      </c>
      <c r="B74" s="8">
        <v>45694</v>
      </c>
      <c r="C74" s="64"/>
    </row>
    <row r="75" spans="1:6" ht="15.75" customHeight="1">
      <c r="A75" s="63">
        <v>45693</v>
      </c>
      <c r="B75" s="8">
        <v>45695</v>
      </c>
      <c r="C75" s="64"/>
    </row>
    <row r="76" spans="1:6" ht="15.75" customHeight="1">
      <c r="A76" s="63">
        <v>45694</v>
      </c>
      <c r="B76" s="8">
        <v>45698</v>
      </c>
      <c r="C76" s="64"/>
    </row>
    <row r="77" spans="1:6" ht="15.75" customHeight="1">
      <c r="A77" s="63">
        <v>45695</v>
      </c>
      <c r="B77" s="8">
        <v>45699</v>
      </c>
      <c r="C77" s="64"/>
    </row>
    <row r="78" spans="1:6" ht="15.75" customHeight="1">
      <c r="A78" s="63">
        <v>45698</v>
      </c>
      <c r="B78" s="8">
        <v>45700</v>
      </c>
      <c r="C78" s="64"/>
    </row>
    <row r="79" spans="1:6" ht="15.75" customHeight="1">
      <c r="A79" s="63">
        <v>45699</v>
      </c>
      <c r="B79" s="8">
        <v>45701</v>
      </c>
      <c r="C79" s="64"/>
    </row>
    <row r="80" spans="1:6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/>
    </row>
    <row r="85" spans="1:6" ht="15.75" customHeight="1">
      <c r="A85" s="63">
        <v>45707</v>
      </c>
      <c r="B85" s="8">
        <v>45709</v>
      </c>
      <c r="C85" s="64">
        <v>5535.37</v>
      </c>
      <c r="F85" t="s">
        <v>140</v>
      </c>
    </row>
    <row r="86" spans="1:6" ht="15.75" customHeight="1">
      <c r="A86" s="63">
        <v>45708</v>
      </c>
      <c r="B86" s="8">
        <v>45712</v>
      </c>
      <c r="C86" s="64">
        <v>18097.96</v>
      </c>
      <c r="F86" t="s">
        <v>140</v>
      </c>
    </row>
    <row r="87" spans="1:6" ht="15.75" customHeight="1">
      <c r="A87" s="63">
        <v>45709</v>
      </c>
      <c r="B87" s="8">
        <v>45713</v>
      </c>
      <c r="C87" s="64">
        <v>6160.99</v>
      </c>
      <c r="F87" t="s">
        <v>140</v>
      </c>
    </row>
    <row r="88" spans="1:6" ht="15.75" customHeight="1">
      <c r="A88" s="63">
        <v>45712</v>
      </c>
      <c r="B88" s="8">
        <v>45714</v>
      </c>
      <c r="C88" s="64">
        <v>4080.32</v>
      </c>
      <c r="F88" t="s">
        <v>140</v>
      </c>
    </row>
    <row r="89" spans="1:6" ht="15.75" customHeight="1">
      <c r="A89" s="63">
        <v>45713</v>
      </c>
      <c r="B89" s="8">
        <v>45715</v>
      </c>
      <c r="C89" s="64">
        <v>6347.17</v>
      </c>
      <c r="F89" t="s">
        <v>140</v>
      </c>
    </row>
    <row r="90" spans="1:6" ht="15.75" customHeight="1">
      <c r="A90" s="63">
        <v>45714</v>
      </c>
      <c r="B90" s="8">
        <v>45716</v>
      </c>
      <c r="C90" s="64">
        <v>5535.37</v>
      </c>
      <c r="F90" t="s">
        <v>140</v>
      </c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45757.18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>
        <v>32173.96</v>
      </c>
      <c r="F105" t="s">
        <v>140</v>
      </c>
    </row>
    <row r="106" spans="1:6" ht="15.75" customHeight="1">
      <c r="A106" s="63">
        <v>45735</v>
      </c>
      <c r="B106" s="8">
        <v>45737</v>
      </c>
      <c r="C106" s="64">
        <v>10887.16</v>
      </c>
      <c r="F106" t="s">
        <v>140</v>
      </c>
    </row>
    <row r="107" spans="1:6" ht="15.75" customHeight="1">
      <c r="A107" s="63">
        <v>45736</v>
      </c>
      <c r="B107" s="8">
        <v>45740</v>
      </c>
      <c r="C107" s="64">
        <v>1586.79</v>
      </c>
      <c r="F107" t="s">
        <v>140</v>
      </c>
    </row>
    <row r="108" spans="1:6" ht="15.75" customHeight="1">
      <c r="A108" s="63">
        <v>45737</v>
      </c>
      <c r="B108" s="8">
        <v>45741</v>
      </c>
      <c r="C108" s="64">
        <v>5440.42</v>
      </c>
      <c r="F108" t="s">
        <v>140</v>
      </c>
    </row>
    <row r="109" spans="1:6" ht="15.75" customHeight="1">
      <c r="A109" s="63">
        <v>45740</v>
      </c>
      <c r="B109" s="8">
        <v>45742</v>
      </c>
      <c r="C109" s="64">
        <v>4999.7</v>
      </c>
      <c r="F109" t="s">
        <v>140</v>
      </c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55088.029999999992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>
        <v>70324.02</v>
      </c>
      <c r="F128" t="s">
        <v>140</v>
      </c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>
        <v>2493.5300000000002</v>
      </c>
      <c r="F130" t="s">
        <v>140</v>
      </c>
    </row>
    <row r="131" spans="1:6" ht="15.75" customHeight="1">
      <c r="A131" s="63">
        <v>45769</v>
      </c>
      <c r="B131" s="8">
        <v>45771</v>
      </c>
      <c r="C131" s="64"/>
    </row>
    <row r="132" spans="1:6" ht="15.75" customHeight="1">
      <c r="A132" s="63">
        <v>45770</v>
      </c>
      <c r="B132" s="8">
        <v>45772</v>
      </c>
      <c r="C132" s="64"/>
    </row>
    <row r="133" spans="1:6" ht="15.75" customHeight="1">
      <c r="A133" s="63">
        <v>45771</v>
      </c>
      <c r="B133" s="8">
        <v>45775</v>
      </c>
      <c r="C133" s="64">
        <v>6930.97</v>
      </c>
      <c r="F133" t="s">
        <v>140</v>
      </c>
    </row>
    <row r="134" spans="1:6" ht="15.75" customHeight="1">
      <c r="A134" s="63">
        <v>45772</v>
      </c>
      <c r="B134" s="8">
        <v>45776</v>
      </c>
      <c r="C134" s="64"/>
    </row>
    <row r="135" spans="1:6" ht="15.75" customHeight="1">
      <c r="A135" s="63">
        <v>45775</v>
      </c>
      <c r="B135" s="8">
        <v>45777</v>
      </c>
      <c r="C135" s="64"/>
    </row>
    <row r="136" spans="1:6" ht="15.75" customHeight="1">
      <c r="A136" s="63">
        <v>45776</v>
      </c>
      <c r="B136" s="8">
        <v>45778</v>
      </c>
      <c r="C136" s="64"/>
    </row>
    <row r="137" spans="1:6" ht="15.75" customHeight="1">
      <c r="A137" s="63">
        <v>45777</v>
      </c>
      <c r="B137" s="8">
        <v>45779</v>
      </c>
      <c r="C137" s="64"/>
    </row>
    <row r="138" spans="1:6" ht="15.75" customHeight="1">
      <c r="A138" s="65" t="s">
        <v>141</v>
      </c>
      <c r="B138" s="66"/>
      <c r="C138" s="67">
        <f>SUM(C116:C137)</f>
        <v>79748.52</v>
      </c>
    </row>
    <row r="139" spans="1:6" ht="15.75" customHeight="1">
      <c r="A139" s="63">
        <v>45778</v>
      </c>
      <c r="B139" s="8">
        <v>45782</v>
      </c>
      <c r="C139" s="68"/>
    </row>
    <row r="140" spans="1:6" ht="15.75" customHeight="1">
      <c r="A140" s="63">
        <v>45779</v>
      </c>
      <c r="B140" s="8">
        <v>45783</v>
      </c>
      <c r="C140" s="64"/>
    </row>
    <row r="141" spans="1:6" ht="15.75" customHeight="1">
      <c r="A141" s="63">
        <v>45782</v>
      </c>
      <c r="B141" s="8">
        <v>45784</v>
      </c>
      <c r="C141" s="64"/>
    </row>
    <row r="142" spans="1:6" ht="15.75" customHeight="1">
      <c r="A142" s="63">
        <v>45783</v>
      </c>
      <c r="B142" s="8">
        <v>45785</v>
      </c>
      <c r="C142" s="64"/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>
        <v>57400.41</v>
      </c>
      <c r="F153" t="s">
        <v>140</v>
      </c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19192.169999999998</v>
      </c>
      <c r="F156" t="s">
        <v>140</v>
      </c>
    </row>
    <row r="157" spans="1:6" ht="15.75" customHeight="1">
      <c r="A157" s="63">
        <v>45805</v>
      </c>
      <c r="B157" s="8">
        <v>45807</v>
      </c>
      <c r="C157" s="64">
        <v>4307</v>
      </c>
      <c r="F157" t="s">
        <v>140</v>
      </c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80899.58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/>
    </row>
    <row r="172" spans="1:6" ht="15.75" customHeight="1">
      <c r="A172" s="63">
        <v>45825</v>
      </c>
      <c r="B172" s="8">
        <v>45827</v>
      </c>
      <c r="C172" s="64">
        <v>28752.13</v>
      </c>
      <c r="F172" t="s">
        <v>140</v>
      </c>
    </row>
    <row r="173" spans="1:6" ht="15.75" customHeight="1">
      <c r="A173" s="63">
        <v>45826</v>
      </c>
      <c r="B173" s="8">
        <v>45828</v>
      </c>
      <c r="C173" s="64">
        <v>2493.5300000000002</v>
      </c>
      <c r="F173" t="s">
        <v>140</v>
      </c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5817.95</v>
      </c>
      <c r="F175" t="s">
        <v>140</v>
      </c>
    </row>
    <row r="176" spans="1:6" ht="15.75" customHeight="1">
      <c r="A176" s="63">
        <v>45831</v>
      </c>
      <c r="B176" s="8">
        <v>45833</v>
      </c>
      <c r="C176" s="64">
        <v>17973.830000000002</v>
      </c>
      <c r="F176" t="s">
        <v>140</v>
      </c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>
        <v>8907.77</v>
      </c>
      <c r="F178" t="s">
        <v>140</v>
      </c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>
        <v>680.05</v>
      </c>
      <c r="F180" t="s">
        <v>140</v>
      </c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141</v>
      </c>
      <c r="B182" s="66"/>
      <c r="C182" s="67">
        <f>SUM(C161:C181)</f>
        <v>64625.260000000009</v>
      </c>
    </row>
    <row r="183" spans="1:6" ht="15.75" customHeight="1">
      <c r="A183" s="63">
        <v>45839</v>
      </c>
      <c r="B183" s="8">
        <v>45841</v>
      </c>
      <c r="C183" s="64">
        <v>1061.32</v>
      </c>
      <c r="F183" t="s">
        <v>140</v>
      </c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>
        <v>40085.050000000003</v>
      </c>
      <c r="F193" t="s">
        <v>140</v>
      </c>
    </row>
    <row r="194" spans="1:6" ht="15.75" customHeight="1">
      <c r="A194" s="63">
        <v>45855</v>
      </c>
      <c r="B194" s="8">
        <v>45859</v>
      </c>
      <c r="C194" s="64">
        <v>8614</v>
      </c>
      <c r="F194" t="s">
        <v>140</v>
      </c>
    </row>
    <row r="195" spans="1:6" ht="15.75" customHeight="1">
      <c r="A195" s="63">
        <v>45856</v>
      </c>
      <c r="B195" s="8">
        <v>45860</v>
      </c>
      <c r="C195" s="64">
        <v>3214.09</v>
      </c>
      <c r="F195" t="s">
        <v>140</v>
      </c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8961</v>
      </c>
      <c r="F198" t="s">
        <v>140</v>
      </c>
    </row>
    <row r="199" spans="1:6" ht="15.75" customHeight="1">
      <c r="A199" s="63">
        <v>45862</v>
      </c>
      <c r="B199" s="8">
        <v>45866</v>
      </c>
      <c r="C199" s="64">
        <v>4557.6499999999996</v>
      </c>
      <c r="F199" t="s">
        <v>140</v>
      </c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/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/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141</v>
      </c>
      <c r="B205" s="66"/>
      <c r="C205" s="67">
        <f>SUM(C183:C204)</f>
        <v>66493.11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/>
    </row>
    <row r="217" spans="1:6" ht="15.75" customHeight="1">
      <c r="A217" s="63">
        <v>45887</v>
      </c>
      <c r="B217" s="8">
        <v>45889</v>
      </c>
      <c r="C217" s="64">
        <v>45068.59</v>
      </c>
      <c r="F217" t="s">
        <v>140</v>
      </c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>
        <v>226.68</v>
      </c>
      <c r="F219" t="s">
        <v>140</v>
      </c>
    </row>
    <row r="220" spans="1:6" ht="15.75" customHeight="1">
      <c r="A220" s="63">
        <v>45890</v>
      </c>
      <c r="B220" s="8">
        <v>45894</v>
      </c>
      <c r="C220" s="64"/>
    </row>
    <row r="221" spans="1:6" ht="15.75" customHeight="1">
      <c r="A221" s="63">
        <v>45891</v>
      </c>
      <c r="B221" s="8">
        <v>45895</v>
      </c>
      <c r="C221" s="64"/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45295.27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>
        <v>6243.3</v>
      </c>
      <c r="F229" t="s">
        <v>140</v>
      </c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>
        <v>21776.39</v>
      </c>
      <c r="F239" t="s">
        <v>140</v>
      </c>
    </row>
    <row r="240" spans="1:6" ht="15.75" customHeight="1">
      <c r="A240" s="63">
        <v>45918</v>
      </c>
      <c r="B240" s="8">
        <v>45922</v>
      </c>
      <c r="C240" s="64"/>
    </row>
    <row r="241" spans="1:6" ht="15.75" customHeight="1">
      <c r="A241" s="63">
        <v>45919</v>
      </c>
      <c r="B241" s="8">
        <v>45923</v>
      </c>
      <c r="C241" s="64"/>
    </row>
    <row r="242" spans="1:6" ht="15.75" customHeight="1">
      <c r="A242" s="63">
        <v>45922</v>
      </c>
      <c r="B242" s="8">
        <v>45924</v>
      </c>
      <c r="C242" s="64"/>
    </row>
    <row r="243" spans="1:6" ht="15.75" customHeight="1">
      <c r="A243" s="63">
        <v>45923</v>
      </c>
      <c r="B243" s="8">
        <v>45925</v>
      </c>
      <c r="C243" s="64">
        <v>4464.01</v>
      </c>
      <c r="F243" t="s">
        <v>140</v>
      </c>
    </row>
    <row r="244" spans="1:6" ht="15.75" customHeight="1">
      <c r="A244" s="63">
        <v>45924</v>
      </c>
      <c r="B244" s="8">
        <v>45926</v>
      </c>
      <c r="C244" s="64">
        <v>5535.37</v>
      </c>
      <c r="F244" t="s">
        <v>140</v>
      </c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/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141</v>
      </c>
      <c r="B249" s="66"/>
      <c r="C249" s="67">
        <f>SUM(C228:C248)</f>
        <v>38019.07</v>
      </c>
    </row>
    <row r="250" spans="1:6" ht="15.75" customHeight="1">
      <c r="A250" s="63">
        <v>45931</v>
      </c>
      <c r="B250" s="8">
        <v>45933</v>
      </c>
      <c r="C250" s="64"/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/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>
        <v>5535.37</v>
      </c>
      <c r="F257" t="s">
        <v>140</v>
      </c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>
        <v>23229.21</v>
      </c>
      <c r="F263" t="s">
        <v>140</v>
      </c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28764.579999999998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/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29897.83</v>
      </c>
      <c r="F284" t="s">
        <v>140</v>
      </c>
    </row>
    <row r="285" spans="1:6" ht="15.75" customHeight="1">
      <c r="A285" s="63">
        <v>45979</v>
      </c>
      <c r="B285" s="8">
        <v>45981</v>
      </c>
      <c r="C285" s="64"/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2111.29</v>
      </c>
      <c r="F287" t="s">
        <v>140</v>
      </c>
    </row>
    <row r="288" spans="1:6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/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32009.120000000003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/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>
        <v>47838.81</v>
      </c>
      <c r="F304" t="s">
        <v>140</v>
      </c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/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47838.81</v>
      </c>
    </row>
    <row r="315" spans="1:8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41321.019999999997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41321.019999999997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spans="1:8" ht="15.75" customHeight="1">
      <c r="A347" s="8">
        <v>46071</v>
      </c>
      <c r="B347" s="8">
        <v>46073</v>
      </c>
      <c r="C347" s="16">
        <v>34010.17</v>
      </c>
      <c r="F347" s="17" t="s">
        <v>140</v>
      </c>
      <c r="G347" s="18"/>
      <c r="H347" s="18"/>
    </row>
    <row r="348" spans="1:8" ht="15.75" customHeight="1">
      <c r="A348" s="8">
        <v>46072</v>
      </c>
      <c r="B348" s="8">
        <v>46076</v>
      </c>
      <c r="C348" s="16">
        <v>5982.01</v>
      </c>
      <c r="F348" s="17" t="s">
        <v>140</v>
      </c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>
        <v>7132.39</v>
      </c>
      <c r="F351" s="17" t="s">
        <v>140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47124.57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/>
      <c r="F356" s="17"/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spans="1:8" ht="15.75" customHeight="1">
      <c r="A367" s="8">
        <v>46098</v>
      </c>
      <c r="B367" s="8">
        <v>46100</v>
      </c>
      <c r="C367" s="16">
        <v>34540.74</v>
      </c>
      <c r="F367" s="17" t="s">
        <v>140</v>
      </c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/>
      <c r="F370" s="17"/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34540.74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0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3"/>
  <sheetViews>
    <sheetView workbookViewId="0">
      <selection activeCell="D26" sqref="D26:D34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  <row r="2" spans="1:6">
      <c r="A2" t="s">
        <v>147</v>
      </c>
      <c r="B2" s="14" t="s">
        <v>148</v>
      </c>
      <c r="C2" s="6">
        <v>5077.51</v>
      </c>
      <c r="D2" s="7">
        <v>46098</v>
      </c>
      <c r="F2" t="s">
        <v>149</v>
      </c>
    </row>
    <row r="3" spans="1:6">
      <c r="A3" t="s">
        <v>150</v>
      </c>
      <c r="B3" s="14" t="s">
        <v>148</v>
      </c>
      <c r="C3" s="6">
        <v>6442.16</v>
      </c>
      <c r="D3" s="7">
        <v>46098</v>
      </c>
      <c r="F3" t="s">
        <v>151</v>
      </c>
    </row>
    <row r="4" spans="1:6">
      <c r="A4" t="s">
        <v>152</v>
      </c>
      <c r="B4" s="14" t="s">
        <v>153</v>
      </c>
      <c r="C4" s="6">
        <v>3681.23</v>
      </c>
      <c r="D4" s="7">
        <v>46098</v>
      </c>
      <c r="F4" t="s">
        <v>154</v>
      </c>
    </row>
    <row r="5" spans="1:6">
      <c r="A5" t="s">
        <v>155</v>
      </c>
      <c r="B5" s="14" t="s">
        <v>156</v>
      </c>
      <c r="C5" s="6">
        <v>3911.31</v>
      </c>
      <c r="D5" s="7">
        <v>46098</v>
      </c>
      <c r="F5" t="s">
        <v>157</v>
      </c>
    </row>
    <row r="6" spans="1:6">
      <c r="A6" t="s">
        <v>158</v>
      </c>
      <c r="B6" s="14" t="s">
        <v>148</v>
      </c>
      <c r="C6" s="6">
        <v>5273.51</v>
      </c>
      <c r="D6" s="7">
        <v>46098</v>
      </c>
      <c r="F6" t="s">
        <v>159</v>
      </c>
    </row>
    <row r="7" spans="1:6">
      <c r="A7" t="s">
        <v>160</v>
      </c>
      <c r="B7" s="14" t="s">
        <v>148</v>
      </c>
      <c r="C7" s="6">
        <v>5077.51</v>
      </c>
      <c r="D7" s="7">
        <v>46098</v>
      </c>
      <c r="F7" t="s">
        <v>161</v>
      </c>
    </row>
    <row r="8" spans="1:6">
      <c r="A8" t="s">
        <v>162</v>
      </c>
      <c r="B8" s="14" t="s">
        <v>148</v>
      </c>
      <c r="C8" s="6">
        <v>5077.51</v>
      </c>
      <c r="D8" s="7">
        <v>46098</v>
      </c>
      <c r="F8" t="s">
        <v>163</v>
      </c>
    </row>
    <row r="9" spans="1:6">
      <c r="A9" t="s">
        <v>164</v>
      </c>
      <c r="B9" s="14" t="s">
        <v>165</v>
      </c>
      <c r="C9" s="6">
        <v>7132.39</v>
      </c>
      <c r="D9" s="7">
        <v>46077</v>
      </c>
      <c r="F9" t="s">
        <v>166</v>
      </c>
    </row>
    <row r="10" spans="1:6">
      <c r="A10" t="s">
        <v>164</v>
      </c>
      <c r="B10" s="14" t="s">
        <v>167</v>
      </c>
      <c r="C10" s="6">
        <v>5982.01</v>
      </c>
      <c r="D10" s="7">
        <v>46072</v>
      </c>
      <c r="F10" t="s">
        <v>166</v>
      </c>
    </row>
    <row r="11" spans="1:6">
      <c r="A11" t="s">
        <v>168</v>
      </c>
      <c r="B11" s="14" t="s">
        <v>165</v>
      </c>
      <c r="C11" s="6">
        <v>3205.41</v>
      </c>
      <c r="D11" s="7">
        <v>46071</v>
      </c>
      <c r="F11" t="s">
        <v>169</v>
      </c>
    </row>
    <row r="12" spans="1:6">
      <c r="A12" t="s">
        <v>147</v>
      </c>
      <c r="B12" s="14" t="s">
        <v>165</v>
      </c>
      <c r="C12" s="6">
        <v>5817.52</v>
      </c>
      <c r="D12" s="7">
        <v>46071</v>
      </c>
      <c r="F12" t="s">
        <v>149</v>
      </c>
    </row>
    <row r="13" spans="1:6">
      <c r="A13" t="s">
        <v>150</v>
      </c>
      <c r="B13" s="14" t="s">
        <v>170</v>
      </c>
      <c r="C13" s="6">
        <v>5982.01</v>
      </c>
      <c r="D13" s="7">
        <v>46071</v>
      </c>
      <c r="F13" t="s">
        <v>151</v>
      </c>
    </row>
    <row r="14" spans="1:6">
      <c r="A14" t="s">
        <v>158</v>
      </c>
      <c r="B14" s="14" t="s">
        <v>165</v>
      </c>
      <c r="C14" s="6">
        <v>6206.38</v>
      </c>
      <c r="D14" s="7">
        <v>46071</v>
      </c>
      <c r="F14" t="s">
        <v>159</v>
      </c>
    </row>
    <row r="15" spans="1:6">
      <c r="A15" t="s">
        <v>160</v>
      </c>
      <c r="B15" s="14" t="s">
        <v>165</v>
      </c>
      <c r="C15" s="6">
        <v>5621.52</v>
      </c>
      <c r="D15" s="7">
        <v>46071</v>
      </c>
      <c r="F15" t="s">
        <v>161</v>
      </c>
    </row>
    <row r="16" spans="1:6">
      <c r="A16" t="s">
        <v>171</v>
      </c>
      <c r="B16" s="14" t="s">
        <v>165</v>
      </c>
      <c r="C16" s="6">
        <v>1555.81</v>
      </c>
      <c r="D16" s="7">
        <v>46071</v>
      </c>
      <c r="F16" t="s">
        <v>172</v>
      </c>
    </row>
    <row r="17" spans="1:6">
      <c r="A17" t="s">
        <v>162</v>
      </c>
      <c r="B17" s="14" t="s">
        <v>165</v>
      </c>
      <c r="C17" s="6">
        <v>5621.52</v>
      </c>
      <c r="D17" s="7">
        <v>46071</v>
      </c>
      <c r="F17" t="s">
        <v>163</v>
      </c>
    </row>
    <row r="18" spans="1:6">
      <c r="A18" t="s">
        <v>168</v>
      </c>
      <c r="B18" s="14" t="s">
        <v>173</v>
      </c>
      <c r="C18" s="6">
        <v>5621.52</v>
      </c>
      <c r="D18" s="7">
        <v>46038</v>
      </c>
      <c r="F18" t="s">
        <v>169</v>
      </c>
    </row>
    <row r="19" spans="1:6">
      <c r="A19" t="s">
        <v>147</v>
      </c>
      <c r="B19" s="14" t="s">
        <v>173</v>
      </c>
      <c r="C19" s="6">
        <v>5621.52</v>
      </c>
      <c r="D19" s="7">
        <v>46038</v>
      </c>
      <c r="F19" t="s">
        <v>149</v>
      </c>
    </row>
    <row r="20" spans="1:6">
      <c r="A20" t="s">
        <v>158</v>
      </c>
      <c r="B20" s="14" t="s">
        <v>173</v>
      </c>
      <c r="C20" s="6">
        <v>7132.39</v>
      </c>
      <c r="D20" s="7">
        <v>46038</v>
      </c>
      <c r="F20" t="s">
        <v>159</v>
      </c>
    </row>
    <row r="21" spans="1:6">
      <c r="A21" t="s">
        <v>160</v>
      </c>
      <c r="B21" s="14" t="s">
        <v>173</v>
      </c>
      <c r="C21" s="6">
        <v>6839.97</v>
      </c>
      <c r="D21" s="7">
        <v>46038</v>
      </c>
      <c r="F21" t="s">
        <v>161</v>
      </c>
    </row>
    <row r="22" spans="1:6">
      <c r="A22" t="s">
        <v>171</v>
      </c>
      <c r="B22" s="14" t="s">
        <v>173</v>
      </c>
      <c r="C22" s="6">
        <v>6693.75</v>
      </c>
      <c r="D22" s="7">
        <v>46038</v>
      </c>
      <c r="F22" t="s">
        <v>172</v>
      </c>
    </row>
    <row r="23" spans="1:6">
      <c r="A23" t="s">
        <v>162</v>
      </c>
      <c r="B23" s="14" t="s">
        <v>173</v>
      </c>
      <c r="C23" s="6">
        <v>6303.86</v>
      </c>
      <c r="D23" s="7">
        <v>46038</v>
      </c>
      <c r="F23" t="s">
        <v>163</v>
      </c>
    </row>
    <row r="24" spans="1:6">
      <c r="A24" t="s">
        <v>174</v>
      </c>
      <c r="B24" s="14" t="s">
        <v>173</v>
      </c>
      <c r="C24" s="6">
        <v>1994.74</v>
      </c>
      <c r="D24" s="7">
        <v>46038</v>
      </c>
      <c r="F24" t="s">
        <v>175</v>
      </c>
    </row>
    <row r="25" spans="1:6">
      <c r="A25" t="s">
        <v>176</v>
      </c>
      <c r="B25" s="14" t="s">
        <v>177</v>
      </c>
      <c r="C25" s="6">
        <v>2300.7800000000002</v>
      </c>
      <c r="D25" s="7">
        <v>46038</v>
      </c>
      <c r="F25" t="s">
        <v>178</v>
      </c>
    </row>
    <row r="26" spans="1:6">
      <c r="A26" t="s">
        <v>160</v>
      </c>
      <c r="B26" s="14" t="s">
        <v>179</v>
      </c>
      <c r="C26" s="6">
        <v>-46.68</v>
      </c>
      <c r="D26" s="7">
        <v>46038</v>
      </c>
      <c r="E26" t="s">
        <v>180</v>
      </c>
      <c r="F26" t="s">
        <v>161</v>
      </c>
    </row>
    <row r="27" spans="1:6">
      <c r="A27" t="s">
        <v>181</v>
      </c>
      <c r="B27" s="14" t="s">
        <v>182</v>
      </c>
      <c r="C27" s="6">
        <v>-74.67</v>
      </c>
      <c r="D27" s="7">
        <v>46038</v>
      </c>
      <c r="E27" t="s">
        <v>180</v>
      </c>
      <c r="F27" t="s">
        <v>183</v>
      </c>
    </row>
    <row r="28" spans="1:6">
      <c r="A28" t="s">
        <v>174</v>
      </c>
      <c r="B28" s="14" t="s">
        <v>184</v>
      </c>
      <c r="C28" s="6">
        <v>-228.31</v>
      </c>
      <c r="D28" s="7">
        <v>46038</v>
      </c>
      <c r="E28" t="s">
        <v>180</v>
      </c>
      <c r="F28" t="s">
        <v>175</v>
      </c>
    </row>
    <row r="29" spans="1:6">
      <c r="A29" t="s">
        <v>185</v>
      </c>
      <c r="B29" s="14" t="s">
        <v>184</v>
      </c>
      <c r="C29" s="6">
        <v>-74.67</v>
      </c>
      <c r="D29" s="7">
        <v>46038</v>
      </c>
      <c r="E29" t="s">
        <v>180</v>
      </c>
      <c r="F29" t="s">
        <v>186</v>
      </c>
    </row>
    <row r="30" spans="1:6">
      <c r="A30" t="s">
        <v>162</v>
      </c>
      <c r="B30" s="14" t="s">
        <v>187</v>
      </c>
      <c r="C30" s="6">
        <v>-149.35</v>
      </c>
      <c r="D30" s="7">
        <v>46038</v>
      </c>
      <c r="E30" t="s">
        <v>180</v>
      </c>
      <c r="F30" t="s">
        <v>163</v>
      </c>
    </row>
    <row r="31" spans="1:6">
      <c r="A31" t="s">
        <v>171</v>
      </c>
      <c r="B31" s="14" t="s">
        <v>182</v>
      </c>
      <c r="C31" s="6">
        <v>-74.67</v>
      </c>
      <c r="D31" s="7">
        <v>46038</v>
      </c>
      <c r="E31" t="s">
        <v>180</v>
      </c>
      <c r="F31" t="s">
        <v>172</v>
      </c>
    </row>
    <row r="32" spans="1:6">
      <c r="A32" t="s">
        <v>188</v>
      </c>
      <c r="B32" s="14" t="s">
        <v>182</v>
      </c>
      <c r="C32" s="6">
        <v>-74.67</v>
      </c>
      <c r="D32" s="7">
        <v>46038</v>
      </c>
      <c r="E32" t="s">
        <v>180</v>
      </c>
      <c r="F32" t="s">
        <v>189</v>
      </c>
    </row>
    <row r="33" spans="1:6">
      <c r="A33" t="s">
        <v>168</v>
      </c>
      <c r="B33" s="14" t="s">
        <v>184</v>
      </c>
      <c r="C33" s="6">
        <v>-236.18</v>
      </c>
      <c r="D33" s="7">
        <v>46038</v>
      </c>
      <c r="E33" t="s">
        <v>180</v>
      </c>
      <c r="F33" t="s">
        <v>169</v>
      </c>
    </row>
    <row r="34" spans="1:6">
      <c r="A34" t="s">
        <v>147</v>
      </c>
      <c r="B34" s="14" t="s">
        <v>184</v>
      </c>
      <c r="C34" s="6">
        <v>-228.31</v>
      </c>
      <c r="D34" s="7">
        <v>46038</v>
      </c>
      <c r="E34" t="s">
        <v>180</v>
      </c>
      <c r="F34" t="s">
        <v>149</v>
      </c>
    </row>
    <row r="35" spans="1:6">
      <c r="A35" t="s">
        <v>181</v>
      </c>
      <c r="B35" s="14" t="s">
        <v>190</v>
      </c>
      <c r="C35" s="6">
        <v>4141.3900000000003</v>
      </c>
      <c r="D35" s="7">
        <v>46007</v>
      </c>
      <c r="F35" t="s">
        <v>183</v>
      </c>
    </row>
    <row r="36" spans="1:6">
      <c r="A36" t="s">
        <v>168</v>
      </c>
      <c r="B36" s="14" t="s">
        <v>190</v>
      </c>
      <c r="C36" s="6">
        <v>5440.19</v>
      </c>
      <c r="D36" s="7">
        <v>46007</v>
      </c>
      <c r="F36" t="s">
        <v>169</v>
      </c>
    </row>
    <row r="37" spans="1:6">
      <c r="A37" t="s">
        <v>147</v>
      </c>
      <c r="B37" s="14" t="s">
        <v>190</v>
      </c>
      <c r="C37" s="6">
        <v>5440.19</v>
      </c>
      <c r="D37" s="7">
        <v>46007</v>
      </c>
      <c r="F37" t="s">
        <v>149</v>
      </c>
    </row>
    <row r="38" spans="1:6">
      <c r="A38" t="s">
        <v>191</v>
      </c>
      <c r="B38" s="14" t="s">
        <v>192</v>
      </c>
      <c r="C38" s="6">
        <v>2758.58</v>
      </c>
      <c r="D38" s="7">
        <v>46007</v>
      </c>
      <c r="F38" t="s">
        <v>193</v>
      </c>
    </row>
    <row r="39" spans="1:6">
      <c r="A39" t="s">
        <v>158</v>
      </c>
      <c r="B39" s="14" t="s">
        <v>194</v>
      </c>
      <c r="C39" s="6">
        <v>3911.31</v>
      </c>
      <c r="D39" s="7">
        <v>46007</v>
      </c>
      <c r="F39" t="s">
        <v>159</v>
      </c>
    </row>
    <row r="40" spans="1:6">
      <c r="A40" t="s">
        <v>171</v>
      </c>
      <c r="B40" s="14" t="s">
        <v>190</v>
      </c>
      <c r="C40" s="6">
        <v>6902.32</v>
      </c>
      <c r="D40" s="7">
        <v>46007</v>
      </c>
      <c r="F40" t="s">
        <v>172</v>
      </c>
    </row>
    <row r="41" spans="1:6">
      <c r="A41" t="s">
        <v>160</v>
      </c>
      <c r="B41" s="14" t="s">
        <v>190</v>
      </c>
      <c r="C41" s="6">
        <v>6902.32</v>
      </c>
      <c r="D41" s="7">
        <v>46007</v>
      </c>
      <c r="F41" t="s">
        <v>161</v>
      </c>
    </row>
    <row r="42" spans="1:6">
      <c r="A42" t="s">
        <v>162</v>
      </c>
      <c r="B42" s="14" t="s">
        <v>190</v>
      </c>
      <c r="C42" s="6">
        <v>6902.32</v>
      </c>
      <c r="D42" s="7">
        <v>46007</v>
      </c>
      <c r="F42" t="s">
        <v>163</v>
      </c>
    </row>
    <row r="43" spans="1:6">
      <c r="A43" t="s">
        <v>174</v>
      </c>
      <c r="B43" s="14" t="s">
        <v>190</v>
      </c>
      <c r="C43" s="6">
        <v>5440.19</v>
      </c>
      <c r="D43" s="7">
        <v>46007</v>
      </c>
      <c r="F43" t="s">
        <v>175</v>
      </c>
    </row>
    <row r="44" spans="1:6">
      <c r="A44" t="s">
        <v>168</v>
      </c>
      <c r="B44" s="14" t="s">
        <v>195</v>
      </c>
      <c r="C44" s="6">
        <v>6800.53</v>
      </c>
      <c r="D44" s="7">
        <v>45950</v>
      </c>
      <c r="F44" t="s">
        <v>169</v>
      </c>
    </row>
    <row r="45" spans="1:6">
      <c r="A45" t="s">
        <v>196</v>
      </c>
      <c r="B45" s="14" t="s">
        <v>197</v>
      </c>
      <c r="C45" s="6">
        <v>1023.55</v>
      </c>
      <c r="D45" s="7">
        <v>45950</v>
      </c>
      <c r="F45" t="s">
        <v>198</v>
      </c>
    </row>
    <row r="46" spans="1:6">
      <c r="A46" t="s">
        <v>147</v>
      </c>
      <c r="B46" s="14" t="s">
        <v>195</v>
      </c>
      <c r="C46" s="6">
        <v>5356.82</v>
      </c>
      <c r="D46" s="7">
        <v>45950</v>
      </c>
      <c r="F46" t="s">
        <v>149</v>
      </c>
    </row>
    <row r="47" spans="1:6">
      <c r="A47" t="s">
        <v>174</v>
      </c>
      <c r="B47" s="14" t="s">
        <v>195</v>
      </c>
      <c r="C47" s="6">
        <v>5356.82</v>
      </c>
      <c r="D47" s="7">
        <v>45950</v>
      </c>
      <c r="F47" t="s">
        <v>175</v>
      </c>
    </row>
    <row r="48" spans="1:6">
      <c r="A48" t="s">
        <v>185</v>
      </c>
      <c r="B48" s="14" t="s">
        <v>199</v>
      </c>
      <c r="C48" s="6">
        <v>3626.95</v>
      </c>
      <c r="D48" s="7">
        <v>45950</v>
      </c>
      <c r="F48" t="s">
        <v>186</v>
      </c>
    </row>
    <row r="49" spans="1:6">
      <c r="A49" t="s">
        <v>200</v>
      </c>
      <c r="B49" s="14" t="s">
        <v>195</v>
      </c>
      <c r="C49" s="6">
        <v>1064.54</v>
      </c>
      <c r="D49" s="7">
        <v>45950</v>
      </c>
      <c r="F49" t="s">
        <v>201</v>
      </c>
    </row>
    <row r="50" spans="1:6">
      <c r="A50" t="s">
        <v>200</v>
      </c>
      <c r="B50" s="14" t="s">
        <v>202</v>
      </c>
      <c r="C50" s="6">
        <v>5535.37</v>
      </c>
      <c r="D50" s="7">
        <v>45940</v>
      </c>
      <c r="F50" t="s">
        <v>201</v>
      </c>
    </row>
    <row r="51" spans="1:6">
      <c r="A51" t="s">
        <v>200</v>
      </c>
      <c r="B51" s="14" t="s">
        <v>203</v>
      </c>
      <c r="C51" s="6">
        <v>5535.37</v>
      </c>
      <c r="D51" s="7">
        <v>45924</v>
      </c>
      <c r="F51" t="s">
        <v>201</v>
      </c>
    </row>
    <row r="52" spans="1:6">
      <c r="A52" t="s">
        <v>204</v>
      </c>
      <c r="B52" s="14" t="s">
        <v>202</v>
      </c>
      <c r="C52" s="6">
        <v>4464.01</v>
      </c>
      <c r="D52" s="7">
        <v>45923</v>
      </c>
      <c r="F52" t="s">
        <v>205</v>
      </c>
    </row>
    <row r="53" spans="1:6">
      <c r="A53" t="s">
        <v>147</v>
      </c>
      <c r="B53" s="14" t="s">
        <v>202</v>
      </c>
      <c r="C53" s="6">
        <v>5535.37</v>
      </c>
      <c r="D53" s="7">
        <v>45917</v>
      </c>
      <c r="F53" t="s">
        <v>149</v>
      </c>
    </row>
    <row r="54" spans="1:6">
      <c r="A54" t="s">
        <v>174</v>
      </c>
      <c r="B54" s="14" t="s">
        <v>202</v>
      </c>
      <c r="C54" s="6">
        <v>6353.48</v>
      </c>
      <c r="D54" s="7">
        <v>45917</v>
      </c>
      <c r="F54" t="s">
        <v>175</v>
      </c>
    </row>
    <row r="55" spans="1:6">
      <c r="A55" t="s">
        <v>168</v>
      </c>
      <c r="B55" s="14" t="s">
        <v>206</v>
      </c>
      <c r="C55" s="6">
        <v>5893.8</v>
      </c>
      <c r="D55" s="7">
        <v>45917</v>
      </c>
      <c r="F55" t="s">
        <v>169</v>
      </c>
    </row>
    <row r="56" spans="1:6">
      <c r="A56" t="s">
        <v>207</v>
      </c>
      <c r="B56" s="14" t="s">
        <v>202</v>
      </c>
      <c r="C56" s="6">
        <v>3993.74</v>
      </c>
      <c r="D56" s="7">
        <v>45917</v>
      </c>
      <c r="F56" t="s">
        <v>208</v>
      </c>
    </row>
    <row r="57" spans="1:6">
      <c r="A57" t="s">
        <v>204</v>
      </c>
      <c r="B57" s="14" t="s">
        <v>209</v>
      </c>
      <c r="C57" s="6">
        <v>453.37</v>
      </c>
      <c r="D57" s="7">
        <v>45903</v>
      </c>
      <c r="F57" t="s">
        <v>205</v>
      </c>
    </row>
    <row r="58" spans="1:6">
      <c r="A58" t="s">
        <v>200</v>
      </c>
      <c r="B58" s="14" t="s">
        <v>210</v>
      </c>
      <c r="C58" s="6">
        <v>5789.93</v>
      </c>
      <c r="D58" s="7">
        <v>45903</v>
      </c>
      <c r="F58" t="s">
        <v>201</v>
      </c>
    </row>
    <row r="59" spans="1:6">
      <c r="A59" t="s">
        <v>200</v>
      </c>
      <c r="B59" s="14" t="s">
        <v>211</v>
      </c>
      <c r="C59" s="6">
        <v>226.68</v>
      </c>
      <c r="D59" s="7">
        <v>45889</v>
      </c>
      <c r="F59" t="s">
        <v>201</v>
      </c>
    </row>
    <row r="60" spans="1:6">
      <c r="A60" t="s">
        <v>212</v>
      </c>
      <c r="B60" s="14" t="s">
        <v>203</v>
      </c>
      <c r="C60" s="6">
        <v>1215.8800000000001</v>
      </c>
      <c r="D60" s="7">
        <v>45887</v>
      </c>
      <c r="F60" t="s">
        <v>213</v>
      </c>
    </row>
    <row r="61" spans="1:6">
      <c r="A61" t="s">
        <v>214</v>
      </c>
      <c r="B61" s="14" t="s">
        <v>203</v>
      </c>
      <c r="C61" s="6">
        <v>906.74</v>
      </c>
      <c r="D61" s="7">
        <v>45887</v>
      </c>
      <c r="F61" t="s">
        <v>215</v>
      </c>
    </row>
    <row r="62" spans="1:6">
      <c r="A62" t="s">
        <v>216</v>
      </c>
      <c r="B62" s="14" t="s">
        <v>203</v>
      </c>
      <c r="C62" s="6">
        <v>3035.53</v>
      </c>
      <c r="D62" s="7">
        <v>45887</v>
      </c>
      <c r="F62" t="s">
        <v>217</v>
      </c>
    </row>
    <row r="63" spans="1:6">
      <c r="A63" t="s">
        <v>218</v>
      </c>
      <c r="B63" s="14" t="s">
        <v>203</v>
      </c>
      <c r="C63" s="6">
        <v>3853.63</v>
      </c>
      <c r="D63" s="7">
        <v>45887</v>
      </c>
      <c r="F63" t="s">
        <v>219</v>
      </c>
    </row>
    <row r="64" spans="1:6">
      <c r="A64" t="s">
        <v>147</v>
      </c>
      <c r="B64" s="14" t="s">
        <v>203</v>
      </c>
      <c r="C64" s="6">
        <v>6257.23</v>
      </c>
      <c r="D64" s="7">
        <v>45887</v>
      </c>
      <c r="F64" t="s">
        <v>149</v>
      </c>
    </row>
    <row r="65" spans="1:6">
      <c r="A65" t="s">
        <v>220</v>
      </c>
      <c r="B65" s="14" t="s">
        <v>203</v>
      </c>
      <c r="C65" s="6">
        <v>4821.13</v>
      </c>
      <c r="D65" s="7">
        <v>45887</v>
      </c>
      <c r="F65" t="s">
        <v>221</v>
      </c>
    </row>
    <row r="66" spans="1:6">
      <c r="A66" t="s">
        <v>222</v>
      </c>
      <c r="B66" s="14" t="s">
        <v>203</v>
      </c>
      <c r="C66" s="6">
        <v>5682.37</v>
      </c>
      <c r="D66" s="7">
        <v>45887</v>
      </c>
      <c r="F66" t="s">
        <v>223</v>
      </c>
    </row>
    <row r="67" spans="1:6">
      <c r="A67" t="s">
        <v>204</v>
      </c>
      <c r="B67" s="14" t="s">
        <v>203</v>
      </c>
      <c r="C67" s="6">
        <v>5535.37</v>
      </c>
      <c r="D67" s="7">
        <v>45887</v>
      </c>
      <c r="F67" t="s">
        <v>205</v>
      </c>
    </row>
    <row r="68" spans="1:6">
      <c r="A68" t="s">
        <v>207</v>
      </c>
      <c r="B68" s="14" t="s">
        <v>203</v>
      </c>
      <c r="C68" s="6">
        <v>5826.75</v>
      </c>
      <c r="D68" s="7">
        <v>45887</v>
      </c>
      <c r="F68" t="s">
        <v>208</v>
      </c>
    </row>
    <row r="69" spans="1:6">
      <c r="A69" t="s">
        <v>224</v>
      </c>
      <c r="B69" s="14" t="s">
        <v>225</v>
      </c>
      <c r="C69" s="6">
        <v>906.74</v>
      </c>
      <c r="D69" s="7">
        <v>45887</v>
      </c>
      <c r="F69" t="s">
        <v>226</v>
      </c>
    </row>
    <row r="70" spans="1:6">
      <c r="A70" t="s">
        <v>174</v>
      </c>
      <c r="B70" s="14" t="s">
        <v>203</v>
      </c>
      <c r="C70" s="6">
        <v>7027.22</v>
      </c>
      <c r="D70" s="7">
        <v>45887</v>
      </c>
      <c r="F70" t="s">
        <v>175</v>
      </c>
    </row>
    <row r="71" spans="1:6">
      <c r="A71" t="s">
        <v>227</v>
      </c>
      <c r="B71" s="14" t="s">
        <v>210</v>
      </c>
      <c r="C71" s="6">
        <v>714.24</v>
      </c>
      <c r="D71" s="7">
        <v>45862</v>
      </c>
      <c r="F71" t="s">
        <v>228</v>
      </c>
    </row>
    <row r="72" spans="1:6">
      <c r="A72" t="s">
        <v>191</v>
      </c>
      <c r="B72" s="14" t="s">
        <v>229</v>
      </c>
      <c r="C72" s="6">
        <v>906.74</v>
      </c>
      <c r="D72" s="7">
        <v>45862</v>
      </c>
      <c r="F72" t="s">
        <v>193</v>
      </c>
    </row>
    <row r="73" spans="1:6">
      <c r="A73" t="s">
        <v>230</v>
      </c>
      <c r="B73" s="14" t="s">
        <v>231</v>
      </c>
      <c r="C73" s="6">
        <v>2936.67</v>
      </c>
      <c r="D73" s="7">
        <v>45862</v>
      </c>
      <c r="F73" t="s">
        <v>232</v>
      </c>
    </row>
    <row r="74" spans="1:6">
      <c r="A74" t="s">
        <v>233</v>
      </c>
      <c r="B74" s="14" t="s">
        <v>234</v>
      </c>
      <c r="C74" s="6">
        <v>2160.4699999999998</v>
      </c>
      <c r="D74" s="7">
        <v>45861</v>
      </c>
      <c r="F74" t="s">
        <v>235</v>
      </c>
    </row>
    <row r="75" spans="1:6">
      <c r="A75" t="s">
        <v>214</v>
      </c>
      <c r="B75" s="14" t="s">
        <v>210</v>
      </c>
      <c r="C75" s="6">
        <v>6800.53</v>
      </c>
      <c r="D75" s="7">
        <v>45861</v>
      </c>
      <c r="F75" t="s">
        <v>215</v>
      </c>
    </row>
    <row r="76" spans="1:6">
      <c r="A76" t="s">
        <v>236</v>
      </c>
      <c r="B76" s="14" t="s">
        <v>210</v>
      </c>
      <c r="C76" s="6">
        <v>3214.09</v>
      </c>
      <c r="D76" s="7">
        <v>45856</v>
      </c>
      <c r="F76" t="s">
        <v>237</v>
      </c>
    </row>
    <row r="77" spans="1:6">
      <c r="A77" t="s">
        <v>147</v>
      </c>
      <c r="B77" s="14" t="s">
        <v>210</v>
      </c>
      <c r="C77" s="6">
        <v>6800.53</v>
      </c>
      <c r="D77" s="7">
        <v>45855</v>
      </c>
      <c r="F77" t="s">
        <v>149</v>
      </c>
    </row>
    <row r="78" spans="1:6">
      <c r="A78" t="s">
        <v>238</v>
      </c>
      <c r="B78" s="14" t="s">
        <v>210</v>
      </c>
      <c r="C78" s="6">
        <v>1813.47</v>
      </c>
      <c r="D78" s="7">
        <v>45855</v>
      </c>
      <c r="F78" t="s">
        <v>239</v>
      </c>
    </row>
    <row r="79" spans="1:6">
      <c r="A79" t="s">
        <v>218</v>
      </c>
      <c r="B79" s="14" t="s">
        <v>240</v>
      </c>
      <c r="C79" s="6">
        <v>2946.9</v>
      </c>
      <c r="D79" s="7">
        <v>45854</v>
      </c>
      <c r="F79" t="s">
        <v>219</v>
      </c>
    </row>
    <row r="80" spans="1:6">
      <c r="A80" t="s">
        <v>212</v>
      </c>
      <c r="B80" s="14" t="s">
        <v>241</v>
      </c>
      <c r="C80" s="6">
        <v>5213.74</v>
      </c>
      <c r="D80" s="7">
        <v>45854</v>
      </c>
      <c r="F80" t="s">
        <v>213</v>
      </c>
    </row>
    <row r="81" spans="1:6">
      <c r="A81" t="s">
        <v>227</v>
      </c>
      <c r="B81" s="14" t="s">
        <v>242</v>
      </c>
      <c r="C81" s="6">
        <v>2142.7199999999998</v>
      </c>
      <c r="D81" s="7">
        <v>45854</v>
      </c>
      <c r="F81" t="s">
        <v>228</v>
      </c>
    </row>
    <row r="82" spans="1:6">
      <c r="A82" t="s">
        <v>174</v>
      </c>
      <c r="B82" s="14" t="s">
        <v>243</v>
      </c>
      <c r="C82" s="6">
        <v>1360.1</v>
      </c>
      <c r="D82" s="7">
        <v>45854</v>
      </c>
      <c r="F82" t="s">
        <v>175</v>
      </c>
    </row>
    <row r="83" spans="1:6">
      <c r="A83" t="s">
        <v>244</v>
      </c>
      <c r="B83" s="14" t="s">
        <v>210</v>
      </c>
      <c r="C83" s="6">
        <v>1249.92</v>
      </c>
      <c r="D83" s="7">
        <v>45854</v>
      </c>
      <c r="F83" t="s">
        <v>245</v>
      </c>
    </row>
    <row r="84" spans="1:6">
      <c r="A84" t="s">
        <v>207</v>
      </c>
      <c r="B84" s="14" t="s">
        <v>210</v>
      </c>
      <c r="C84" s="6">
        <v>6800.53</v>
      </c>
      <c r="D84" s="7">
        <v>45854</v>
      </c>
      <c r="F84" t="s">
        <v>208</v>
      </c>
    </row>
    <row r="85" spans="1:6">
      <c r="A85" t="s">
        <v>216</v>
      </c>
      <c r="B85" s="14" t="s">
        <v>210</v>
      </c>
      <c r="C85" s="6">
        <v>6271.17</v>
      </c>
      <c r="D85" s="7">
        <v>45854</v>
      </c>
      <c r="F85" t="s">
        <v>217</v>
      </c>
    </row>
    <row r="86" spans="1:6">
      <c r="A86" t="s">
        <v>204</v>
      </c>
      <c r="B86" s="14" t="s">
        <v>246</v>
      </c>
      <c r="C86" s="6">
        <v>2932.96</v>
      </c>
      <c r="D86" s="7">
        <v>45854</v>
      </c>
      <c r="F86" t="s">
        <v>205</v>
      </c>
    </row>
    <row r="87" spans="1:6">
      <c r="A87" t="s">
        <v>222</v>
      </c>
      <c r="B87" s="14" t="s">
        <v>210</v>
      </c>
      <c r="C87" s="6">
        <v>5356.82</v>
      </c>
      <c r="D87" s="7">
        <v>45854</v>
      </c>
      <c r="F87" t="s">
        <v>223</v>
      </c>
    </row>
    <row r="88" spans="1:6">
      <c r="A88" t="s">
        <v>220</v>
      </c>
      <c r="B88" s="14" t="s">
        <v>210</v>
      </c>
      <c r="C88" s="6">
        <v>5356.82</v>
      </c>
      <c r="D88" s="7">
        <v>45854</v>
      </c>
      <c r="F88" t="s">
        <v>221</v>
      </c>
    </row>
    <row r="89" spans="1:6">
      <c r="A89" t="s">
        <v>214</v>
      </c>
      <c r="B89" s="14" t="s">
        <v>247</v>
      </c>
      <c r="C89" s="6">
        <v>453.37</v>
      </c>
      <c r="D89" s="7">
        <v>45854</v>
      </c>
      <c r="F89" t="s">
        <v>215</v>
      </c>
    </row>
    <row r="90" spans="1:6">
      <c r="A90" t="s">
        <v>248</v>
      </c>
      <c r="B90" s="14" t="s">
        <v>249</v>
      </c>
      <c r="C90" s="6">
        <v>1061.32</v>
      </c>
      <c r="D90" s="7">
        <v>45839</v>
      </c>
      <c r="F90" t="s">
        <v>250</v>
      </c>
    </row>
    <row r="91" spans="1:6">
      <c r="A91" t="s">
        <v>238</v>
      </c>
      <c r="B91" s="14" t="s">
        <v>251</v>
      </c>
      <c r="C91" s="6">
        <v>680.05</v>
      </c>
      <c r="D91" s="7">
        <v>45835</v>
      </c>
      <c r="F91" t="s">
        <v>239</v>
      </c>
    </row>
    <row r="92" spans="1:6">
      <c r="A92" t="s">
        <v>252</v>
      </c>
      <c r="B92" s="14" t="s">
        <v>209</v>
      </c>
      <c r="C92" s="6">
        <v>1607.04</v>
      </c>
      <c r="D92" s="7">
        <v>45833</v>
      </c>
      <c r="F92" t="s">
        <v>253</v>
      </c>
    </row>
    <row r="93" spans="1:6">
      <c r="A93" t="s">
        <v>227</v>
      </c>
      <c r="B93" s="14" t="s">
        <v>254</v>
      </c>
      <c r="C93" s="6">
        <v>4285.45</v>
      </c>
      <c r="D93" s="7">
        <v>45833</v>
      </c>
      <c r="F93" t="s">
        <v>228</v>
      </c>
    </row>
    <row r="94" spans="1:6">
      <c r="A94" t="s">
        <v>255</v>
      </c>
      <c r="B94" s="14" t="s">
        <v>209</v>
      </c>
      <c r="C94" s="6">
        <v>1428.49</v>
      </c>
      <c r="D94" s="7">
        <v>45833</v>
      </c>
      <c r="F94" t="s">
        <v>256</v>
      </c>
    </row>
    <row r="95" spans="1:6">
      <c r="A95" t="s">
        <v>230</v>
      </c>
      <c r="B95" s="14" t="s">
        <v>257</v>
      </c>
      <c r="C95" s="6">
        <v>1586.79</v>
      </c>
      <c r="D95" s="7">
        <v>45833</v>
      </c>
      <c r="F95" t="s">
        <v>232</v>
      </c>
    </row>
    <row r="96" spans="1:6">
      <c r="A96" t="s">
        <v>258</v>
      </c>
      <c r="B96" s="14" t="s">
        <v>209</v>
      </c>
      <c r="C96" s="6">
        <v>2238.98</v>
      </c>
      <c r="D96" s="7">
        <v>45831</v>
      </c>
      <c r="F96" t="s">
        <v>259</v>
      </c>
    </row>
    <row r="97" spans="1:6">
      <c r="A97" t="s">
        <v>220</v>
      </c>
      <c r="B97" s="14" t="s">
        <v>209</v>
      </c>
      <c r="C97" s="6">
        <v>5535.37</v>
      </c>
      <c r="D97" s="7">
        <v>45831</v>
      </c>
      <c r="F97" t="s">
        <v>221</v>
      </c>
    </row>
    <row r="98" spans="1:6">
      <c r="A98" t="s">
        <v>236</v>
      </c>
      <c r="B98" s="14" t="s">
        <v>209</v>
      </c>
      <c r="C98" s="6">
        <v>6449.72</v>
      </c>
      <c r="D98" s="7">
        <v>45831</v>
      </c>
      <c r="F98" t="s">
        <v>237</v>
      </c>
    </row>
    <row r="99" spans="1:6">
      <c r="A99" t="s">
        <v>260</v>
      </c>
      <c r="B99" s="14" t="s">
        <v>209</v>
      </c>
      <c r="C99" s="6">
        <v>2142.7199999999998</v>
      </c>
      <c r="D99" s="7">
        <v>45831</v>
      </c>
      <c r="F99" t="s">
        <v>261</v>
      </c>
    </row>
    <row r="100" spans="1:6">
      <c r="A100" t="s">
        <v>262</v>
      </c>
      <c r="B100" s="14" t="s">
        <v>209</v>
      </c>
      <c r="C100" s="6">
        <v>1607.04</v>
      </c>
      <c r="D100" s="7">
        <v>45831</v>
      </c>
      <c r="F100" t="s">
        <v>263</v>
      </c>
    </row>
    <row r="101" spans="1:6">
      <c r="A101" t="s">
        <v>264</v>
      </c>
      <c r="B101" s="14" t="s">
        <v>209</v>
      </c>
      <c r="C101" s="6">
        <v>5817.95</v>
      </c>
      <c r="D101" s="7">
        <v>45828</v>
      </c>
      <c r="F101" t="s">
        <v>265</v>
      </c>
    </row>
    <row r="102" spans="1:6">
      <c r="A102" t="s">
        <v>266</v>
      </c>
      <c r="B102" s="14" t="s">
        <v>267</v>
      </c>
      <c r="C102" s="6">
        <v>2493.5300000000002</v>
      </c>
      <c r="D102" s="7">
        <v>45826</v>
      </c>
      <c r="F102" t="s">
        <v>268</v>
      </c>
    </row>
    <row r="103" spans="1:6">
      <c r="A103" t="s">
        <v>258</v>
      </c>
      <c r="B103" s="14" t="s">
        <v>269</v>
      </c>
      <c r="C103" s="6">
        <v>1133.42</v>
      </c>
      <c r="D103" s="7">
        <v>45825</v>
      </c>
      <c r="F103" t="s">
        <v>259</v>
      </c>
    </row>
    <row r="104" spans="1:6">
      <c r="A104" t="s">
        <v>147</v>
      </c>
      <c r="B104" s="14" t="s">
        <v>270</v>
      </c>
      <c r="C104" s="6">
        <v>3400.27</v>
      </c>
      <c r="D104" s="7">
        <v>45825</v>
      </c>
      <c r="F104" t="s">
        <v>149</v>
      </c>
    </row>
    <row r="105" spans="1:6">
      <c r="A105" t="s">
        <v>207</v>
      </c>
      <c r="B105" s="14" t="s">
        <v>271</v>
      </c>
      <c r="C105" s="6">
        <v>6120.48</v>
      </c>
      <c r="D105" s="7">
        <v>45825</v>
      </c>
      <c r="F105" t="s">
        <v>208</v>
      </c>
    </row>
    <row r="106" spans="1:6">
      <c r="A106" t="s">
        <v>222</v>
      </c>
      <c r="B106" s="14" t="s">
        <v>209</v>
      </c>
      <c r="C106" s="6">
        <v>5535.37</v>
      </c>
      <c r="D106" s="7">
        <v>45825</v>
      </c>
      <c r="F106" t="s">
        <v>223</v>
      </c>
    </row>
    <row r="107" spans="1:6">
      <c r="A107" t="s">
        <v>244</v>
      </c>
      <c r="B107" s="14" t="s">
        <v>209</v>
      </c>
      <c r="C107" s="6">
        <v>5535.37</v>
      </c>
      <c r="D107" s="7">
        <v>45825</v>
      </c>
      <c r="F107" t="s">
        <v>245</v>
      </c>
    </row>
    <row r="108" spans="1:6">
      <c r="A108" t="s">
        <v>216</v>
      </c>
      <c r="B108" s="14" t="s">
        <v>209</v>
      </c>
      <c r="C108" s="6">
        <v>7027.22</v>
      </c>
      <c r="D108" s="7">
        <v>45825</v>
      </c>
      <c r="F108" t="s">
        <v>217</v>
      </c>
    </row>
    <row r="109" spans="1:6">
      <c r="A109" t="s">
        <v>272</v>
      </c>
      <c r="B109" s="14" t="s">
        <v>273</v>
      </c>
      <c r="C109" s="6">
        <v>4307</v>
      </c>
      <c r="D109" s="7">
        <v>45805</v>
      </c>
      <c r="F109" t="s">
        <v>274</v>
      </c>
    </row>
    <row r="110" spans="1:6">
      <c r="A110" t="s">
        <v>258</v>
      </c>
      <c r="B110" s="14" t="s">
        <v>273</v>
      </c>
      <c r="C110" s="6">
        <v>4760.37</v>
      </c>
      <c r="D110" s="7">
        <v>45804</v>
      </c>
      <c r="F110" t="s">
        <v>259</v>
      </c>
    </row>
    <row r="111" spans="1:6">
      <c r="A111" t="s">
        <v>222</v>
      </c>
      <c r="B111" s="14" t="s">
        <v>273</v>
      </c>
      <c r="C111" s="6">
        <v>6271.17</v>
      </c>
      <c r="D111" s="7">
        <v>45804</v>
      </c>
      <c r="F111" t="s">
        <v>223</v>
      </c>
    </row>
    <row r="112" spans="1:6">
      <c r="A112" t="s">
        <v>236</v>
      </c>
      <c r="B112" s="14" t="s">
        <v>273</v>
      </c>
      <c r="C112" s="6">
        <v>6800.53</v>
      </c>
      <c r="D112" s="7">
        <v>45804</v>
      </c>
      <c r="F112" t="s">
        <v>237</v>
      </c>
    </row>
    <row r="113" spans="1:6">
      <c r="A113" t="s">
        <v>275</v>
      </c>
      <c r="B113" s="14" t="s">
        <v>276</v>
      </c>
      <c r="C113" s="6">
        <v>1360.1</v>
      </c>
      <c r="D113" s="7">
        <v>45804</v>
      </c>
      <c r="F113" t="s">
        <v>277</v>
      </c>
    </row>
    <row r="114" spans="1:6">
      <c r="A114" t="s">
        <v>216</v>
      </c>
      <c r="B114" s="14" t="s">
        <v>278</v>
      </c>
      <c r="C114" s="6">
        <v>2266.85</v>
      </c>
      <c r="D114" s="7">
        <v>45798</v>
      </c>
      <c r="F114" t="s">
        <v>217</v>
      </c>
    </row>
    <row r="115" spans="1:6">
      <c r="A115" t="s">
        <v>264</v>
      </c>
      <c r="B115" s="14" t="s">
        <v>273</v>
      </c>
      <c r="C115" s="6">
        <v>6800.53</v>
      </c>
      <c r="D115" s="7">
        <v>45798</v>
      </c>
      <c r="F115" t="s">
        <v>265</v>
      </c>
    </row>
    <row r="116" spans="1:6">
      <c r="A116" t="s">
        <v>262</v>
      </c>
      <c r="B116" s="14" t="s">
        <v>273</v>
      </c>
      <c r="C116" s="6">
        <v>6800.53</v>
      </c>
      <c r="D116" s="7">
        <v>45798</v>
      </c>
      <c r="F116" t="s">
        <v>263</v>
      </c>
    </row>
    <row r="117" spans="1:6">
      <c r="A117" t="s">
        <v>252</v>
      </c>
      <c r="B117" s="14" t="s">
        <v>273</v>
      </c>
      <c r="C117" s="6">
        <v>5356.82</v>
      </c>
      <c r="D117" s="7">
        <v>45798</v>
      </c>
      <c r="F117" t="s">
        <v>253</v>
      </c>
    </row>
    <row r="118" spans="1:6">
      <c r="A118" t="s">
        <v>279</v>
      </c>
      <c r="B118" s="14" t="s">
        <v>280</v>
      </c>
      <c r="C118" s="6">
        <v>3853.63</v>
      </c>
      <c r="D118" s="7">
        <v>45798</v>
      </c>
      <c r="F118" t="s">
        <v>281</v>
      </c>
    </row>
    <row r="119" spans="1:6">
      <c r="A119" t="s">
        <v>220</v>
      </c>
      <c r="B119" s="14" t="s">
        <v>273</v>
      </c>
      <c r="C119" s="6">
        <v>5356.82</v>
      </c>
      <c r="D119" s="7">
        <v>45798</v>
      </c>
      <c r="F119" t="s">
        <v>221</v>
      </c>
    </row>
    <row r="120" spans="1:6">
      <c r="A120" t="s">
        <v>255</v>
      </c>
      <c r="B120" s="14" t="s">
        <v>273</v>
      </c>
      <c r="C120" s="6">
        <v>5597.43</v>
      </c>
      <c r="D120" s="7">
        <v>45798</v>
      </c>
      <c r="F120" t="s">
        <v>256</v>
      </c>
    </row>
    <row r="121" spans="1:6">
      <c r="A121" t="s">
        <v>260</v>
      </c>
      <c r="B121" s="14" t="s">
        <v>273</v>
      </c>
      <c r="C121" s="6">
        <v>5356.82</v>
      </c>
      <c r="D121" s="7">
        <v>45798</v>
      </c>
      <c r="F121" t="s">
        <v>261</v>
      </c>
    </row>
    <row r="122" spans="1:6">
      <c r="A122" t="s">
        <v>282</v>
      </c>
      <c r="B122" s="14" t="s">
        <v>280</v>
      </c>
      <c r="C122" s="6">
        <v>3853.63</v>
      </c>
      <c r="D122" s="7">
        <v>45798</v>
      </c>
      <c r="F122" t="s">
        <v>283</v>
      </c>
    </row>
    <row r="123" spans="1:6">
      <c r="A123" t="s">
        <v>204</v>
      </c>
      <c r="B123" s="14" t="s">
        <v>273</v>
      </c>
      <c r="C123" s="6">
        <v>6800.53</v>
      </c>
      <c r="D123" s="7">
        <v>45798</v>
      </c>
      <c r="F123" t="s">
        <v>205</v>
      </c>
    </row>
    <row r="124" spans="1:6">
      <c r="A124" t="s">
        <v>244</v>
      </c>
      <c r="B124" s="14" t="s">
        <v>273</v>
      </c>
      <c r="C124" s="6">
        <v>5356.82</v>
      </c>
      <c r="D124" s="7">
        <v>45798</v>
      </c>
      <c r="F124" t="s">
        <v>245</v>
      </c>
    </row>
    <row r="125" spans="1:6">
      <c r="A125" t="s">
        <v>220</v>
      </c>
      <c r="B125" s="14" t="s">
        <v>284</v>
      </c>
      <c r="C125" s="6">
        <v>6930.97</v>
      </c>
      <c r="D125" s="7">
        <v>45771</v>
      </c>
      <c r="F125" t="s">
        <v>221</v>
      </c>
    </row>
    <row r="126" spans="1:6">
      <c r="A126" t="s">
        <v>236</v>
      </c>
      <c r="B126" s="14" t="s">
        <v>285</v>
      </c>
      <c r="C126" s="6">
        <v>2493.5300000000002</v>
      </c>
      <c r="D126" s="7">
        <v>45768</v>
      </c>
      <c r="F126" t="s">
        <v>237</v>
      </c>
    </row>
    <row r="127" spans="1:6">
      <c r="A127" t="s">
        <v>222</v>
      </c>
      <c r="B127" s="14" t="s">
        <v>284</v>
      </c>
      <c r="C127" s="6">
        <v>7027.22</v>
      </c>
      <c r="D127" s="7">
        <v>45764</v>
      </c>
      <c r="F127" t="s">
        <v>223</v>
      </c>
    </row>
    <row r="128" spans="1:6">
      <c r="A128" t="s">
        <v>255</v>
      </c>
      <c r="B128" s="14" t="s">
        <v>284</v>
      </c>
      <c r="C128" s="6">
        <v>7027.22</v>
      </c>
      <c r="D128" s="7">
        <v>45764</v>
      </c>
      <c r="F128" t="s">
        <v>256</v>
      </c>
    </row>
    <row r="129" spans="1:6">
      <c r="A129" t="s">
        <v>260</v>
      </c>
      <c r="B129" s="14" t="s">
        <v>284</v>
      </c>
      <c r="C129" s="6">
        <v>5535.37</v>
      </c>
      <c r="D129" s="7">
        <v>45764</v>
      </c>
      <c r="F129" t="s">
        <v>261</v>
      </c>
    </row>
    <row r="130" spans="1:6">
      <c r="A130" t="s">
        <v>286</v>
      </c>
      <c r="B130" s="14" t="s">
        <v>284</v>
      </c>
      <c r="C130" s="6">
        <v>4080.32</v>
      </c>
      <c r="D130" s="7">
        <v>45764</v>
      </c>
      <c r="F130" t="s">
        <v>287</v>
      </c>
    </row>
    <row r="131" spans="1:6">
      <c r="A131" t="s">
        <v>252</v>
      </c>
      <c r="B131" s="14" t="s">
        <v>284</v>
      </c>
      <c r="C131" s="6">
        <v>6209.11</v>
      </c>
      <c r="D131" s="7">
        <v>45764</v>
      </c>
      <c r="F131" t="s">
        <v>253</v>
      </c>
    </row>
    <row r="132" spans="1:6">
      <c r="A132" t="s">
        <v>262</v>
      </c>
      <c r="B132" s="14" t="s">
        <v>288</v>
      </c>
      <c r="C132" s="6">
        <v>6800.53</v>
      </c>
      <c r="D132" s="7">
        <v>45764</v>
      </c>
      <c r="F132" t="s">
        <v>263</v>
      </c>
    </row>
    <row r="133" spans="1:6">
      <c r="A133" t="s">
        <v>272</v>
      </c>
      <c r="B133" s="14" t="s">
        <v>284</v>
      </c>
      <c r="C133" s="6">
        <v>7027.22</v>
      </c>
      <c r="D133" s="7">
        <v>45764</v>
      </c>
      <c r="F133" t="s">
        <v>274</v>
      </c>
    </row>
    <row r="134" spans="1:6">
      <c r="A134" t="s">
        <v>244</v>
      </c>
      <c r="B134" s="14" t="s">
        <v>284</v>
      </c>
      <c r="C134" s="6">
        <v>5535.37</v>
      </c>
      <c r="D134" s="7">
        <v>45764</v>
      </c>
      <c r="F134" t="s">
        <v>245</v>
      </c>
    </row>
    <row r="135" spans="1:6">
      <c r="A135" t="s">
        <v>289</v>
      </c>
      <c r="B135" s="14" t="s">
        <v>284</v>
      </c>
      <c r="C135" s="6">
        <v>6573.85</v>
      </c>
      <c r="D135" s="7">
        <v>45764</v>
      </c>
      <c r="F135" t="s">
        <v>290</v>
      </c>
    </row>
    <row r="136" spans="1:6">
      <c r="A136" t="s">
        <v>264</v>
      </c>
      <c r="B136" s="14" t="s">
        <v>291</v>
      </c>
      <c r="C136" s="6">
        <v>2720.22</v>
      </c>
      <c r="D136" s="7">
        <v>45764</v>
      </c>
      <c r="F136" t="s">
        <v>265</v>
      </c>
    </row>
    <row r="137" spans="1:6">
      <c r="A137" t="s">
        <v>258</v>
      </c>
      <c r="B137" s="14" t="s">
        <v>284</v>
      </c>
      <c r="C137" s="6">
        <v>7027.22</v>
      </c>
      <c r="D137" s="7">
        <v>45764</v>
      </c>
      <c r="F137" t="s">
        <v>259</v>
      </c>
    </row>
    <row r="138" spans="1:6">
      <c r="A138" t="s">
        <v>204</v>
      </c>
      <c r="B138" s="14" t="s">
        <v>292</v>
      </c>
      <c r="C138" s="6">
        <v>4760.37</v>
      </c>
      <c r="D138" s="7">
        <v>45764</v>
      </c>
      <c r="F138" t="s">
        <v>205</v>
      </c>
    </row>
    <row r="139" spans="1:6">
      <c r="A139" t="s">
        <v>260</v>
      </c>
      <c r="B139" s="14" t="s">
        <v>293</v>
      </c>
      <c r="C139" s="6">
        <v>4999.7</v>
      </c>
      <c r="D139" s="7">
        <v>45740</v>
      </c>
      <c r="F139" t="s">
        <v>261</v>
      </c>
    </row>
    <row r="140" spans="1:6">
      <c r="A140" t="s">
        <v>255</v>
      </c>
      <c r="B140" s="14" t="s">
        <v>294</v>
      </c>
      <c r="C140" s="6">
        <v>5440.42</v>
      </c>
      <c r="D140" s="7">
        <v>45737</v>
      </c>
      <c r="F140" t="s">
        <v>256</v>
      </c>
    </row>
    <row r="141" spans="1:6">
      <c r="A141" t="s">
        <v>222</v>
      </c>
      <c r="B141" s="14" t="s">
        <v>257</v>
      </c>
      <c r="C141" s="6">
        <v>1586.79</v>
      </c>
      <c r="D141" s="7">
        <v>45736</v>
      </c>
      <c r="F141" t="s">
        <v>223</v>
      </c>
    </row>
    <row r="142" spans="1:6">
      <c r="A142" t="s">
        <v>272</v>
      </c>
      <c r="B142" s="14" t="s">
        <v>295</v>
      </c>
      <c r="C142" s="6">
        <v>226.68</v>
      </c>
      <c r="D142" s="7">
        <v>45735</v>
      </c>
      <c r="F142" t="s">
        <v>274</v>
      </c>
    </row>
    <row r="143" spans="1:6">
      <c r="A143" t="s">
        <v>296</v>
      </c>
      <c r="B143" s="14" t="s">
        <v>293</v>
      </c>
      <c r="C143" s="6">
        <v>3173.58</v>
      </c>
      <c r="D143" s="7">
        <v>45735</v>
      </c>
      <c r="F143" t="s">
        <v>297</v>
      </c>
    </row>
    <row r="144" spans="1:6">
      <c r="A144" t="s">
        <v>258</v>
      </c>
      <c r="B144" s="14" t="s">
        <v>295</v>
      </c>
      <c r="C144" s="6">
        <v>226.68</v>
      </c>
      <c r="D144" s="7">
        <v>45735</v>
      </c>
      <c r="F144" t="s">
        <v>259</v>
      </c>
    </row>
    <row r="145" spans="1:6">
      <c r="A145" t="s">
        <v>298</v>
      </c>
      <c r="B145" s="14" t="s">
        <v>293</v>
      </c>
      <c r="C145" s="6">
        <v>2266.85</v>
      </c>
      <c r="D145" s="7">
        <v>45735</v>
      </c>
      <c r="F145" t="s">
        <v>299</v>
      </c>
    </row>
    <row r="146" spans="1:6">
      <c r="A146" t="s">
        <v>300</v>
      </c>
      <c r="B146" s="14" t="s">
        <v>293</v>
      </c>
      <c r="C146" s="6">
        <v>2499.84</v>
      </c>
      <c r="D146" s="7">
        <v>45735</v>
      </c>
      <c r="F146" t="s">
        <v>301</v>
      </c>
    </row>
    <row r="147" spans="1:6">
      <c r="A147" t="s">
        <v>286</v>
      </c>
      <c r="B147" s="14" t="s">
        <v>302</v>
      </c>
      <c r="C147" s="6">
        <v>2493.5300000000002</v>
      </c>
      <c r="D147" s="7">
        <v>45735</v>
      </c>
      <c r="F147" t="s">
        <v>287</v>
      </c>
    </row>
    <row r="148" spans="1:6">
      <c r="A148" t="s">
        <v>220</v>
      </c>
      <c r="B148" s="14" t="s">
        <v>293</v>
      </c>
      <c r="C148" s="6">
        <v>6347.17</v>
      </c>
      <c r="D148" s="7">
        <v>45734</v>
      </c>
      <c r="F148" t="s">
        <v>221</v>
      </c>
    </row>
    <row r="149" spans="1:6">
      <c r="A149" t="s">
        <v>252</v>
      </c>
      <c r="B149" s="14" t="s">
        <v>293</v>
      </c>
      <c r="C149" s="6">
        <v>6347.17</v>
      </c>
      <c r="D149" s="7">
        <v>45734</v>
      </c>
      <c r="F149" t="s">
        <v>253</v>
      </c>
    </row>
    <row r="150" spans="1:6">
      <c r="A150" t="s">
        <v>303</v>
      </c>
      <c r="B150" s="14" t="s">
        <v>293</v>
      </c>
      <c r="C150" s="6">
        <v>1785.61</v>
      </c>
      <c r="D150" s="7">
        <v>45734</v>
      </c>
      <c r="F150" t="s">
        <v>304</v>
      </c>
    </row>
    <row r="151" spans="1:6">
      <c r="A151" t="s">
        <v>244</v>
      </c>
      <c r="B151" s="14" t="s">
        <v>293</v>
      </c>
      <c r="C151" s="6">
        <v>4999.7</v>
      </c>
      <c r="D151" s="7">
        <v>45734</v>
      </c>
      <c r="F151" t="s">
        <v>245</v>
      </c>
    </row>
    <row r="152" spans="1:6">
      <c r="A152" t="s">
        <v>305</v>
      </c>
      <c r="B152" s="14" t="s">
        <v>293</v>
      </c>
      <c r="C152" s="6">
        <v>5667.1</v>
      </c>
      <c r="D152" s="7">
        <v>45734</v>
      </c>
      <c r="F152" t="s">
        <v>306</v>
      </c>
    </row>
    <row r="153" spans="1:6">
      <c r="A153" t="s">
        <v>307</v>
      </c>
      <c r="B153" s="14" t="s">
        <v>293</v>
      </c>
      <c r="C153" s="6">
        <v>3173.58</v>
      </c>
      <c r="D153" s="7">
        <v>45734</v>
      </c>
      <c r="F153" t="s">
        <v>308</v>
      </c>
    </row>
    <row r="154" spans="1:6">
      <c r="A154" t="s">
        <v>289</v>
      </c>
      <c r="B154" s="14" t="s">
        <v>309</v>
      </c>
      <c r="C154" s="6">
        <v>3853.63</v>
      </c>
      <c r="D154" s="7">
        <v>45734</v>
      </c>
      <c r="F154" t="s">
        <v>290</v>
      </c>
    </row>
    <row r="155" spans="1:6">
      <c r="A155" t="s">
        <v>300</v>
      </c>
      <c r="B155" s="14" t="s">
        <v>310</v>
      </c>
      <c r="C155" s="6">
        <v>5535.37</v>
      </c>
      <c r="D155" s="7">
        <v>45714</v>
      </c>
      <c r="F155" t="s">
        <v>301</v>
      </c>
    </row>
    <row r="156" spans="1:6">
      <c r="A156" t="s">
        <v>307</v>
      </c>
      <c r="B156" s="14" t="s">
        <v>311</v>
      </c>
      <c r="C156" s="6">
        <v>4080.32</v>
      </c>
      <c r="D156" s="7">
        <v>45713</v>
      </c>
      <c r="F156" t="s">
        <v>308</v>
      </c>
    </row>
    <row r="157" spans="1:6">
      <c r="A157" t="s">
        <v>296</v>
      </c>
      <c r="B157" s="14" t="s">
        <v>312</v>
      </c>
      <c r="C157" s="6">
        <v>2266.85</v>
      </c>
      <c r="D157" s="7">
        <v>45713</v>
      </c>
      <c r="F157" t="s">
        <v>297</v>
      </c>
    </row>
    <row r="158" spans="1:6">
      <c r="A158" t="s">
        <v>298</v>
      </c>
      <c r="B158" s="14" t="s">
        <v>311</v>
      </c>
      <c r="C158" s="6">
        <v>4080.32</v>
      </c>
      <c r="D158" s="7">
        <v>45712</v>
      </c>
      <c r="F158" t="s">
        <v>299</v>
      </c>
    </row>
    <row r="159" spans="1:6">
      <c r="A159" t="s">
        <v>313</v>
      </c>
      <c r="B159" s="14" t="s">
        <v>310</v>
      </c>
      <c r="C159" s="6">
        <v>6160.99</v>
      </c>
      <c r="D159" s="7">
        <v>45709</v>
      </c>
      <c r="F159" t="s">
        <v>314</v>
      </c>
    </row>
    <row r="160" spans="1:6">
      <c r="A160" t="s">
        <v>305</v>
      </c>
      <c r="B160" s="14" t="s">
        <v>311</v>
      </c>
      <c r="C160" s="6">
        <v>4080.32</v>
      </c>
      <c r="D160" s="7">
        <v>45708</v>
      </c>
      <c r="F160" t="s">
        <v>306</v>
      </c>
    </row>
    <row r="161" spans="1:6">
      <c r="A161" t="s">
        <v>260</v>
      </c>
      <c r="B161" s="14" t="s">
        <v>310</v>
      </c>
      <c r="C161" s="6">
        <v>5535.37</v>
      </c>
      <c r="D161" s="7">
        <v>45708</v>
      </c>
      <c r="F161" t="s">
        <v>261</v>
      </c>
    </row>
    <row r="162" spans="1:6">
      <c r="A162" t="s">
        <v>244</v>
      </c>
      <c r="B162" s="14" t="s">
        <v>310</v>
      </c>
      <c r="C162" s="6">
        <v>5535.37</v>
      </c>
      <c r="D162" s="7">
        <v>45708</v>
      </c>
      <c r="F162" t="s">
        <v>245</v>
      </c>
    </row>
    <row r="163" spans="1:6">
      <c r="A163" t="s">
        <v>220</v>
      </c>
      <c r="B163" s="14" t="s">
        <v>315</v>
      </c>
      <c r="C163" s="6">
        <v>680.05</v>
      </c>
      <c r="D163" s="7">
        <v>45708</v>
      </c>
      <c r="F163" t="s">
        <v>221</v>
      </c>
    </row>
    <row r="164" spans="1:6">
      <c r="A164" t="s">
        <v>252</v>
      </c>
      <c r="B164" s="14" t="s">
        <v>311</v>
      </c>
      <c r="C164" s="6">
        <v>2266.85</v>
      </c>
      <c r="D164" s="7">
        <v>45708</v>
      </c>
      <c r="F164" t="s">
        <v>253</v>
      </c>
    </row>
    <row r="165" spans="1:6">
      <c r="A165" t="s">
        <v>303</v>
      </c>
      <c r="B165" s="14" t="s">
        <v>310</v>
      </c>
      <c r="C165" s="6">
        <v>5535.37</v>
      </c>
      <c r="D165" s="7">
        <v>45707</v>
      </c>
      <c r="F165" t="s">
        <v>304</v>
      </c>
    </row>
    <row r="166" spans="1:6">
      <c r="A166" t="s">
        <v>300</v>
      </c>
      <c r="B166" s="14" t="s">
        <v>316</v>
      </c>
      <c r="C166" s="6">
        <v>5535.37</v>
      </c>
      <c r="D166" s="7">
        <v>45680</v>
      </c>
      <c r="F166" t="s">
        <v>301</v>
      </c>
    </row>
    <row r="167" spans="1:6">
      <c r="A167" t="s">
        <v>303</v>
      </c>
      <c r="B167" s="14" t="s">
        <v>316</v>
      </c>
      <c r="C167" s="6">
        <v>5535.37</v>
      </c>
      <c r="D167" s="7">
        <v>45674</v>
      </c>
      <c r="F167" t="s">
        <v>304</v>
      </c>
    </row>
    <row r="168" spans="1:6">
      <c r="A168" t="s">
        <v>313</v>
      </c>
      <c r="B168" s="14" t="s">
        <v>317</v>
      </c>
      <c r="C168" s="6">
        <v>3173.58</v>
      </c>
      <c r="D168" s="7">
        <v>45674</v>
      </c>
      <c r="F168" t="s">
        <v>314</v>
      </c>
    </row>
    <row r="169" spans="1:6">
      <c r="A169" t="s">
        <v>260</v>
      </c>
      <c r="B169" s="14" t="s">
        <v>316</v>
      </c>
      <c r="C169" s="6">
        <v>5535.37</v>
      </c>
      <c r="D169" s="7">
        <v>45674</v>
      </c>
      <c r="F169" t="s">
        <v>261</v>
      </c>
    </row>
    <row r="170" spans="1:6">
      <c r="A170" t="s">
        <v>244</v>
      </c>
      <c r="B170" s="14" t="s">
        <v>316</v>
      </c>
      <c r="C170" s="6">
        <v>5968.49</v>
      </c>
      <c r="D170" s="7">
        <v>45674</v>
      </c>
      <c r="F170" t="s">
        <v>245</v>
      </c>
    </row>
    <row r="171" spans="1:6">
      <c r="A171" t="s">
        <v>244</v>
      </c>
      <c r="B171" s="14" t="s">
        <v>318</v>
      </c>
      <c r="C171" s="6">
        <v>6800.53</v>
      </c>
      <c r="D171" s="7">
        <v>45643</v>
      </c>
      <c r="F171" t="s">
        <v>245</v>
      </c>
    </row>
    <row r="172" spans="1:6">
      <c r="A172" t="s">
        <v>303</v>
      </c>
      <c r="B172" s="14" t="s">
        <v>318</v>
      </c>
      <c r="C172" s="6">
        <v>6319.29</v>
      </c>
      <c r="D172" s="7">
        <v>45642</v>
      </c>
      <c r="F172" t="s">
        <v>304</v>
      </c>
    </row>
    <row r="173" spans="1:6">
      <c r="A173" t="s">
        <v>300</v>
      </c>
      <c r="B173" s="14" t="s">
        <v>318</v>
      </c>
      <c r="C173" s="6">
        <v>5741.8</v>
      </c>
      <c r="D173" s="7">
        <v>45642</v>
      </c>
      <c r="F173" t="s">
        <v>301</v>
      </c>
    </row>
    <row r="174" spans="1:6">
      <c r="A174" t="s">
        <v>260</v>
      </c>
      <c r="B174" s="14" t="s">
        <v>318</v>
      </c>
      <c r="C174" s="6">
        <v>5549.31</v>
      </c>
      <c r="D174" s="7">
        <v>45642</v>
      </c>
      <c r="F174" t="s">
        <v>261</v>
      </c>
    </row>
    <row r="175" spans="1:6">
      <c r="A175" t="s">
        <v>319</v>
      </c>
      <c r="B175" s="14" t="s">
        <v>320</v>
      </c>
      <c r="C175" s="6">
        <v>3173.58</v>
      </c>
      <c r="D175" s="7">
        <v>45642</v>
      </c>
      <c r="F175" t="s">
        <v>321</v>
      </c>
    </row>
    <row r="176" spans="1:6">
      <c r="A176" t="s">
        <v>244</v>
      </c>
      <c r="B176" s="14" t="s">
        <v>322</v>
      </c>
      <c r="C176" s="6">
        <v>4760.37</v>
      </c>
      <c r="D176" s="7">
        <v>45615</v>
      </c>
      <c r="F176" t="s">
        <v>245</v>
      </c>
    </row>
    <row r="177" spans="1:6">
      <c r="A177" t="s">
        <v>300</v>
      </c>
      <c r="B177" s="14" t="s">
        <v>323</v>
      </c>
      <c r="C177" s="6">
        <v>6800.53</v>
      </c>
      <c r="D177" s="7">
        <v>45614</v>
      </c>
      <c r="F177" t="s">
        <v>301</v>
      </c>
    </row>
    <row r="178" spans="1:6">
      <c r="A178" t="s">
        <v>303</v>
      </c>
      <c r="B178" s="14" t="s">
        <v>324</v>
      </c>
      <c r="C178" s="6">
        <v>7027.22</v>
      </c>
      <c r="D178" s="7">
        <v>45611</v>
      </c>
      <c r="F178" t="s">
        <v>304</v>
      </c>
    </row>
    <row r="179" spans="1:6">
      <c r="A179" t="s">
        <v>260</v>
      </c>
      <c r="B179" s="14" t="s">
        <v>324</v>
      </c>
      <c r="C179" s="6">
        <v>7027.22</v>
      </c>
      <c r="D179" s="7">
        <v>45611</v>
      </c>
      <c r="F179" t="s">
        <v>261</v>
      </c>
    </row>
    <row r="180" spans="1:6">
      <c r="A180" t="s">
        <v>303</v>
      </c>
      <c r="B180" s="14" t="s">
        <v>325</v>
      </c>
      <c r="C180" s="6">
        <v>2100.17</v>
      </c>
      <c r="D180" s="7">
        <v>45600</v>
      </c>
      <c r="F180" t="s">
        <v>304</v>
      </c>
    </row>
    <row r="181" spans="1:6">
      <c r="A181" t="s">
        <v>260</v>
      </c>
      <c r="B181" s="14" t="s">
        <v>326</v>
      </c>
      <c r="C181" s="6">
        <v>5833.81</v>
      </c>
      <c r="D181" s="7">
        <v>45589</v>
      </c>
      <c r="F181" t="s">
        <v>261</v>
      </c>
    </row>
    <row r="182" spans="1:6">
      <c r="A182" t="s">
        <v>300</v>
      </c>
      <c r="B182" s="14" t="s">
        <v>327</v>
      </c>
      <c r="C182" s="6">
        <v>5133.76</v>
      </c>
      <c r="D182" s="7">
        <v>45589</v>
      </c>
      <c r="F182" t="s">
        <v>301</v>
      </c>
    </row>
    <row r="183" spans="1:6">
      <c r="B183" s="14"/>
      <c r="C183" s="6"/>
      <c r="D183" s="7"/>
    </row>
    <row r="184" spans="1:6">
      <c r="B184" s="14"/>
      <c r="C184" s="6"/>
      <c r="D184" s="7"/>
    </row>
    <row r="185" spans="1:6">
      <c r="B185" s="14"/>
      <c r="C185" s="6"/>
      <c r="D185" s="7"/>
    </row>
    <row r="186" spans="1:6">
      <c r="B186" s="14"/>
      <c r="C186" s="6"/>
      <c r="D186" s="7"/>
    </row>
    <row r="187" spans="1:6">
      <c r="B187" s="14"/>
      <c r="C187" s="6"/>
      <c r="D187" s="7"/>
    </row>
    <row r="188" spans="1:6">
      <c r="B188" s="14"/>
      <c r="C188" s="6"/>
      <c r="D188" s="7"/>
    </row>
    <row r="189" spans="1:6">
      <c r="B189" s="14"/>
      <c r="C189" s="6"/>
      <c r="D189" s="7"/>
    </row>
    <row r="190" spans="1:6">
      <c r="B190" s="14"/>
      <c r="C190" s="6"/>
      <c r="D190" s="7"/>
    </row>
    <row r="191" spans="1:6">
      <c r="B191" s="14"/>
      <c r="C191" s="6"/>
      <c r="D191" s="7"/>
    </row>
    <row r="192" spans="1:6">
      <c r="B192" s="14"/>
      <c r="C192" s="6"/>
      <c r="D192" s="7"/>
    </row>
    <row r="193" spans="2:4">
      <c r="B193" s="14"/>
      <c r="C193" s="6"/>
      <c r="D193" s="7"/>
    </row>
    <row r="194" spans="2:4">
      <c r="B194" s="14"/>
      <c r="C194" s="6"/>
      <c r="D194" s="7"/>
    </row>
    <row r="195" spans="2:4">
      <c r="B195" s="14"/>
      <c r="C195" s="6"/>
      <c r="D195" s="7"/>
    </row>
    <row r="196" spans="2:4">
      <c r="B196" s="14"/>
      <c r="C196" s="6"/>
      <c r="D196" s="7"/>
    </row>
    <row r="197" spans="2:4">
      <c r="B197" s="14"/>
      <c r="C197" s="6"/>
      <c r="D197" s="7"/>
    </row>
    <row r="198" spans="2:4">
      <c r="B198" s="14"/>
      <c r="C198" s="6"/>
      <c r="D198" s="7"/>
    </row>
    <row r="199" spans="2:4">
      <c r="B199" s="14"/>
      <c r="C199" s="6"/>
      <c r="D199" s="7"/>
    </row>
    <row r="200" spans="2:4">
      <c r="B200" s="14"/>
      <c r="C200" s="6"/>
      <c r="D200" s="7"/>
    </row>
    <row r="201" spans="2:4">
      <c r="B201" s="14"/>
      <c r="C201" s="6"/>
      <c r="D201" s="7"/>
    </row>
    <row r="202" spans="2:4">
      <c r="B202" s="14"/>
      <c r="C202" s="6"/>
      <c r="D202" s="7"/>
    </row>
    <row r="203" spans="2:4">
      <c r="B203" s="14"/>
      <c r="C203" s="6"/>
      <c r="D203" s="7"/>
    </row>
    <row r="204" spans="2:4">
      <c r="B204" s="14"/>
      <c r="C204" s="6"/>
      <c r="D204" s="7"/>
    </row>
    <row r="205" spans="2:4">
      <c r="B205" s="14"/>
      <c r="C205" s="6"/>
      <c r="D205" s="7"/>
    </row>
    <row r="206" spans="2:4">
      <c r="B206" s="14"/>
      <c r="C206" s="6"/>
      <c r="D206" s="7"/>
    </row>
    <row r="207" spans="2:4">
      <c r="B207" s="14"/>
      <c r="C207" s="6"/>
      <c r="D207" s="7"/>
    </row>
    <row r="208" spans="2:4">
      <c r="B208" s="14"/>
      <c r="C208" s="6"/>
      <c r="D208" s="7"/>
    </row>
    <row r="209" spans="2:4">
      <c r="B209" s="14"/>
      <c r="C209" s="6"/>
      <c r="D209" s="7"/>
    </row>
    <row r="210" spans="2:4">
      <c r="B210" s="14"/>
      <c r="C210" s="6"/>
      <c r="D210" s="7"/>
    </row>
    <row r="211" spans="2:4">
      <c r="B211" s="14"/>
      <c r="C211" s="6"/>
      <c r="D211" s="7"/>
    </row>
    <row r="212" spans="2:4">
      <c r="B212" s="14"/>
      <c r="C212" s="6"/>
      <c r="D212" s="7"/>
    </row>
    <row r="213" spans="2:4">
      <c r="B213" s="14"/>
      <c r="C213" s="6"/>
      <c r="D213" s="7"/>
    </row>
    <row r="214" spans="2:4">
      <c r="B214" s="14"/>
      <c r="C214" s="6"/>
      <c r="D214" s="7"/>
    </row>
    <row r="215" spans="2:4">
      <c r="B215" s="14"/>
      <c r="C215" s="6"/>
      <c r="D215" s="7"/>
    </row>
    <row r="216" spans="2:4">
      <c r="B216" s="14"/>
      <c r="C216" s="6"/>
      <c r="D216" s="7"/>
    </row>
    <row r="217" spans="2:4">
      <c r="B217" s="14"/>
      <c r="C217" s="6"/>
      <c r="D217" s="7"/>
    </row>
    <row r="218" spans="2:4">
      <c r="B218" s="14"/>
      <c r="C218" s="6"/>
      <c r="D218" s="7"/>
    </row>
    <row r="219" spans="2:4">
      <c r="B219" s="14"/>
      <c r="C219" s="6"/>
      <c r="D219" s="7"/>
    </row>
    <row r="220" spans="2:4">
      <c r="B220" s="14"/>
      <c r="C220" s="6"/>
      <c r="D220" s="7"/>
    </row>
    <row r="221" spans="2:4">
      <c r="B221" s="14"/>
      <c r="C221" s="6"/>
      <c r="D221" s="7"/>
    </row>
    <row r="222" spans="2:4">
      <c r="B222" s="14"/>
      <c r="C222" s="6"/>
      <c r="D222" s="7"/>
    </row>
    <row r="223" spans="2:4">
      <c r="B223" s="14"/>
      <c r="C223" s="6"/>
      <c r="D223" s="7"/>
    </row>
    <row r="224" spans="2:4">
      <c r="B224" s="14"/>
      <c r="C224" s="6"/>
      <c r="D224" s="7"/>
    </row>
    <row r="225" spans="2:4">
      <c r="B225" s="14"/>
      <c r="C225" s="6"/>
      <c r="D225" s="7"/>
    </row>
    <row r="226" spans="2:4">
      <c r="B226" s="14"/>
      <c r="C226" s="6"/>
      <c r="D226" s="7"/>
    </row>
    <row r="227" spans="2:4">
      <c r="B227" s="14"/>
      <c r="C227" s="6"/>
      <c r="D227" s="7"/>
    </row>
    <row r="228" spans="2:4">
      <c r="B228" s="14"/>
      <c r="C228" s="6"/>
      <c r="D228" s="7"/>
    </row>
    <row r="229" spans="2:4">
      <c r="B229" s="14"/>
      <c r="C229" s="6"/>
      <c r="D229" s="7"/>
    </row>
    <row r="230" spans="2:4">
      <c r="B230" s="14"/>
      <c r="C230" s="6"/>
      <c r="D230" s="7"/>
    </row>
    <row r="231" spans="2:4">
      <c r="B231" s="14"/>
      <c r="C231" s="6"/>
      <c r="D231" s="7"/>
    </row>
    <row r="232" spans="2:4">
      <c r="B232" s="14"/>
      <c r="C232" s="6"/>
      <c r="D232" s="7"/>
    </row>
    <row r="233" spans="2:4">
      <c r="B233" s="14"/>
      <c r="C233" s="6"/>
      <c r="D233" s="7"/>
    </row>
    <row r="234" spans="2:4">
      <c r="B234" s="14"/>
      <c r="C234" s="6"/>
      <c r="D234" s="7"/>
    </row>
    <row r="235" spans="2:4">
      <c r="B235" s="14"/>
      <c r="C235" s="6"/>
      <c r="D235" s="7"/>
    </row>
    <row r="236" spans="2:4">
      <c r="B236" s="14"/>
      <c r="C236" s="6"/>
      <c r="D236" s="7"/>
    </row>
    <row r="237" spans="2:4">
      <c r="B237" s="14"/>
      <c r="C237" s="6"/>
      <c r="D237" s="7"/>
    </row>
    <row r="238" spans="2:4">
      <c r="B238" s="14"/>
      <c r="C238" s="6"/>
      <c r="D238" s="7"/>
    </row>
    <row r="239" spans="2:4">
      <c r="B239" s="14"/>
      <c r="C239" s="6"/>
      <c r="D239" s="7"/>
    </row>
    <row r="240" spans="2:4">
      <c r="B240" s="14"/>
      <c r="C240" s="6"/>
      <c r="D240" s="7"/>
    </row>
    <row r="241" spans="2:4">
      <c r="B241" s="14"/>
      <c r="C241" s="6"/>
      <c r="D241" s="7"/>
    </row>
    <row r="242" spans="2:4">
      <c r="B242" s="14"/>
      <c r="C242" s="6"/>
      <c r="D242" s="7"/>
    </row>
    <row r="243" spans="2:4">
      <c r="B243" s="14"/>
      <c r="C243" s="6"/>
      <c r="D243" s="7"/>
    </row>
    <row r="244" spans="2:4">
      <c r="B244" s="14"/>
      <c r="C244" s="6"/>
      <c r="D244" s="7"/>
    </row>
    <row r="245" spans="2:4">
      <c r="B245" s="14"/>
      <c r="C245" s="6"/>
      <c r="D245" s="7"/>
    </row>
    <row r="246" spans="2:4">
      <c r="B246" s="14"/>
      <c r="C246" s="6"/>
      <c r="D246" s="7"/>
    </row>
    <row r="247" spans="2:4">
      <c r="B247" s="14"/>
      <c r="C247" s="6"/>
      <c r="D247" s="7"/>
    </row>
    <row r="248" spans="2:4">
      <c r="B248" s="14"/>
      <c r="C248" s="6"/>
      <c r="D248" s="7"/>
    </row>
    <row r="249" spans="2:4">
      <c r="B249" s="14"/>
      <c r="C249" s="6"/>
      <c r="D249" s="7"/>
    </row>
    <row r="250" spans="2:4">
      <c r="B250" s="14"/>
      <c r="C250" s="6"/>
      <c r="D250" s="7"/>
    </row>
    <row r="251" spans="2:4">
      <c r="B251" s="14"/>
      <c r="C251" s="6"/>
      <c r="D251" s="7"/>
    </row>
    <row r="252" spans="2:4">
      <c r="B252" s="14"/>
      <c r="C252" s="6"/>
      <c r="D252" s="7"/>
    </row>
    <row r="253" spans="2:4">
      <c r="B253" s="14"/>
      <c r="C253" s="6"/>
      <c r="D253" s="7"/>
    </row>
    <row r="254" spans="2:4">
      <c r="B254" s="14"/>
      <c r="C254" s="6"/>
      <c r="D254" s="7"/>
    </row>
    <row r="255" spans="2:4">
      <c r="B255" s="14"/>
      <c r="C255" s="6"/>
      <c r="D255" s="7"/>
    </row>
    <row r="256" spans="2:4">
      <c r="B256" s="14"/>
      <c r="C256" s="6"/>
      <c r="D256" s="7"/>
    </row>
    <row r="257" spans="2:4">
      <c r="B257" s="14"/>
      <c r="C257" s="6"/>
      <c r="D257" s="7"/>
    </row>
    <row r="258" spans="2:4">
      <c r="B258" s="14"/>
      <c r="C258" s="6"/>
      <c r="D258" s="7"/>
    </row>
    <row r="259" spans="2:4">
      <c r="B259" s="14"/>
      <c r="C259" s="6"/>
      <c r="D259" s="7"/>
    </row>
    <row r="260" spans="2:4">
      <c r="B260" s="14"/>
      <c r="C260" s="6"/>
      <c r="D260" s="7"/>
    </row>
    <row r="261" spans="2:4">
      <c r="B261" s="14"/>
      <c r="C261" s="6"/>
      <c r="D261" s="7"/>
    </row>
    <row r="262" spans="2:4">
      <c r="B262" s="14"/>
      <c r="C262" s="6"/>
      <c r="D262" s="7"/>
    </row>
    <row r="263" spans="2:4">
      <c r="B263" s="14"/>
      <c r="C263" s="6"/>
      <c r="D263" s="7"/>
    </row>
    <row r="264" spans="2:4">
      <c r="B264" s="14"/>
      <c r="C264" s="6"/>
      <c r="D264" s="7"/>
    </row>
    <row r="265" spans="2:4">
      <c r="B265" s="14"/>
      <c r="C265" s="6"/>
      <c r="D265" s="7"/>
    </row>
    <row r="266" spans="2:4">
      <c r="B266" s="14"/>
      <c r="C266" s="6"/>
      <c r="D266" s="7"/>
    </row>
    <row r="267" spans="2:4">
      <c r="B267" s="14"/>
      <c r="C267" s="6"/>
      <c r="D267" s="7"/>
    </row>
    <row r="268" spans="2:4">
      <c r="B268" s="14"/>
      <c r="C268" s="6"/>
      <c r="D268" s="7"/>
    </row>
    <row r="269" spans="2:4">
      <c r="B269" s="14"/>
      <c r="C269" s="6"/>
      <c r="D269" s="7"/>
    </row>
    <row r="270" spans="2:4">
      <c r="B270" s="14"/>
      <c r="C270" s="6"/>
      <c r="D270" s="7"/>
    </row>
    <row r="271" spans="2:4">
      <c r="B271" s="14"/>
      <c r="C271" s="6"/>
      <c r="D271" s="7"/>
    </row>
    <row r="272" spans="2:4">
      <c r="B272" s="14"/>
      <c r="C272" s="6"/>
      <c r="D272" s="7"/>
    </row>
    <row r="273" spans="2:4">
      <c r="B273" s="14"/>
      <c r="C273" s="6"/>
      <c r="D273" s="7"/>
    </row>
    <row r="274" spans="2:4">
      <c r="B274" s="14"/>
      <c r="C274" s="6"/>
      <c r="D274" s="7"/>
    </row>
    <row r="275" spans="2:4">
      <c r="B275" s="14"/>
      <c r="C275" s="6"/>
      <c r="D275" s="7"/>
    </row>
    <row r="276" spans="2:4">
      <c r="B276" s="14"/>
      <c r="C276" s="6"/>
      <c r="D276" s="7"/>
    </row>
    <row r="277" spans="2:4">
      <c r="B277" s="14"/>
      <c r="C277" s="6"/>
      <c r="D277" s="7"/>
    </row>
    <row r="278" spans="2:4">
      <c r="B278" s="14"/>
      <c r="C278" s="6"/>
      <c r="D278" s="7"/>
    </row>
    <row r="279" spans="2:4">
      <c r="B279" s="14"/>
      <c r="C279" s="6"/>
      <c r="D279" s="7"/>
    </row>
    <row r="280" spans="2:4">
      <c r="B280" s="14"/>
      <c r="C280" s="6"/>
      <c r="D280" s="7"/>
    </row>
    <row r="281" spans="2:4">
      <c r="B281" s="14"/>
      <c r="C281" s="6"/>
      <c r="D281" s="7"/>
    </row>
    <row r="282" spans="2:4">
      <c r="B282" s="14"/>
      <c r="C282" s="6"/>
      <c r="D282" s="7"/>
    </row>
    <row r="283" spans="2:4">
      <c r="B283" s="14"/>
      <c r="C283" s="6"/>
      <c r="D283" s="7"/>
    </row>
    <row r="284" spans="2:4">
      <c r="B284" s="14"/>
      <c r="C284" s="6"/>
      <c r="D284" s="7"/>
    </row>
    <row r="285" spans="2:4">
      <c r="B285" s="14"/>
      <c r="C285" s="6"/>
      <c r="D285" s="7"/>
    </row>
    <row r="286" spans="2:4">
      <c r="B286" s="14"/>
      <c r="C286" s="6"/>
      <c r="D286" s="7"/>
    </row>
    <row r="287" spans="2:4">
      <c r="B287" s="14"/>
      <c r="C287" s="6"/>
      <c r="D287" s="7"/>
    </row>
    <row r="288" spans="2:4">
      <c r="B288" s="14"/>
      <c r="C288" s="6"/>
      <c r="D288" s="7"/>
    </row>
    <row r="289" spans="2:4">
      <c r="B289" s="14"/>
      <c r="C289" s="6"/>
      <c r="D289" s="7"/>
    </row>
    <row r="290" spans="2:4">
      <c r="B290" s="14"/>
      <c r="C290" s="6"/>
      <c r="D290" s="7"/>
    </row>
    <row r="291" spans="2:4">
      <c r="B291" s="14"/>
      <c r="C291" s="6"/>
      <c r="D291" s="7"/>
    </row>
    <row r="292" spans="2:4">
      <c r="B292" s="14"/>
      <c r="C292" s="6"/>
      <c r="D292" s="7"/>
    </row>
    <row r="293" spans="2:4">
      <c r="B293" s="14"/>
      <c r="C293" s="6"/>
      <c r="D293" s="7"/>
    </row>
    <row r="294" spans="2:4">
      <c r="B294" s="14"/>
      <c r="C294" s="6"/>
      <c r="D294" s="7"/>
    </row>
    <row r="295" spans="2:4">
      <c r="B295" s="14"/>
      <c r="C295" s="6"/>
      <c r="D295" s="7"/>
    </row>
    <row r="296" spans="2:4">
      <c r="B296" s="14"/>
      <c r="C296" s="6"/>
      <c r="D296" s="7"/>
    </row>
    <row r="297" spans="2:4">
      <c r="B297" s="14"/>
      <c r="C297" s="6"/>
      <c r="D297" s="7"/>
    </row>
    <row r="298" spans="2:4">
      <c r="B298" s="14"/>
      <c r="C298" s="6"/>
      <c r="D298" s="7"/>
    </row>
    <row r="299" spans="2:4">
      <c r="B299" s="14"/>
      <c r="C299" s="6"/>
      <c r="D299" s="7"/>
    </row>
    <row r="300" spans="2:4">
      <c r="B300" s="14"/>
      <c r="C300" s="6"/>
      <c r="D300" s="7"/>
    </row>
    <row r="301" spans="2:4">
      <c r="B301" s="14"/>
      <c r="C301" s="6"/>
      <c r="D301" s="7"/>
    </row>
    <row r="302" spans="2:4">
      <c r="B302" s="14"/>
      <c r="C302" s="6"/>
      <c r="D302" s="7"/>
    </row>
    <row r="303" spans="2:4">
      <c r="B303" s="14"/>
      <c r="C303" s="6"/>
      <c r="D303" s="7"/>
    </row>
    <row r="304" spans="2:4">
      <c r="B304" s="14"/>
      <c r="C304" s="6"/>
      <c r="D304" s="7"/>
    </row>
    <row r="305" spans="2:4">
      <c r="B305" s="14"/>
      <c r="C305" s="6"/>
      <c r="D305" s="7"/>
    </row>
    <row r="306" spans="2:4">
      <c r="B306" s="14"/>
      <c r="C306" s="6"/>
      <c r="D306" s="7"/>
    </row>
    <row r="307" spans="2:4">
      <c r="B307" s="14"/>
      <c r="C307" s="6"/>
      <c r="D307" s="7"/>
    </row>
    <row r="308" spans="2:4">
      <c r="B308" s="14"/>
      <c r="C308" s="6"/>
      <c r="D308" s="7"/>
    </row>
    <row r="309" spans="2:4">
      <c r="B309" s="14"/>
      <c r="C309" s="6"/>
      <c r="D309" s="7"/>
    </row>
    <row r="310" spans="2:4">
      <c r="B310" s="14"/>
      <c r="C310" s="6"/>
      <c r="D310" s="7"/>
    </row>
    <row r="311" spans="2:4">
      <c r="B311" s="14"/>
      <c r="C311" s="6"/>
      <c r="D311" s="7"/>
    </row>
    <row r="312" spans="2:4">
      <c r="B312" s="14"/>
      <c r="C312" s="6"/>
      <c r="D312" s="7"/>
    </row>
    <row r="313" spans="2:4">
      <c r="B313" s="14"/>
      <c r="C313" s="6"/>
      <c r="D313" s="7"/>
    </row>
    <row r="314" spans="2:4">
      <c r="B314" s="14"/>
      <c r="C314" s="6"/>
      <c r="D314" s="7"/>
    </row>
    <row r="315" spans="2:4">
      <c r="B315" s="14"/>
      <c r="C315" s="6"/>
      <c r="D315" s="7"/>
    </row>
    <row r="316" spans="2:4">
      <c r="B316" s="14"/>
      <c r="C316" s="6"/>
      <c r="D316" s="7"/>
    </row>
    <row r="317" spans="2:4">
      <c r="B317" s="14"/>
      <c r="C317" s="6"/>
      <c r="D317" s="7"/>
    </row>
    <row r="318" spans="2:4">
      <c r="B318" s="14"/>
      <c r="C318" s="6"/>
      <c r="D318" s="7"/>
    </row>
    <row r="319" spans="2:4">
      <c r="B319" s="14"/>
      <c r="C319" s="6"/>
      <c r="D319" s="7"/>
    </row>
    <row r="320" spans="2:4">
      <c r="B320" s="14"/>
      <c r="C320" s="6"/>
      <c r="D320" s="7"/>
    </row>
    <row r="321" spans="2:8">
      <c r="B321" s="14"/>
      <c r="C321" s="6"/>
      <c r="D321" s="7"/>
    </row>
    <row r="322" spans="2:8">
      <c r="B322" s="14"/>
      <c r="C322" s="6"/>
      <c r="D322" s="7"/>
    </row>
    <row r="323" spans="2:8">
      <c r="B323" s="14"/>
      <c r="C323" s="6"/>
      <c r="D323" s="7"/>
    </row>
    <row r="324" spans="2:8">
      <c r="B324" s="14"/>
      <c r="C324" s="6"/>
      <c r="D324" s="7"/>
    </row>
    <row r="325" spans="2:8">
      <c r="B325" s="14"/>
      <c r="C325" s="6"/>
      <c r="D325" s="7"/>
    </row>
    <row r="326" spans="2:8">
      <c r="B326" s="14"/>
      <c r="C326" s="6"/>
      <c r="D326" s="7"/>
    </row>
    <row r="327" spans="2:8">
      <c r="B327" s="14"/>
      <c r="C327" s="6"/>
      <c r="D327" s="7"/>
    </row>
    <row r="328" spans="2:8">
      <c r="B328" s="14"/>
      <c r="C328" s="6"/>
      <c r="D328" s="7"/>
    </row>
    <row r="329" spans="2:8">
      <c r="B329" s="14"/>
      <c r="C329" s="6"/>
      <c r="D329" s="7"/>
    </row>
    <row r="330" spans="2:8">
      <c r="B330" s="14"/>
      <c r="C330" s="6"/>
      <c r="D330" s="7"/>
      <c r="H330" s="1"/>
    </row>
    <row r="331" spans="2:8">
      <c r="B331" s="14"/>
      <c r="C331" s="6"/>
      <c r="D331" s="7"/>
    </row>
    <row r="332" spans="2:8">
      <c r="B332" s="14"/>
      <c r="C332" s="6"/>
      <c r="D332" s="7"/>
    </row>
    <row r="333" spans="2:8">
      <c r="B333" s="14"/>
      <c r="C333" s="6"/>
      <c r="D333" s="7"/>
    </row>
    <row r="334" spans="2:8">
      <c r="B334" s="14"/>
      <c r="C334" s="6"/>
      <c r="D334" s="7"/>
    </row>
    <row r="335" spans="2:8">
      <c r="B335" s="14"/>
      <c r="C335" s="6"/>
      <c r="D335" s="7"/>
    </row>
    <row r="336" spans="2:8">
      <c r="B336" s="14"/>
      <c r="C336" s="6"/>
      <c r="D336" s="7"/>
    </row>
    <row r="337" spans="2:4">
      <c r="B337" s="14"/>
      <c r="C337" s="6"/>
      <c r="D337" s="7"/>
    </row>
    <row r="338" spans="2:4">
      <c r="B338" s="14"/>
      <c r="C338" s="6"/>
      <c r="D338" s="7"/>
    </row>
    <row r="339" spans="2:4">
      <c r="B339" s="14"/>
      <c r="C339" s="6"/>
      <c r="D339" s="7"/>
    </row>
    <row r="340" spans="2:4">
      <c r="B340" s="14"/>
      <c r="C340" s="6"/>
      <c r="D340" s="7"/>
    </row>
    <row r="341" spans="2:4">
      <c r="B341" s="14"/>
      <c r="C341" s="6"/>
      <c r="D341" s="7"/>
    </row>
    <row r="342" spans="2:4">
      <c r="B342" s="14"/>
      <c r="C342" s="6"/>
      <c r="D342" s="7"/>
    </row>
    <row r="343" spans="2:4">
      <c r="B343" s="14"/>
      <c r="C343" s="6"/>
      <c r="D343" s="7"/>
    </row>
    <row r="344" spans="2:4">
      <c r="B344" s="14"/>
      <c r="C344" s="6"/>
      <c r="D344" s="7"/>
    </row>
    <row r="345" spans="2:4">
      <c r="B345" s="14"/>
      <c r="C345" s="6"/>
      <c r="D345" s="7"/>
    </row>
    <row r="346" spans="2:4">
      <c r="B346" s="14"/>
      <c r="C346" s="6"/>
      <c r="D346" s="7"/>
    </row>
    <row r="347" spans="2:4">
      <c r="B347" s="14"/>
      <c r="C347" s="6"/>
      <c r="D347" s="7"/>
    </row>
    <row r="348" spans="2:4">
      <c r="B348" s="14"/>
      <c r="C348" s="6"/>
      <c r="D348" s="7"/>
    </row>
    <row r="349" spans="2:4">
      <c r="B349" s="14"/>
      <c r="C349" s="6"/>
      <c r="D349" s="7"/>
    </row>
    <row r="350" spans="2:4">
      <c r="B350" s="14"/>
      <c r="C350" s="6"/>
      <c r="D350" s="7"/>
    </row>
    <row r="351" spans="2:4">
      <c r="B351" s="14"/>
      <c r="C351" s="6"/>
      <c r="D351" s="7"/>
    </row>
    <row r="352" spans="2:4">
      <c r="B352" s="14"/>
      <c r="C352" s="6"/>
      <c r="D352" s="7"/>
    </row>
    <row r="353" spans="2:4">
      <c r="B353" s="14"/>
      <c r="C353" s="6"/>
      <c r="D353" s="7"/>
    </row>
    <row r="354" spans="2:4">
      <c r="B354" s="14"/>
      <c r="C354" s="6"/>
      <c r="D354" s="7"/>
    </row>
    <row r="355" spans="2:4">
      <c r="B355" s="14"/>
      <c r="C355" s="6"/>
      <c r="D355" s="7"/>
    </row>
    <row r="356" spans="2:4">
      <c r="B356" s="14"/>
      <c r="C356" s="6"/>
      <c r="D356" s="7"/>
    </row>
    <row r="357" spans="2:4">
      <c r="B357" s="14"/>
      <c r="C357" s="6"/>
      <c r="D357" s="7"/>
    </row>
    <row r="358" spans="2:4">
      <c r="B358" s="14"/>
      <c r="C358" s="6"/>
      <c r="D358" s="7"/>
    </row>
    <row r="359" spans="2:4">
      <c r="B359" s="14"/>
      <c r="C359" s="6"/>
      <c r="D359" s="7"/>
    </row>
    <row r="360" spans="2:4">
      <c r="B360" s="14"/>
      <c r="C360" s="6"/>
      <c r="D360" s="7"/>
    </row>
    <row r="361" spans="2:4">
      <c r="B361" s="14"/>
      <c r="C361" s="6"/>
      <c r="D361" s="7"/>
    </row>
    <row r="362" spans="2:4">
      <c r="B362" s="14"/>
      <c r="C362" s="6"/>
      <c r="D362" s="7"/>
    </row>
    <row r="363" spans="2:4">
      <c r="B363" s="14"/>
      <c r="C363" s="6"/>
      <c r="D363" s="7"/>
    </row>
    <row r="364" spans="2:4">
      <c r="B364" s="14"/>
      <c r="C364" s="6"/>
      <c r="D364" s="7"/>
    </row>
    <row r="365" spans="2:4">
      <c r="B365" s="14"/>
      <c r="C365" s="6"/>
      <c r="D365" s="7"/>
    </row>
    <row r="366" spans="2:4">
      <c r="B366" s="14"/>
      <c r="C366" s="6"/>
      <c r="D366" s="7"/>
    </row>
    <row r="367" spans="2:4">
      <c r="B367" s="14"/>
      <c r="C367" s="6"/>
      <c r="D367" s="7"/>
    </row>
    <row r="368" spans="2:4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8">
      <c r="B385" s="14"/>
      <c r="C385" s="6"/>
      <c r="D385" s="7"/>
    </row>
    <row r="386" spans="2:8">
      <c r="B386" s="14"/>
      <c r="C386" s="6"/>
      <c r="D386" s="7"/>
    </row>
    <row r="387" spans="2:8">
      <c r="B387" s="14"/>
      <c r="C387" s="6"/>
      <c r="D387" s="7"/>
    </row>
    <row r="388" spans="2:8">
      <c r="B388" s="14"/>
      <c r="C388" s="6"/>
      <c r="D388" s="7"/>
    </row>
    <row r="389" spans="2:8">
      <c r="B389" s="14"/>
      <c r="C389" s="6"/>
      <c r="D389" s="7"/>
    </row>
    <row r="390" spans="2:8">
      <c r="B390" s="14"/>
      <c r="C390" s="6"/>
      <c r="D390" s="7"/>
    </row>
    <row r="391" spans="2:8">
      <c r="B391" s="14"/>
      <c r="C391" s="6"/>
      <c r="D391" s="7"/>
    </row>
    <row r="392" spans="2:8">
      <c r="B392" s="14"/>
      <c r="C392" s="6"/>
      <c r="D392" s="7"/>
    </row>
    <row r="393" spans="2:8">
      <c r="B393" s="14"/>
      <c r="C393" s="6"/>
      <c r="D393" s="7"/>
    </row>
    <row r="394" spans="2:8">
      <c r="B394" s="14"/>
      <c r="C394" s="6"/>
      <c r="D394" s="7"/>
    </row>
    <row r="395" spans="2:8">
      <c r="B395" s="14"/>
      <c r="C395" s="6"/>
      <c r="D395" s="7"/>
      <c r="H395" s="1"/>
    </row>
    <row r="396" spans="2:8">
      <c r="B396" s="14"/>
      <c r="C396" s="6"/>
      <c r="D396" s="7"/>
    </row>
    <row r="397" spans="2:8">
      <c r="B397" s="14"/>
      <c r="C397" s="6"/>
      <c r="D397" s="7"/>
    </row>
    <row r="398" spans="2:8">
      <c r="B398" s="14"/>
      <c r="C398" s="6"/>
      <c r="D398" s="7"/>
    </row>
    <row r="399" spans="2:8">
      <c r="B399" s="14"/>
      <c r="C399" s="6"/>
      <c r="D399" s="7"/>
    </row>
    <row r="400" spans="2:8">
      <c r="B400" s="14"/>
      <c r="C400" s="6"/>
      <c r="D400" s="7"/>
    </row>
    <row r="401" spans="2:4">
      <c r="B401" s="14"/>
      <c r="C401" s="6"/>
      <c r="D401" s="7"/>
    </row>
    <row r="402" spans="2:4">
      <c r="B402" s="14"/>
      <c r="C402" s="6"/>
      <c r="D402" s="7"/>
    </row>
    <row r="403" spans="2:4">
      <c r="B403" s="14"/>
      <c r="C403" s="6"/>
      <c r="D403" s="7"/>
    </row>
    <row r="404" spans="2:4">
      <c r="B404" s="14"/>
      <c r="C404" s="6"/>
      <c r="D404" s="7"/>
    </row>
    <row r="405" spans="2:4">
      <c r="B405" s="14"/>
      <c r="C405" s="6"/>
      <c r="D405" s="7"/>
    </row>
    <row r="406" spans="2:4">
      <c r="B406" s="14"/>
      <c r="C406" s="6"/>
      <c r="D406" s="7"/>
    </row>
    <row r="407" spans="2:4">
      <c r="B407" s="14"/>
      <c r="C407" s="6"/>
      <c r="D407" s="7"/>
    </row>
    <row r="408" spans="2:4">
      <c r="B408" s="14"/>
      <c r="C408" s="6"/>
      <c r="D408" s="7"/>
    </row>
    <row r="409" spans="2:4">
      <c r="B409" s="14"/>
      <c r="C409" s="6"/>
      <c r="D409" s="7"/>
    </row>
    <row r="410" spans="2:4">
      <c r="B410" s="14"/>
      <c r="C410" s="6"/>
      <c r="D410" s="7"/>
    </row>
    <row r="411" spans="2:4">
      <c r="B411" s="14"/>
      <c r="C411" s="6"/>
      <c r="D411" s="7"/>
    </row>
    <row r="412" spans="2:4">
      <c r="B412" s="14"/>
      <c r="C412" s="6"/>
      <c r="D412" s="7"/>
    </row>
    <row r="413" spans="2:4">
      <c r="B413" s="14"/>
      <c r="C413" s="6"/>
      <c r="D413" s="7"/>
    </row>
    <row r="414" spans="2:4">
      <c r="B414" s="14"/>
      <c r="C414" s="6"/>
      <c r="D414" s="7"/>
    </row>
    <row r="415" spans="2:4">
      <c r="B415" s="14"/>
      <c r="C415" s="6"/>
      <c r="D415" s="7"/>
    </row>
    <row r="416" spans="2:4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17">
      <c r="B449" s="14"/>
      <c r="C449" s="6"/>
      <c r="D449" s="7"/>
    </row>
    <row r="450" spans="2:17">
      <c r="B450" s="14"/>
      <c r="C450" s="6"/>
      <c r="D450" s="7"/>
    </row>
    <row r="451" spans="2:17">
      <c r="B451" s="14"/>
      <c r="C451" s="6"/>
      <c r="D451" s="7"/>
    </row>
    <row r="452" spans="2:17">
      <c r="B452" s="14"/>
      <c r="C452" s="6"/>
      <c r="D452" s="7"/>
    </row>
    <row r="453" spans="2:17">
      <c r="B453" s="14"/>
      <c r="C453" s="6"/>
      <c r="D453" s="7"/>
    </row>
    <row r="454" spans="2:17">
      <c r="B454" s="14"/>
      <c r="C454" s="6"/>
      <c r="D454" s="7"/>
    </row>
    <row r="455" spans="2:17">
      <c r="B455" s="14"/>
      <c r="C455" s="6"/>
      <c r="D455" s="7"/>
    </row>
    <row r="456" spans="2:17">
      <c r="B456" s="14"/>
      <c r="C456" s="6"/>
      <c r="D456" s="7"/>
    </row>
    <row r="457" spans="2:17">
      <c r="B457" s="14"/>
      <c r="C457" s="6"/>
      <c r="D457" s="7"/>
    </row>
    <row r="458" spans="2:17">
      <c r="B458" s="14"/>
      <c r="C458" s="6"/>
      <c r="D458" s="7"/>
    </row>
    <row r="459" spans="2:17">
      <c r="B459" s="14"/>
      <c r="C459" s="6"/>
      <c r="D459" s="7"/>
    </row>
    <row r="460" spans="2:17">
      <c r="B460" s="14"/>
      <c r="C460" s="6"/>
      <c r="D460" s="7"/>
    </row>
    <row r="461" spans="2:17">
      <c r="B461" s="14"/>
      <c r="C461" s="6"/>
      <c r="D461" s="7"/>
      <c r="H461" s="3"/>
      <c r="L461" s="3"/>
      <c r="M461" s="3"/>
      <c r="N461" s="3"/>
      <c r="O461" s="3"/>
      <c r="Q461" s="3"/>
    </row>
    <row r="462" spans="2:17">
      <c r="B462" s="14"/>
      <c r="C462" s="6"/>
      <c r="D462" s="7"/>
      <c r="H462" s="3"/>
      <c r="L462" s="3"/>
      <c r="M462" s="3"/>
      <c r="N462" s="3"/>
      <c r="O462" s="3"/>
      <c r="Q462" s="3"/>
    </row>
    <row r="463" spans="2:17">
      <c r="B463" s="14"/>
      <c r="C463" s="6"/>
      <c r="D463" s="7"/>
      <c r="H463" s="3"/>
      <c r="L463" s="3"/>
      <c r="M463" s="3"/>
      <c r="N463" s="3"/>
      <c r="O463" s="3"/>
      <c r="Q463" s="3"/>
    </row>
    <row r="464" spans="2:17">
      <c r="B464" s="14"/>
      <c r="C464" s="6"/>
      <c r="D464" s="7"/>
      <c r="H464" s="3"/>
      <c r="L464" s="3"/>
      <c r="M464" s="3"/>
      <c r="N464" s="3"/>
      <c r="O464" s="3"/>
      <c r="Q464" s="3"/>
    </row>
    <row r="465" spans="2:17">
      <c r="B465" s="14"/>
      <c r="C465" s="6"/>
      <c r="D465" s="7"/>
      <c r="H465" s="3"/>
      <c r="L465" s="3"/>
      <c r="M465" s="3"/>
      <c r="N465" s="3"/>
      <c r="O465" s="3"/>
      <c r="Q465" s="3"/>
    </row>
    <row r="466" spans="2:17">
      <c r="B466" s="14"/>
      <c r="C466" s="6"/>
      <c r="D466" s="7"/>
    </row>
    <row r="467" spans="2:17">
      <c r="B467" s="14"/>
      <c r="C467" s="6"/>
      <c r="D467" s="7"/>
    </row>
    <row r="468" spans="2:17">
      <c r="B468" s="14"/>
      <c r="C468" s="6"/>
      <c r="D468" s="7"/>
    </row>
    <row r="469" spans="2:17">
      <c r="B469" s="14"/>
      <c r="C469" s="6"/>
      <c r="D469" s="7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</row>
    <row r="479" spans="2:17">
      <c r="B479" s="14"/>
      <c r="C479" s="6"/>
      <c r="D479" s="7"/>
    </row>
    <row r="480" spans="2:17">
      <c r="B480" s="14"/>
      <c r="C480" s="6"/>
      <c r="D480" s="7"/>
    </row>
    <row r="481" spans="2:4">
      <c r="B481" s="14"/>
      <c r="C481" s="6"/>
      <c r="D481" s="7"/>
    </row>
    <row r="482" spans="2:4">
      <c r="B482" s="14"/>
      <c r="C482" s="6"/>
      <c r="D482" s="7"/>
    </row>
    <row r="483" spans="2:4">
      <c r="B483" s="14"/>
      <c r="C483" s="6"/>
      <c r="D483" s="7"/>
    </row>
    <row r="484" spans="2:4">
      <c r="B484" s="14"/>
      <c r="C484" s="6"/>
      <c r="D484" s="7"/>
    </row>
    <row r="485" spans="2:4">
      <c r="B485" s="14"/>
      <c r="C485" s="6"/>
      <c r="D485" s="7"/>
    </row>
    <row r="486" spans="2:4">
      <c r="B486" s="14"/>
      <c r="C486" s="6"/>
      <c r="D486" s="7"/>
    </row>
    <row r="487" spans="2:4">
      <c r="B487" s="14"/>
      <c r="C487" s="6"/>
      <c r="D487" s="7"/>
    </row>
    <row r="488" spans="2:4">
      <c r="B488" s="14"/>
      <c r="C488" s="6"/>
      <c r="D488" s="7"/>
    </row>
    <row r="489" spans="2:4">
      <c r="B489" s="14"/>
      <c r="C489" s="6"/>
      <c r="D489" s="7"/>
    </row>
    <row r="490" spans="2:4">
      <c r="B490" s="14"/>
      <c r="C490" s="6"/>
      <c r="D490" s="7"/>
    </row>
    <row r="491" spans="2:4">
      <c r="B491" s="14"/>
      <c r="C491" s="6"/>
      <c r="D491" s="7"/>
    </row>
    <row r="492" spans="2:4">
      <c r="B492" s="14"/>
      <c r="C492" s="6"/>
      <c r="D492" s="7"/>
    </row>
    <row r="493" spans="2:4">
      <c r="B493" s="14"/>
      <c r="C493" s="6"/>
      <c r="D493" s="7"/>
    </row>
    <row r="494" spans="2:4">
      <c r="B494" s="14"/>
      <c r="C494" s="6"/>
      <c r="D494" s="7"/>
    </row>
    <row r="495" spans="2:4">
      <c r="B495" s="14"/>
      <c r="C495" s="6"/>
      <c r="D495" s="7"/>
    </row>
    <row r="496" spans="2:4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</sheetData>
  <sortState xmlns:xlrd2="http://schemas.microsoft.com/office/spreadsheetml/2017/richdata2" ref="A2:H182">
    <sortCondition descending="1" ref="D2:D182"/>
  </sortState>
  <conditionalFormatting sqref="A5705 A5772 A5776 A6493:A6496">
    <cfRule type="containsText" dxfId="0" priority="1" operator="containsText" text="TO BE PAID">
      <formula>NOT(ISERROR(SEARCH("TO BE PAID",A5705)))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zoomScaleNormal="100" workbookViewId="0">
      <selection activeCell="A2" sqref="A2:H182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54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46098</v>
      </c>
      <c r="G2" s="1">
        <f>SUMIF('Payment Summary'!D:D,'Future Summary'!F2,'Payment Summary'!C:C)</f>
        <v>34540.740000000005</v>
      </c>
      <c r="H2" s="1">
        <f>VLOOKUP(F2,PAYMENTS!A:C,3,FALSE)</f>
        <v>34540.74</v>
      </c>
      <c r="I2" t="str">
        <f t="shared" ref="I2:I17" si="1">IF(G2=H2,"Equal","Not Equal")</f>
        <v>Equal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46077</v>
      </c>
      <c r="G3" s="1">
        <f>SUMIF('Payment Summary'!D:D,'Future Summary'!F3,'Payment Summary'!C:C)</f>
        <v>7132.39</v>
      </c>
      <c r="H3" s="1">
        <f>VLOOKUP(F3,PAYMENTS!A:C,3,FALSE)</f>
        <v>7132.39</v>
      </c>
      <c r="I3" t="str">
        <f t="shared" si="1"/>
        <v>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46072</v>
      </c>
      <c r="G4" s="1">
        <f>SUMIF('Payment Summary'!D:D,'Future Summary'!F4,'Payment Summary'!C:C)</f>
        <v>5982.01</v>
      </c>
      <c r="H4" s="1">
        <f>VLOOKUP(F4,PAYMENTS!A:C,3,FALSE)</f>
        <v>5982.01</v>
      </c>
      <c r="I4" t="str">
        <f t="shared" si="1"/>
        <v>Equal</v>
      </c>
      <c r="P4" s="9" t="s">
        <v>328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46071</v>
      </c>
      <c r="G5" s="1">
        <f>SUMIF('Payment Summary'!D:D,'Future Summary'!F5,'Payment Summary'!C:C)</f>
        <v>34010.17</v>
      </c>
      <c r="H5" s="1">
        <f>VLOOKUP(F5,PAYMENTS!A:C,3,FALSE)</f>
        <v>34010.17</v>
      </c>
      <c r="I5" t="str">
        <f t="shared" si="1"/>
        <v>Equal</v>
      </c>
      <c r="P5" s="9" t="s">
        <v>328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46038</v>
      </c>
      <c r="G6" s="1">
        <f>SUMIF('Payment Summary'!D:D,'Future Summary'!F6,'Payment Summary'!C:C)</f>
        <v>41321.020000000011</v>
      </c>
      <c r="H6" s="1">
        <f>VLOOKUP(F6,PAYMENTS!A:C,3,FALSE)</f>
        <v>41321.019999999997</v>
      </c>
      <c r="I6" t="str">
        <f t="shared" si="1"/>
        <v>Equal</v>
      </c>
      <c r="P6" s="9" t="s">
        <v>328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46007</v>
      </c>
      <c r="G7" s="1">
        <f>SUMIF('Payment Summary'!D:D,'Future Summary'!F7,'Payment Summary'!C:C)</f>
        <v>47838.810000000005</v>
      </c>
      <c r="H7" s="1">
        <f>VLOOKUP(F7,PAYMENTS!A:C,3,FALSE)</f>
        <v>47838.81</v>
      </c>
      <c r="I7" t="str">
        <f t="shared" si="1"/>
        <v>Equal</v>
      </c>
      <c r="P7" s="9" t="s">
        <v>328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45950</v>
      </c>
      <c r="G8" s="1">
        <f>SUMIF('Payment Summary'!D:D,'Future Summary'!F8,'Payment Summary'!C:C)</f>
        <v>23229.210000000003</v>
      </c>
      <c r="H8" s="1">
        <f>VLOOKUP(F8,PAYMENTS!A:C,3,FALSE)</f>
        <v>23229.21</v>
      </c>
      <c r="I8" t="str">
        <f t="shared" si="1"/>
        <v>Equal</v>
      </c>
      <c r="P8" s="9" t="s">
        <v>328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45940</v>
      </c>
      <c r="G9" s="1">
        <f>SUMIF('Payment Summary'!D:D,'Future Summary'!F9,'Payment Summary'!C:C)</f>
        <v>5535.37</v>
      </c>
      <c r="H9" s="1">
        <f>VLOOKUP(F9,PAYMENTS!A:C,3,FALSE)</f>
        <v>5535.37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45924</v>
      </c>
      <c r="G10" s="1">
        <f>SUMIF('Payment Summary'!D:D,'Future Summary'!F10,'Payment Summary'!C:C)</f>
        <v>5535.37</v>
      </c>
      <c r="H10" s="1">
        <f>VLOOKUP(F10,PAYMENTS!A:C,3,FALSE)</f>
        <v>5535.37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45923</v>
      </c>
      <c r="G11" s="1">
        <f>SUMIF('Payment Summary'!D:D,'Future Summary'!F11,'Payment Summary'!C:C)</f>
        <v>4464.01</v>
      </c>
      <c r="H11" s="1">
        <f>VLOOKUP(F11,PAYMENTS!A:C,3,FALSE)</f>
        <v>4464.01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45917</v>
      </c>
      <c r="G12" s="1">
        <f>SUMIF('Payment Summary'!D:D,'Future Summary'!F12,'Payment Summary'!C:C)</f>
        <v>21776.39</v>
      </c>
      <c r="H12" s="1">
        <f>VLOOKUP(F12,PAYMENTS!A:C,3,FALSE)</f>
        <v>21776.39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45903</v>
      </c>
      <c r="G13" s="1">
        <f>SUMIF('Payment Summary'!D:D,'Future Summary'!F13,'Payment Summary'!C:C)</f>
        <v>6243.3</v>
      </c>
      <c r="H13" s="1">
        <f>VLOOKUP(F13,PAYMENTS!A:C,3,FALSE)</f>
        <v>6243.3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45889</v>
      </c>
      <c r="G14" s="1">
        <f>SUMIF('Payment Summary'!D:D,'Future Summary'!F14,'Payment Summary'!C:C)</f>
        <v>226.68</v>
      </c>
      <c r="H14" s="1">
        <f>VLOOKUP(F14,PAYMENTS!A:C,3,FALSE)</f>
        <v>226.68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45887</v>
      </c>
      <c r="G15" s="1">
        <f>SUMIF('Payment Summary'!D:D,'Future Summary'!F15,'Payment Summary'!C:C)</f>
        <v>45068.59</v>
      </c>
      <c r="H15" s="1">
        <f>VLOOKUP(F15,PAYMENTS!A:C,3,FALSE)</f>
        <v>45068.59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45862</v>
      </c>
      <c r="G16" s="1">
        <f>SUMIF('Payment Summary'!D:D,'Future Summary'!F16,'Payment Summary'!C:C)</f>
        <v>4557.6499999999996</v>
      </c>
      <c r="H16" s="1">
        <f>VLOOKUP(F16,PAYMENTS!A:C,3,FALSE)</f>
        <v>4557.6499999999996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45861</v>
      </c>
      <c r="G17" s="1">
        <f>SUMIF('Payment Summary'!D:D,'Future Summary'!F17,'Payment Summary'!C:C)</f>
        <v>8961</v>
      </c>
      <c r="H17" s="1">
        <f>VLOOKUP(F17,PAYMENTS!A:C,3,FALSE)</f>
        <v>8961</v>
      </c>
      <c r="I17" t="str">
        <f t="shared" si="1"/>
        <v>Equal</v>
      </c>
    </row>
    <row r="18" spans="2:9" ht="12.75" customHeight="1">
      <c r="B18" s="1" t="e">
        <f>SUMIF(#REF!,#REF!,#REF!)</f>
        <v>#REF!</v>
      </c>
      <c r="F18" s="3">
        <v>45856</v>
      </c>
      <c r="G18" s="1"/>
      <c r="H18" s="1"/>
    </row>
    <row r="19" spans="2:9" ht="12.75" customHeight="1">
      <c r="B19" s="1" t="e">
        <f>SUMIF(#REF!,#REF!,#REF!)</f>
        <v>#REF!</v>
      </c>
      <c r="F19" s="3">
        <v>45855</v>
      </c>
      <c r="G19" s="1"/>
      <c r="H19" s="1"/>
    </row>
    <row r="20" spans="2:9" ht="12.75" customHeight="1">
      <c r="B20" s="1" t="e">
        <f>SUMIF(#REF!,#REF!,#REF!)</f>
        <v>#REF!</v>
      </c>
      <c r="F20" s="3">
        <v>45854</v>
      </c>
      <c r="G20" s="1"/>
      <c r="H20" s="1"/>
    </row>
    <row r="21" spans="2:9" ht="12.75" customHeight="1">
      <c r="B21" s="1" t="e">
        <f>SUMIF(#REF!,#REF!,#REF!)</f>
        <v>#REF!</v>
      </c>
      <c r="F21" s="3">
        <v>45839</v>
      </c>
      <c r="G21" s="1"/>
      <c r="H21" s="1"/>
    </row>
    <row r="22" spans="2:9" ht="12.75" customHeight="1">
      <c r="B22" s="1" t="e">
        <f>SUMIF(#REF!,#REF!,#REF!)</f>
        <v>#REF!</v>
      </c>
      <c r="F22" s="3">
        <v>45835</v>
      </c>
      <c r="G22" s="1"/>
      <c r="H22" s="1"/>
    </row>
    <row r="23" spans="2:9" ht="12.75" customHeight="1">
      <c r="B23" s="1" t="e">
        <f>SUMIF(#REF!,#REF!,#REF!)</f>
        <v>#REF!</v>
      </c>
      <c r="F23" s="3">
        <v>45833</v>
      </c>
      <c r="G23" s="1"/>
      <c r="H23" s="1"/>
    </row>
    <row r="24" spans="2:9" ht="12.75" customHeight="1">
      <c r="B24" s="1" t="e">
        <f>SUMIF(#REF!,#REF!,#REF!)</f>
        <v>#REF!</v>
      </c>
      <c r="F24" s="3">
        <v>45831</v>
      </c>
      <c r="G24" s="1"/>
      <c r="H24" s="1"/>
    </row>
    <row r="25" spans="2:9" ht="12.75" customHeight="1">
      <c r="B25" s="1" t="e">
        <f>SUMIF(#REF!,#REF!,#REF!)</f>
        <v>#REF!</v>
      </c>
      <c r="F25" s="3">
        <v>45828</v>
      </c>
      <c r="G25" s="1"/>
      <c r="H25" s="1"/>
    </row>
    <row r="26" spans="2:9" ht="12.75" customHeight="1">
      <c r="B26" s="1" t="e">
        <f>SUMIF(#REF!,#REF!,#REF!)</f>
        <v>#REF!</v>
      </c>
      <c r="F26" s="3">
        <v>45826</v>
      </c>
      <c r="G26" s="1"/>
      <c r="H26" s="1"/>
    </row>
    <row r="27" spans="2:9" ht="12.75" customHeight="1">
      <c r="B27" s="1" t="e">
        <f>SUMIF(#REF!,#REF!,#REF!)</f>
        <v>#REF!</v>
      </c>
      <c r="F27" s="3">
        <v>45825</v>
      </c>
      <c r="G27" s="1"/>
      <c r="H27" s="1"/>
    </row>
    <row r="28" spans="2:9" ht="12.75" customHeight="1">
      <c r="B28" s="1" t="e">
        <f>SUMIF(#REF!,#REF!,#REF!)</f>
        <v>#REF!</v>
      </c>
      <c r="F28" s="3">
        <v>45805</v>
      </c>
      <c r="G28" s="1"/>
      <c r="H28" s="1"/>
    </row>
    <row r="29" spans="2:9" ht="12.75" customHeight="1">
      <c r="B29" s="1" t="e">
        <f>SUMIF(#REF!,#REF!,#REF!)</f>
        <v>#REF!</v>
      </c>
      <c r="F29" s="3">
        <v>45804</v>
      </c>
      <c r="G29" s="1"/>
      <c r="H29" s="1"/>
    </row>
    <row r="30" spans="2:9" ht="12.75" customHeight="1">
      <c r="B30" s="1" t="e">
        <f>SUMIF(#REF!,#REF!,#REF!)</f>
        <v>#REF!</v>
      </c>
      <c r="F30" s="3">
        <v>45798</v>
      </c>
      <c r="G30" s="1"/>
      <c r="H30" s="1"/>
    </row>
    <row r="31" spans="2:9" ht="12.75" customHeight="1">
      <c r="B31" s="1" t="e">
        <f>SUMIF(#REF!,#REF!,#REF!)</f>
        <v>#REF!</v>
      </c>
      <c r="F31" s="3">
        <v>45771</v>
      </c>
      <c r="G31" s="1"/>
      <c r="H31" s="1"/>
    </row>
    <row r="32" spans="2:9" ht="12.75" customHeight="1">
      <c r="B32" s="1" t="e">
        <f>SUMIF(#REF!,#REF!,#REF!)</f>
        <v>#REF!</v>
      </c>
      <c r="F32" s="3">
        <v>45768</v>
      </c>
      <c r="G32" s="1"/>
      <c r="H32" s="1"/>
    </row>
    <row r="33" spans="2:8" ht="12.75" customHeight="1">
      <c r="B33" s="1" t="e">
        <f>SUMIF(#REF!,#REF!,#REF!)</f>
        <v>#REF!</v>
      </c>
      <c r="F33" s="3">
        <v>45764</v>
      </c>
      <c r="G33" s="1"/>
      <c r="H33" s="1"/>
    </row>
    <row r="34" spans="2:8" ht="12.75" customHeight="1">
      <c r="B34" s="1" t="e">
        <f>SUMIF(#REF!,#REF!,#REF!)</f>
        <v>#REF!</v>
      </c>
      <c r="F34" s="3">
        <v>45740</v>
      </c>
      <c r="G34" s="1"/>
      <c r="H34" s="1"/>
    </row>
    <row r="35" spans="2:8" ht="12.75" customHeight="1">
      <c r="B35" s="1" t="e">
        <f>SUMIF(#REF!,#REF!,#REF!)</f>
        <v>#REF!</v>
      </c>
      <c r="F35" s="3">
        <v>45737</v>
      </c>
      <c r="G35" s="1"/>
      <c r="H35" s="1"/>
    </row>
    <row r="36" spans="2:8" ht="12.75" customHeight="1">
      <c r="B36" s="1" t="e">
        <f>SUMIF(#REF!,#REF!,#REF!)</f>
        <v>#REF!</v>
      </c>
      <c r="F36" s="3">
        <v>45736</v>
      </c>
      <c r="G36" s="1"/>
      <c r="H36" s="1"/>
    </row>
    <row r="37" spans="2:8" ht="12.75" customHeight="1">
      <c r="B37" s="1" t="e">
        <f>SUMIF(#REF!,#REF!,#REF!)</f>
        <v>#REF!</v>
      </c>
      <c r="F37" s="3">
        <v>45735</v>
      </c>
      <c r="G37" s="1"/>
      <c r="H37" s="1"/>
    </row>
    <row r="38" spans="2:8" ht="12.75" customHeight="1">
      <c r="B38" s="1" t="e">
        <f>SUMIF(#REF!,#REF!,#REF!)</f>
        <v>#REF!</v>
      </c>
      <c r="F38" s="3">
        <v>45734</v>
      </c>
      <c r="G38" s="1"/>
      <c r="H38" s="1"/>
    </row>
    <row r="39" spans="2:8" ht="12.75" customHeight="1">
      <c r="B39" s="1" t="e">
        <f>SUMIF(#REF!,#REF!,#REF!)</f>
        <v>#REF!</v>
      </c>
      <c r="F39" s="3">
        <v>45714</v>
      </c>
      <c r="G39" s="1"/>
      <c r="H39" s="1"/>
    </row>
    <row r="40" spans="2:8" ht="12.75" customHeight="1">
      <c r="B40" s="1" t="e">
        <f>SUMIF(#REF!,#REF!,#REF!)</f>
        <v>#REF!</v>
      </c>
      <c r="F40" s="3">
        <v>45713</v>
      </c>
      <c r="G40" s="1"/>
      <c r="H40" s="1"/>
    </row>
    <row r="41" spans="2:8" ht="12.75" customHeight="1">
      <c r="B41" s="1" t="e">
        <f>SUMIF(#REF!,#REF!,#REF!)</f>
        <v>#REF!</v>
      </c>
      <c r="F41" s="3">
        <v>45712</v>
      </c>
      <c r="G41" s="1"/>
      <c r="H41" s="1"/>
    </row>
    <row r="42" spans="2:8" ht="12.75" customHeight="1">
      <c r="B42" s="1" t="e">
        <f>SUMIF(#REF!,#REF!,#REF!)</f>
        <v>#REF!</v>
      </c>
      <c r="F42" s="3">
        <v>45709</v>
      </c>
      <c r="G42" s="1"/>
      <c r="H42" s="1"/>
    </row>
    <row r="43" spans="2:8" ht="12.75" customHeight="1">
      <c r="F43" s="3">
        <v>45708</v>
      </c>
      <c r="G43" s="1"/>
      <c r="H43" s="1"/>
    </row>
    <row r="44" spans="2:8" ht="12.75" customHeight="1">
      <c r="F44" s="3">
        <v>45707</v>
      </c>
      <c r="G44" s="1"/>
      <c r="H44" s="1"/>
    </row>
    <row r="45" spans="2:8" ht="12.75" customHeight="1">
      <c r="F45" s="3">
        <v>45680</v>
      </c>
      <c r="G45" s="1"/>
      <c r="H45" s="1"/>
    </row>
    <row r="46" spans="2:8" ht="12.75" customHeight="1">
      <c r="F46" s="3">
        <v>45674</v>
      </c>
      <c r="G46" s="1"/>
      <c r="H46" s="1"/>
    </row>
    <row r="47" spans="2:8" ht="12.75" customHeight="1">
      <c r="F47" s="3">
        <v>45643</v>
      </c>
      <c r="G47" s="1"/>
      <c r="H47" s="1"/>
    </row>
    <row r="48" spans="2:8" ht="12.75" customHeight="1">
      <c r="F48" s="3">
        <v>45642</v>
      </c>
      <c r="G48" s="1"/>
      <c r="H48" s="1"/>
    </row>
    <row r="49" spans="6:8" ht="12.75" customHeight="1">
      <c r="F49" s="3">
        <v>45615</v>
      </c>
      <c r="G49" s="1"/>
      <c r="H49" s="1"/>
    </row>
    <row r="50" spans="6:8" ht="12.75" customHeight="1">
      <c r="F50" s="3">
        <v>45614</v>
      </c>
      <c r="G50" s="1"/>
      <c r="H50" s="1"/>
    </row>
    <row r="51" spans="6:8" ht="12.75" customHeight="1">
      <c r="F51" s="3">
        <v>45611</v>
      </c>
      <c r="G51" s="1"/>
      <c r="H51" s="1"/>
    </row>
    <row r="52" spans="6:8" ht="12.75" customHeight="1">
      <c r="F52" s="3">
        <v>45600</v>
      </c>
      <c r="G52" s="1"/>
      <c r="H52" s="1"/>
    </row>
    <row r="53" spans="6:8" ht="12.75" customHeight="1">
      <c r="F53" s="3">
        <v>45589</v>
      </c>
      <c r="G53" s="1"/>
      <c r="H53" s="1"/>
    </row>
    <row r="54" spans="6:8" ht="12.75" customHeight="1">
      <c r="F54" s="3">
        <v>0</v>
      </c>
      <c r="G54" s="1"/>
      <c r="H54" s="1"/>
    </row>
    <row r="55" spans="6:8" ht="12.75" customHeight="1">
      <c r="G55" s="1"/>
      <c r="H55" s="1"/>
    </row>
    <row r="56" spans="6:8" ht="12.75" customHeight="1">
      <c r="G56" s="1"/>
      <c r="H56" s="1"/>
    </row>
    <row r="57" spans="6:8" ht="12.75" customHeight="1">
      <c r="G57" s="1"/>
      <c r="H57" s="1"/>
    </row>
    <row r="58" spans="6:8" ht="12.75" customHeight="1">
      <c r="G58" s="1"/>
      <c r="H58" s="1"/>
    </row>
    <row r="59" spans="6:8" ht="12.75" customHeight="1">
      <c r="G59" s="1"/>
      <c r="H59" s="1"/>
    </row>
    <row r="60" spans="6:8" ht="12.75" customHeight="1">
      <c r="G60" s="1"/>
      <c r="H60" s="1"/>
    </row>
    <row r="61" spans="6:8" ht="12.75" customHeight="1">
      <c r="G61" s="1"/>
      <c r="H61" s="1"/>
    </row>
    <row r="62" spans="6:8" ht="12.75" customHeight="1">
      <c r="G62" s="1"/>
      <c r="H62" s="1"/>
    </row>
    <row r="63" spans="6:8" ht="12.75" customHeight="1">
      <c r="G63" s="1"/>
    </row>
    <row r="64" spans="6:8" ht="12.75" customHeight="1">
      <c r="G64" s="1"/>
    </row>
    <row r="65" spans="7:7" ht="12.75" customHeight="1">
      <c r="G65" s="1"/>
    </row>
    <row r="66" spans="7:7" ht="12.75" customHeight="1">
      <c r="G66" s="1"/>
    </row>
    <row r="67" spans="7:7" ht="12.75" customHeight="1">
      <c r="G67" s="1"/>
    </row>
    <row r="68" spans="7:7" ht="12.75" customHeight="1">
      <c r="G68" s="1"/>
    </row>
    <row r="69" spans="7:7" ht="12.75" customHeight="1">
      <c r="G69" s="1"/>
    </row>
    <row r="70" spans="7:7" ht="12.75" customHeight="1">
      <c r="G70" s="1"/>
    </row>
    <row r="71" spans="7:7" ht="12.75" customHeight="1">
      <c r="G71" s="1"/>
    </row>
    <row r="72" spans="7:7" ht="12.75" customHeight="1">
      <c r="G72" s="1"/>
    </row>
    <row r="73" spans="7:7" ht="12.75" customHeight="1">
      <c r="G73" s="1"/>
    </row>
    <row r="74" spans="7:7" ht="12.75" customHeight="1">
      <c r="G74" s="1"/>
    </row>
    <row r="75" spans="7:7" ht="12.75" customHeight="1">
      <c r="G75" s="1"/>
    </row>
    <row r="76" spans="7:7" ht="12.75" customHeight="1">
      <c r="G76" s="1"/>
    </row>
    <row r="77" spans="7:7" ht="12.75" customHeight="1">
      <c r="G77" s="1"/>
    </row>
    <row r="78" spans="7:7" ht="12.75" customHeight="1">
      <c r="G78" s="1"/>
    </row>
    <row r="79" spans="7:7" ht="12.75" customHeight="1">
      <c r="G79" s="1"/>
    </row>
    <row r="80" spans="7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E32" sqref="E32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143</v>
      </c>
      <c r="C1" s="50" t="s">
        <v>329</v>
      </c>
      <c r="D1" s="51" t="s">
        <v>330</v>
      </c>
      <c r="E1" s="52" t="s">
        <v>331</v>
      </c>
      <c r="F1" s="53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E5" sqref="E5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332</v>
      </c>
      <c r="B1" s="55" t="s">
        <v>333</v>
      </c>
      <c r="C1" s="56" t="s">
        <v>334</v>
      </c>
      <c r="D1" s="55" t="s">
        <v>335</v>
      </c>
      <c r="E1" s="56" t="s">
        <v>141</v>
      </c>
      <c r="F1" s="57" t="s">
        <v>336</v>
      </c>
      <c r="G1" s="62" t="s">
        <v>337</v>
      </c>
      <c r="H1" s="62" t="s">
        <v>338</v>
      </c>
      <c r="I1" s="62" t="s">
        <v>339</v>
      </c>
      <c r="K1" s="62" t="s">
        <v>340</v>
      </c>
      <c r="L1">
        <v>291622</v>
      </c>
    </row>
    <row r="2" spans="1:12" ht="15">
      <c r="A2" s="61">
        <v>2024</v>
      </c>
      <c r="B2" s="58">
        <v>3.5196000000000001</v>
      </c>
      <c r="C2" s="59">
        <v>33494.01</v>
      </c>
      <c r="D2" s="60">
        <f>B2*C2</f>
        <v>117885.51759600001</v>
      </c>
      <c r="E2" s="59">
        <v>66136.73</v>
      </c>
      <c r="F2" s="59">
        <f>D2-E2</f>
        <v>51748.787596000009</v>
      </c>
    </row>
    <row r="3" spans="1:12" ht="15">
      <c r="A3" s="61">
        <v>2025</v>
      </c>
      <c r="B3" s="58">
        <v>25.796800000000001</v>
      </c>
      <c r="C3" s="59">
        <v>34465.339999999997</v>
      </c>
      <c r="D3" s="60">
        <f t="shared" ref="D3:D4" si="0">B3*C3</f>
        <v>889095.48291199992</v>
      </c>
      <c r="E3" s="59">
        <v>583638.63</v>
      </c>
      <c r="F3" s="59">
        <f t="shared" ref="F3:F4" si="1">D3-E3</f>
        <v>305456.85291199991</v>
      </c>
    </row>
    <row r="4" spans="1:12" ht="15">
      <c r="A4" s="61">
        <v>2026</v>
      </c>
      <c r="B4" s="58">
        <v>11.4026</v>
      </c>
      <c r="C4" s="59">
        <v>35361.440000000002</v>
      </c>
      <c r="D4" s="60">
        <f t="shared" si="0"/>
        <v>403212.355744</v>
      </c>
      <c r="E4" s="59">
        <v>202834.26</v>
      </c>
      <c r="F4" s="59">
        <f t="shared" si="1"/>
        <v>200378.09574399999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2026-03-28T17:41:19Z</dcterms:modified>
</cp:coreProperties>
</file>