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47E96E35-CF2E-44D2-9D25-924272477755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F1" i="5" a="1"/>
  <c r="H16" i="5" s="1"/>
  <c r="A1" i="5" a="1"/>
  <c r="B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2" i="5" l="1"/>
  <c r="D2" i="5" s="1"/>
  <c r="G3" i="5"/>
  <c r="G5" i="5"/>
  <c r="G7" i="5"/>
  <c r="G9" i="5"/>
  <c r="G11" i="5"/>
  <c r="G13" i="5"/>
  <c r="G15" i="5"/>
  <c r="G17" i="5"/>
  <c r="F1" i="5"/>
  <c r="H3" i="5"/>
  <c r="H5" i="5"/>
  <c r="H7" i="5"/>
  <c r="H9" i="5"/>
  <c r="H11" i="5"/>
  <c r="H13" i="5"/>
  <c r="H15" i="5"/>
  <c r="H17" i="5"/>
  <c r="G2" i="5"/>
  <c r="G4" i="5"/>
  <c r="G6" i="5"/>
  <c r="G8" i="5"/>
  <c r="G10" i="5"/>
  <c r="G12" i="5"/>
  <c r="G14" i="5"/>
  <c r="G16" i="5"/>
  <c r="I16" i="5" s="1"/>
  <c r="A1" i="5"/>
  <c r="H2" i="5"/>
  <c r="H4" i="5"/>
  <c r="H6" i="5"/>
  <c r="H8" i="5"/>
  <c r="H10" i="5"/>
  <c r="H12" i="5"/>
  <c r="H14" i="5"/>
  <c r="I14" i="5" l="1"/>
  <c r="I12" i="5"/>
  <c r="I4" i="5"/>
  <c r="I15" i="5"/>
  <c r="I7" i="5"/>
  <c r="I10" i="5"/>
  <c r="I2" i="5"/>
  <c r="I13" i="5"/>
  <c r="I5" i="5"/>
  <c r="I8" i="5"/>
  <c r="I11" i="5"/>
  <c r="I3" i="5"/>
  <c r="I6" i="5"/>
  <c r="I17" i="5"/>
  <c r="I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<sst xmlns="http://schemas.openxmlformats.org/spreadsheetml/2006/main" count="562" uniqueCount="255">
  <si>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</si>
  <si>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</si>
  <si>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</si>
  <si>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</si>
  <si>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</si>
  <si>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</si>
  <si>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</si>
  <si>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</si>
  <si>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</si>
  <si>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</si>
  <si>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</si>
  <si>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</si>
  <si>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</si>
  <si>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</si>
  <si>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</si>
  <si>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</si>
  <si>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</si>
  <si>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</si>
  <si>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</si>
  <si>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</si>
  <si>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</si>
  <si>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</si>
  <si>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</si>
  <si>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</si>
  <si>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</si>
  <si>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</si>
  <si>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</si>
  <si>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</si>
  <si>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</si>
  <si>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</si>
  <si>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</si>
  <si>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</si>
  <si>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</si>
  <si>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</si>
  <si>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</si>
  <si>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</si>
  <si>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</si>
  <si>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</si>
  <si>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</si>
  <si>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</si>
  <si>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</si>
  <si>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</si>
  <si>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</si>
  <si>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</si>
  <si>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</si>
  <si>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</si>
  <si>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</si>
  <si>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</si>
  <si>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</si>
  <si>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</si>
  <si>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</si>
  <si>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</si>
  <si>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</si>
  <si>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</si>
  <si>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</si>
  <si>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</si>
  <si>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</si>
  <si>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</si>
  <si>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</si>
  <si>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</si>
  <si>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</si>
  <si>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</si>
  <si>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</si>
  <si>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</si>
  <si>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</si>
  <si>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</si>
  <si>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</si>
  <si>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</si>
  <si>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</si>
  <si>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</si>
  <si>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</si>
  <si>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</si>
  <si>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</si>
  <si>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</si>
  <si>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</si>
  <si>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</si>
  <si>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</si>
  <si>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</si>
  <si>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</si>
  <si>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</si>
  <si>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</si>
  <si>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</si>
  <si>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</si>
  <si>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</si>
  <si>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</si>
  <si>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</si>
  <si>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</si>
  <si>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</si>
  <si>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</si>
  <si>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</si>
  <si>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</si>
  <si>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</si>
  <si>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</si>
  <si>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</si>
  <si>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</si>
  <si>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</si>
  <si>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</si>
  <si>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</si>
  <si>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</si>
  <si>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</si>
  <si>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</si>
  <si>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</si>
  <si>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</si>
  <si>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</si>
  <si>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</si>
  <si>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</si>
  <si>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</si>
  <si>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</si>
  <si>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</si>
  <si>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</si>
  <si>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</si>
  <si>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</si>
  <si>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</si>
  <si>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</si>
  <si>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</si>
  <si>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</si>
  <si>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</si>
  <si>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</si>
  <si>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</si>
  <si>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</si>
  <si>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</si>
  <si>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</si>
  <si>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</si>
  <si>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</si>
  <si>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</si>
  <si>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</si>
  <si>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</si>
  <si>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</si>
  <si>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</si>
  <si>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</si>
  <si>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</si>
  <si>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</si>
  <si>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</si>
  <si>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</si>
  <si>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</si>
  <si>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</si>
  <si>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</si>
  <si>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</si>
  <si>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</si>
  <si>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</si>
  <si>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</si>
  <si>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</si>
  <si>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</si>
  <si>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</si>
  <si>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</si>
  <si>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</si>
  <si>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</si>
  <si>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Kaminsky, Zora</t>
  </si>
  <si>
    <t>2/25/2026</t>
  </si>
  <si>
    <t>4PC4VA6QE92</t>
  </si>
  <si>
    <t>Stone, Marilyn</t>
  </si>
  <si>
    <t>2/28/2026</t>
  </si>
  <si>
    <t>1RG3C29WG99</t>
  </si>
  <si>
    <t>Odie, Carl</t>
  </si>
  <si>
    <t>2/20/2026</t>
  </si>
  <si>
    <t>5WX5QY2EP60</t>
  </si>
  <si>
    <t>Presley, Robert</t>
  </si>
  <si>
    <t>2/1/2026</t>
  </si>
  <si>
    <t>7QK4DX2CV02</t>
  </si>
  <si>
    <t>Harris, Charlene</t>
  </si>
  <si>
    <t>3GH4H62DE90</t>
  </si>
  <si>
    <t>Gonzalez Suarez, Reyez</t>
  </si>
  <si>
    <t>1WC7RT7FE53</t>
  </si>
  <si>
    <t>Garcia, Davina</t>
  </si>
  <si>
    <t>3KG3W51ET18</t>
  </si>
  <si>
    <t>Chriqui, Maurice</t>
  </si>
  <si>
    <t>3FM4C63RT62</t>
  </si>
  <si>
    <t>Crowder, Mary</t>
  </si>
  <si>
    <t>4EM1CV3VV34</t>
  </si>
  <si>
    <t>1/11/2026</t>
  </si>
  <si>
    <t>1/8/2026</t>
  </si>
  <si>
    <t>1/7/2026</t>
  </si>
  <si>
    <t>1/1/2026</t>
  </si>
  <si>
    <t>Schnabel, Dawn</t>
  </si>
  <si>
    <t>7QH2CA8RN15</t>
  </si>
  <si>
    <t>Wilson, Anthony</t>
  </si>
  <si>
    <t>1EP6GW7UD42</t>
  </si>
  <si>
    <t>Stewart, Gary</t>
  </si>
  <si>
    <t>12/5/2025</t>
  </si>
  <si>
    <t>1D24QC3CW88</t>
  </si>
  <si>
    <t>12/1/2025</t>
  </si>
  <si>
    <t>Min, Kyung</t>
  </si>
  <si>
    <t>10/13/2025</t>
  </si>
  <si>
    <t>Adjustment</t>
  </si>
  <si>
    <t>2T27G24CF45</t>
  </si>
  <si>
    <t>Ohkawahira, Hidemi</t>
  </si>
  <si>
    <t>10/29/2025</t>
  </si>
  <si>
    <t>5QJ1J63EM25</t>
  </si>
  <si>
    <t>10/1/2025</t>
  </si>
  <si>
    <t>11/5/2025</t>
  </si>
  <si>
    <t>Haas, Loreen</t>
  </si>
  <si>
    <t>10/3/2025</t>
  </si>
  <si>
    <t>7PE1XQ3FD04</t>
  </si>
  <si>
    <t>11/11/2025</t>
  </si>
  <si>
    <t>11/1/2025</t>
  </si>
  <si>
    <t>9/1/2025</t>
  </si>
  <si>
    <t>Zelevyanskaya, Vera</t>
  </si>
  <si>
    <t>3RT0HC5TT37</t>
  </si>
  <si>
    <t>8/1/2025</t>
  </si>
  <si>
    <t>7/1/2025</t>
  </si>
  <si>
    <t>6/1/2025</t>
  </si>
  <si>
    <t>Bell, Clarkson</t>
  </si>
  <si>
    <t>5/3/2025</t>
  </si>
  <si>
    <t>8AN6TD7FK77</t>
  </si>
  <si>
    <t>5/1/2025</t>
  </si>
  <si>
    <t>Ayala Molina, David</t>
  </si>
  <si>
    <t>4/1/2025</t>
  </si>
  <si>
    <t>8JN8X53YE52</t>
  </si>
  <si>
    <t>Winger, David</t>
  </si>
  <si>
    <t>9G60PU8KF19</t>
  </si>
  <si>
    <t>4/3/2025</t>
  </si>
  <si>
    <t>Kharitonov, Alexander</t>
  </si>
  <si>
    <t>4/9/2025</t>
  </si>
  <si>
    <t>4WT7F41RU20</t>
  </si>
  <si>
    <t>3/31/2025</t>
  </si>
  <si>
    <t>Dixon, Guandzale</t>
  </si>
  <si>
    <t>7EH0X57VY14</t>
  </si>
  <si>
    <t>3/1/2025</t>
  </si>
  <si>
    <t>Schwartz, Sheila</t>
  </si>
  <si>
    <t>6R29G33NQ23</t>
  </si>
  <si>
    <t>3/17/2025</t>
  </si>
  <si>
    <t>2/1/2025</t>
  </si>
  <si>
    <t>1/14/2025</t>
  </si>
  <si>
    <t>1/1/2025</t>
  </si>
  <si>
    <t>1/10/2025</t>
  </si>
  <si>
    <t>Wacker, Ruth</t>
  </si>
  <si>
    <t>1/23/2025</t>
  </si>
  <si>
    <t>8UW5QU7CP77</t>
  </si>
  <si>
    <t>Villasenor, Carole</t>
  </si>
  <si>
    <t>12/4/2024</t>
  </si>
  <si>
    <t>8K27AY0QJ67</t>
  </si>
  <si>
    <t>12/1/2024</t>
  </si>
  <si>
    <t>Tucker, Martin</t>
  </si>
  <si>
    <t>4U81T44EP08</t>
  </si>
  <si>
    <t>11/26/2024</t>
  </si>
  <si>
    <t>11/1/2024</t>
  </si>
  <si>
    <t>10/29/2024</t>
  </si>
  <si>
    <t>10/1/2024</t>
  </si>
  <si>
    <t>9/1/2024</t>
  </si>
  <si>
    <t>Black, Victoria</t>
  </si>
  <si>
    <t>6UM8Q28WF52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</si>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</sst>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541CAA6E-3057-450D-B67A-04621A9AD949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45" workbookViewId="0">
      <selection activeCell="F92" sqref="C73:F9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6428.07</v>
      </c>
      <c r="F13" t="s">
        <v>140</v>
      </c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/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6428.07</v>
      </c>
    </row>
    <row r="25" spans="1:6" ht="15.6" customHeight="1">
      <c r="A25" s="69" t="s">
        <v>142</v>
      </c>
      <c r="B25" s="70"/>
      <c r="C25" s="71"/>
    </row>
    <row r="26" spans="1:6" ht="15.6" customHeight="1">
      <c r="A26" s="63">
        <v>45628</v>
      </c>
      <c r="B26" s="8">
        <v>45630</v>
      </c>
      <c r="C26" s="64">
        <v>789.79</v>
      </c>
      <c r="F26" t="s">
        <v>140</v>
      </c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/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14118.6</v>
      </c>
      <c r="F36" t="s">
        <v>140</v>
      </c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>
        <v>1316.32</v>
      </c>
      <c r="F39" t="s">
        <v>140</v>
      </c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16224.71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>
        <v>6190.99</v>
      </c>
      <c r="F52" t="s">
        <v>140</v>
      </c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>
        <v>28667.22</v>
      </c>
      <c r="F59" t="s">
        <v>140</v>
      </c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141</v>
      </c>
      <c r="B72" s="66"/>
      <c r="C72" s="67">
        <f>SUM(C50:C71)</f>
        <v>34858.21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5760.99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23386.65</v>
      </c>
      <c r="F84" t="s">
        <v>140</v>
      </c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29147.64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>
        <v>26511.03</v>
      </c>
      <c r="F104" t="s">
        <v>140</v>
      </c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26511.03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25676.25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3" ht="15.75" customHeight="1">
      <c r="A129" s="63">
        <v>45765</v>
      </c>
      <c r="B129" s="8">
        <v>45769</v>
      </c>
      <c r="C129" s="64"/>
    </row>
    <row r="130" spans="1:3" ht="15.75" customHeight="1">
      <c r="A130" s="63">
        <v>45768</v>
      </c>
      <c r="B130" s="8">
        <v>45770</v>
      </c>
      <c r="C130" s="64"/>
    </row>
    <row r="131" spans="1:3" ht="15.75" customHeight="1">
      <c r="A131" s="63">
        <v>45769</v>
      </c>
      <c r="B131" s="8">
        <v>45771</v>
      </c>
      <c r="C131" s="64"/>
    </row>
    <row r="132" spans="1:3" ht="15.75" customHeight="1">
      <c r="A132" s="63">
        <v>45770</v>
      </c>
      <c r="B132" s="8">
        <v>45772</v>
      </c>
      <c r="C132" s="64"/>
    </row>
    <row r="133" spans="1:3" ht="15.75" customHeight="1">
      <c r="A133" s="63">
        <v>45771</v>
      </c>
      <c r="B133" s="8">
        <v>45775</v>
      </c>
      <c r="C133" s="64"/>
    </row>
    <row r="134" spans="1:3" ht="15.75" customHeight="1">
      <c r="A134" s="63">
        <v>45772</v>
      </c>
      <c r="B134" s="8">
        <v>45776</v>
      </c>
      <c r="C134" s="64"/>
    </row>
    <row r="135" spans="1:3" ht="15.75" customHeight="1">
      <c r="A135" s="63">
        <v>45775</v>
      </c>
      <c r="B135" s="8">
        <v>45777</v>
      </c>
      <c r="C135" s="64"/>
    </row>
    <row r="136" spans="1:3" ht="15.75" customHeight="1">
      <c r="A136" s="63">
        <v>45776</v>
      </c>
      <c r="B136" s="8">
        <v>45778</v>
      </c>
      <c r="C136" s="64"/>
    </row>
    <row r="137" spans="1:3" ht="15.75" customHeight="1">
      <c r="A137" s="63">
        <v>45777</v>
      </c>
      <c r="B137" s="8">
        <v>45779</v>
      </c>
      <c r="C137" s="64"/>
    </row>
    <row r="138" spans="1:3" ht="15.75" customHeight="1">
      <c r="A138" s="65" t="s">
        <v>141</v>
      </c>
      <c r="B138" s="66"/>
      <c r="C138" s="67">
        <f>SUM(C116:C137)</f>
        <v>25676.25</v>
      </c>
    </row>
    <row r="139" spans="1:3" ht="15.75" customHeight="1">
      <c r="A139" s="63">
        <v>45778</v>
      </c>
      <c r="B139" s="8">
        <v>45782</v>
      </c>
      <c r="C139" s="68"/>
    </row>
    <row r="140" spans="1:3" ht="15.75" customHeight="1">
      <c r="A140" s="63">
        <v>45779</v>
      </c>
      <c r="B140" s="8">
        <v>45783</v>
      </c>
      <c r="C140" s="64"/>
    </row>
    <row r="141" spans="1:3" ht="15.75" customHeight="1">
      <c r="A141" s="63">
        <v>45782</v>
      </c>
      <c r="B141" s="8">
        <v>45784</v>
      </c>
      <c r="C141" s="64"/>
    </row>
    <row r="142" spans="1:3" ht="15.75" customHeight="1">
      <c r="A142" s="63">
        <v>45783</v>
      </c>
      <c r="B142" s="8">
        <v>45785</v>
      </c>
      <c r="C142" s="64"/>
    </row>
    <row r="143" spans="1:3" ht="15.75" customHeight="1">
      <c r="A143" s="63">
        <v>45784</v>
      </c>
      <c r="B143" s="8">
        <v>45786</v>
      </c>
      <c r="C143" s="64"/>
    </row>
    <row r="144" spans="1:3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>
        <v>39689.9</v>
      </c>
      <c r="F149" t="s">
        <v>140</v>
      </c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2933.82</v>
      </c>
      <c r="F156" t="s">
        <v>140</v>
      </c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42623.72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19284.21</v>
      </c>
      <c r="F171" t="s">
        <v>140</v>
      </c>
    </row>
    <row r="172" spans="1:6" ht="15.75" customHeight="1">
      <c r="A172" s="63">
        <v>45825</v>
      </c>
      <c r="B172" s="8">
        <v>45827</v>
      </c>
      <c r="C172" s="64">
        <v>3987.34</v>
      </c>
      <c r="F172" t="s">
        <v>140</v>
      </c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23271.55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>
        <v>15904.13</v>
      </c>
      <c r="F192" t="s">
        <v>140</v>
      </c>
    </row>
    <row r="193" spans="1:3" ht="15.75" customHeight="1">
      <c r="A193" s="63">
        <v>45854</v>
      </c>
      <c r="B193" s="8">
        <v>45856</v>
      </c>
      <c r="C193" s="64"/>
    </row>
    <row r="194" spans="1:3" ht="15.75" customHeight="1">
      <c r="A194" s="63">
        <v>45855</v>
      </c>
      <c r="B194" s="8">
        <v>45859</v>
      </c>
      <c r="C194" s="64"/>
    </row>
    <row r="195" spans="1:3" ht="15.75" customHeight="1">
      <c r="A195" s="63">
        <v>45856</v>
      </c>
      <c r="B195" s="8">
        <v>45860</v>
      </c>
      <c r="C195" s="64"/>
    </row>
    <row r="196" spans="1:3" ht="15.75" customHeight="1">
      <c r="A196" s="63">
        <v>45859</v>
      </c>
      <c r="B196" s="8">
        <v>45861</v>
      </c>
      <c r="C196" s="64"/>
    </row>
    <row r="197" spans="1:3" ht="15.75" customHeight="1">
      <c r="A197" s="63">
        <v>45860</v>
      </c>
      <c r="B197" s="8">
        <v>45862</v>
      </c>
      <c r="C197" s="64"/>
    </row>
    <row r="198" spans="1:3" ht="15.75" customHeight="1">
      <c r="A198" s="63">
        <v>45861</v>
      </c>
      <c r="B198" s="8">
        <v>45863</v>
      </c>
      <c r="C198" s="64"/>
    </row>
    <row r="199" spans="1:3" ht="15.75" customHeight="1">
      <c r="A199" s="63">
        <v>45862</v>
      </c>
      <c r="B199" s="8">
        <v>45866</v>
      </c>
      <c r="C199" s="64"/>
    </row>
    <row r="200" spans="1:3" ht="15.75" customHeight="1">
      <c r="A200" s="63">
        <v>45863</v>
      </c>
      <c r="B200" s="8">
        <v>45867</v>
      </c>
      <c r="C200" s="64"/>
    </row>
    <row r="201" spans="1:3" ht="15.75" customHeight="1">
      <c r="A201" s="63">
        <v>45866</v>
      </c>
      <c r="B201" s="8">
        <v>45868</v>
      </c>
      <c r="C201" s="64"/>
    </row>
    <row r="202" spans="1:3" ht="15.75" customHeight="1">
      <c r="A202" s="63">
        <v>45867</v>
      </c>
      <c r="B202" s="8">
        <v>45869</v>
      </c>
      <c r="C202" s="64"/>
    </row>
    <row r="203" spans="1:3" ht="15.75" customHeight="1">
      <c r="A203" s="63">
        <v>45868</v>
      </c>
      <c r="B203" s="8">
        <v>45870</v>
      </c>
      <c r="C203" s="64"/>
    </row>
    <row r="204" spans="1:3" ht="15.75" customHeight="1">
      <c r="A204" s="63">
        <v>45869</v>
      </c>
      <c r="B204" s="8">
        <v>45873</v>
      </c>
      <c r="C204" s="64"/>
    </row>
    <row r="205" spans="1:3" ht="15.75" customHeight="1">
      <c r="A205" s="65" t="s">
        <v>141</v>
      </c>
      <c r="B205" s="66"/>
      <c r="C205" s="67">
        <f>SUM(C183:C204)</f>
        <v>15904.13</v>
      </c>
    </row>
    <row r="206" spans="1:3" ht="15.75" customHeight="1">
      <c r="A206" s="63">
        <v>45870</v>
      </c>
      <c r="B206" s="8">
        <v>45874</v>
      </c>
      <c r="C206" s="64"/>
    </row>
    <row r="207" spans="1:3" ht="15.75" customHeight="1">
      <c r="A207" s="63">
        <v>45873</v>
      </c>
      <c r="B207" s="8">
        <v>45875</v>
      </c>
      <c r="C207" s="64"/>
    </row>
    <row r="208" spans="1:3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13012.47</v>
      </c>
      <c r="F216" t="s">
        <v>140</v>
      </c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13012.47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13012.47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3" ht="15.75" customHeight="1">
      <c r="A241" s="63">
        <v>45919</v>
      </c>
      <c r="B241" s="8">
        <v>45923</v>
      </c>
      <c r="C241" s="64"/>
    </row>
    <row r="242" spans="1:3" ht="15.75" customHeight="1">
      <c r="A242" s="63">
        <v>45922</v>
      </c>
      <c r="B242" s="8">
        <v>45924</v>
      </c>
      <c r="C242" s="64"/>
    </row>
    <row r="243" spans="1:3" ht="15.75" customHeight="1">
      <c r="A243" s="63">
        <v>45923</v>
      </c>
      <c r="B243" s="8">
        <v>45925</v>
      </c>
      <c r="C243" s="64"/>
    </row>
    <row r="244" spans="1:3" ht="15.75" customHeight="1">
      <c r="A244" s="63">
        <v>45924</v>
      </c>
      <c r="B244" s="8">
        <v>45926</v>
      </c>
      <c r="C244" s="64"/>
    </row>
    <row r="245" spans="1:3" ht="15.75" customHeight="1">
      <c r="A245" s="63">
        <v>45925</v>
      </c>
      <c r="B245" s="8">
        <v>45929</v>
      </c>
      <c r="C245" s="64"/>
    </row>
    <row r="246" spans="1:3" ht="15.75" customHeight="1">
      <c r="A246" s="63">
        <v>45926</v>
      </c>
      <c r="B246" s="8">
        <v>45930</v>
      </c>
      <c r="C246" s="64"/>
    </row>
    <row r="247" spans="1:3" ht="15.75" customHeight="1">
      <c r="A247" s="63">
        <v>45929</v>
      </c>
      <c r="B247" s="8">
        <v>45931</v>
      </c>
      <c r="C247" s="64"/>
    </row>
    <row r="248" spans="1:3" ht="15.75" customHeight="1">
      <c r="A248" s="63">
        <v>45930</v>
      </c>
      <c r="B248" s="8">
        <v>45932</v>
      </c>
      <c r="C248" s="64"/>
    </row>
    <row r="249" spans="1:3" ht="15.75" customHeight="1">
      <c r="A249" s="65" t="s">
        <v>141</v>
      </c>
      <c r="B249" s="66"/>
      <c r="C249" s="67">
        <f>SUM(C228:C248)</f>
        <v>13012.47</v>
      </c>
    </row>
    <row r="250" spans="1:3" ht="15.75" customHeight="1">
      <c r="A250" s="63">
        <v>45931</v>
      </c>
      <c r="B250" s="8">
        <v>45933</v>
      </c>
      <c r="C250" s="64"/>
    </row>
    <row r="251" spans="1:3" ht="15.75" customHeight="1">
      <c r="A251" s="63">
        <v>45932</v>
      </c>
      <c r="B251" s="8">
        <v>45936</v>
      </c>
      <c r="C251" s="64"/>
    </row>
    <row r="252" spans="1:3" ht="15.75" customHeight="1">
      <c r="A252" s="63">
        <v>45933</v>
      </c>
      <c r="B252" s="8">
        <v>45937</v>
      </c>
      <c r="C252" s="64"/>
    </row>
    <row r="253" spans="1:3" ht="15.75" customHeight="1">
      <c r="A253" s="63">
        <v>45936</v>
      </c>
      <c r="B253" s="8">
        <v>45938</v>
      </c>
      <c r="C253" s="64"/>
    </row>
    <row r="254" spans="1:3" ht="15.75" customHeight="1">
      <c r="A254" s="63">
        <v>45937</v>
      </c>
      <c r="B254" s="8">
        <v>45939</v>
      </c>
      <c r="C254" s="64"/>
    </row>
    <row r="255" spans="1:3" ht="15.75" customHeight="1">
      <c r="A255" s="63">
        <v>45938</v>
      </c>
      <c r="B255" s="8">
        <v>45940</v>
      </c>
      <c r="C255" s="64"/>
    </row>
    <row r="256" spans="1:3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9902.1200000000008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9902.1200000000008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>
        <v>3862.29</v>
      </c>
      <c r="F277" t="s">
        <v>140</v>
      </c>
    </row>
    <row r="278" spans="1:6" ht="15.75" customHeight="1">
      <c r="A278" s="63">
        <v>45968</v>
      </c>
      <c r="B278" s="8">
        <v>45972</v>
      </c>
      <c r="C278" s="64">
        <v>2569.31</v>
      </c>
      <c r="F278" t="s">
        <v>140</v>
      </c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6511.94</v>
      </c>
      <c r="F284" t="s">
        <v>140</v>
      </c>
    </row>
    <row r="285" spans="1:6" ht="15.75" customHeight="1">
      <c r="A285" s="63">
        <v>45979</v>
      </c>
      <c r="B285" s="8">
        <v>45981</v>
      </c>
      <c r="C285" s="64">
        <v>697.5</v>
      </c>
      <c r="F285" t="s">
        <v>140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799.53</v>
      </c>
      <c r="F287" t="s">
        <v>140</v>
      </c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14440.570000000002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15997.7</v>
      </c>
      <c r="F303" t="s">
        <v>140</v>
      </c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15997.7</v>
      </c>
    </row>
    <row r="315" spans="1:8" ht="15.75" customHeight="1">
      <c r="A315" s="8">
        <v>46024</v>
      </c>
      <c r="B315" s="8">
        <v>46028</v>
      </c>
      <c r="C315" s="16">
        <v>4686.43</v>
      </c>
      <c r="F315" s="17" t="s">
        <v>140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25313.78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1994.93</v>
      </c>
      <c r="F328" s="17" t="s">
        <v>140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31995.14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39447.120000000003</v>
      </c>
      <c r="F346" s="17" t="s">
        <v>140</v>
      </c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6498.1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45945.22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>
        <v>25309.69</v>
      </c>
      <c r="F366" s="17" t="s">
        <v>140</v>
      </c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1445.64</v>
      </c>
      <c r="F370" s="17" t="s">
        <v>140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26755.329999999998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3"/>
  <sheetViews>
    <sheetView workbookViewId="0">
      <selection activeCell="N31" sqref="N31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  <row r="2" spans="1:6">
      <c r="A2" t="s">
        <v>147</v>
      </c>
      <c r="B2" s="14" t="s">
        <v>148</v>
      </c>
      <c r="C2" s="6">
        <v>1189.52</v>
      </c>
      <c r="D2" s="7">
        <v>46101</v>
      </c>
      <c r="F2" t="s">
        <v>149</v>
      </c>
    </row>
    <row r="3" spans="1:6">
      <c r="A3" t="s">
        <v>150</v>
      </c>
      <c r="B3" s="14" t="s">
        <v>151</v>
      </c>
      <c r="C3" s="6">
        <v>256.12</v>
      </c>
      <c r="D3" s="7">
        <v>46101</v>
      </c>
      <c r="F3" t="s">
        <v>152</v>
      </c>
    </row>
    <row r="4" spans="1:6">
      <c r="A4" t="s">
        <v>153</v>
      </c>
      <c r="B4" s="14" t="s">
        <v>154</v>
      </c>
      <c r="C4" s="6">
        <v>4284.7299999999996</v>
      </c>
      <c r="D4" s="7">
        <v>46097</v>
      </c>
      <c r="F4" t="s">
        <v>155</v>
      </c>
    </row>
    <row r="5" spans="1:6">
      <c r="A5" t="s">
        <v>156</v>
      </c>
      <c r="B5" s="14" t="s">
        <v>157</v>
      </c>
      <c r="C5" s="6">
        <v>5818.64</v>
      </c>
      <c r="D5" s="7">
        <v>46097</v>
      </c>
      <c r="F5" t="s">
        <v>158</v>
      </c>
    </row>
    <row r="6" spans="1:6">
      <c r="A6" t="s">
        <v>159</v>
      </c>
      <c r="B6" s="14" t="s">
        <v>157</v>
      </c>
      <c r="C6" s="6">
        <v>7171.34</v>
      </c>
      <c r="D6" s="7">
        <v>46097</v>
      </c>
      <c r="F6" t="s">
        <v>160</v>
      </c>
    </row>
    <row r="7" spans="1:6">
      <c r="A7" t="s">
        <v>161</v>
      </c>
      <c r="B7" s="14" t="s">
        <v>157</v>
      </c>
      <c r="C7" s="6">
        <v>5652.2</v>
      </c>
      <c r="D7" s="7">
        <v>46097</v>
      </c>
      <c r="F7" t="s">
        <v>162</v>
      </c>
    </row>
    <row r="8" spans="1:6">
      <c r="A8" t="s">
        <v>163</v>
      </c>
      <c r="B8" s="14" t="s">
        <v>157</v>
      </c>
      <c r="C8" s="6">
        <v>201.86</v>
      </c>
      <c r="D8" s="7">
        <v>46097</v>
      </c>
      <c r="F8" t="s">
        <v>164</v>
      </c>
    </row>
    <row r="9" spans="1:6">
      <c r="A9" t="s">
        <v>165</v>
      </c>
      <c r="B9" s="14" t="s">
        <v>157</v>
      </c>
      <c r="C9" s="6">
        <v>5201.42</v>
      </c>
      <c r="D9" s="7">
        <v>46097</v>
      </c>
      <c r="F9" t="s">
        <v>166</v>
      </c>
    </row>
    <row r="10" spans="1:6">
      <c r="A10" t="s">
        <v>167</v>
      </c>
      <c r="B10" s="14" t="s">
        <v>157</v>
      </c>
      <c r="C10" s="6">
        <v>6498.1</v>
      </c>
      <c r="D10" s="7">
        <v>46077</v>
      </c>
      <c r="F10" t="s">
        <v>168</v>
      </c>
    </row>
    <row r="11" spans="1:6">
      <c r="A11" t="s">
        <v>167</v>
      </c>
      <c r="B11" s="14" t="s">
        <v>169</v>
      </c>
      <c r="C11" s="6">
        <v>4239.1499999999996</v>
      </c>
      <c r="D11" s="7">
        <v>46070</v>
      </c>
      <c r="F11" t="s">
        <v>168</v>
      </c>
    </row>
    <row r="12" spans="1:6">
      <c r="A12" t="s">
        <v>159</v>
      </c>
      <c r="B12" s="14" t="s">
        <v>170</v>
      </c>
      <c r="C12" s="6">
        <v>6146.86</v>
      </c>
      <c r="D12" s="7">
        <v>46070</v>
      </c>
      <c r="F12" t="s">
        <v>160</v>
      </c>
    </row>
    <row r="13" spans="1:6">
      <c r="A13" t="s">
        <v>165</v>
      </c>
      <c r="B13" s="14" t="s">
        <v>171</v>
      </c>
      <c r="C13" s="6">
        <v>6402.98</v>
      </c>
      <c r="D13" s="7">
        <v>46070</v>
      </c>
      <c r="F13" t="s">
        <v>166</v>
      </c>
    </row>
    <row r="14" spans="1:6">
      <c r="A14" t="s">
        <v>156</v>
      </c>
      <c r="B14" s="14" t="s">
        <v>172</v>
      </c>
      <c r="C14" s="6">
        <v>6257.79</v>
      </c>
      <c r="D14" s="7">
        <v>46070</v>
      </c>
      <c r="F14" t="s">
        <v>158</v>
      </c>
    </row>
    <row r="15" spans="1:6">
      <c r="A15" t="s">
        <v>161</v>
      </c>
      <c r="B15" s="14" t="s">
        <v>169</v>
      </c>
      <c r="C15" s="6">
        <v>4404.2</v>
      </c>
      <c r="D15" s="7">
        <v>46070</v>
      </c>
      <c r="F15" t="s">
        <v>162</v>
      </c>
    </row>
    <row r="16" spans="1:6">
      <c r="A16" t="s">
        <v>173</v>
      </c>
      <c r="B16" s="14" t="s">
        <v>172</v>
      </c>
      <c r="C16" s="6">
        <v>3516.25</v>
      </c>
      <c r="D16" s="7">
        <v>46070</v>
      </c>
      <c r="F16" t="s">
        <v>174</v>
      </c>
    </row>
    <row r="17" spans="1:6">
      <c r="A17" t="s">
        <v>175</v>
      </c>
      <c r="B17" s="14" t="s">
        <v>172</v>
      </c>
      <c r="C17" s="6">
        <v>5046.6000000000004</v>
      </c>
      <c r="D17" s="7">
        <v>46070</v>
      </c>
      <c r="F17" t="s">
        <v>176</v>
      </c>
    </row>
    <row r="18" spans="1:6">
      <c r="A18" t="s">
        <v>163</v>
      </c>
      <c r="B18" s="14" t="s">
        <v>172</v>
      </c>
      <c r="C18" s="6">
        <v>6453.79</v>
      </c>
      <c r="D18" s="7">
        <v>46070</v>
      </c>
      <c r="F18" t="s">
        <v>164</v>
      </c>
    </row>
    <row r="19" spans="1:6">
      <c r="A19" t="s">
        <v>177</v>
      </c>
      <c r="B19" s="14" t="s">
        <v>178</v>
      </c>
      <c r="C19" s="6">
        <v>1994.93</v>
      </c>
      <c r="D19" s="7">
        <v>46044</v>
      </c>
      <c r="F19" t="s">
        <v>179</v>
      </c>
    </row>
    <row r="20" spans="1:6">
      <c r="A20" t="s">
        <v>173</v>
      </c>
      <c r="B20" s="14" t="s">
        <v>180</v>
      </c>
      <c r="C20" s="6">
        <v>7939.7</v>
      </c>
      <c r="D20" s="7">
        <v>46038</v>
      </c>
      <c r="F20" t="s">
        <v>174</v>
      </c>
    </row>
    <row r="21" spans="1:6">
      <c r="A21" t="s">
        <v>175</v>
      </c>
      <c r="B21" s="14" t="s">
        <v>180</v>
      </c>
      <c r="C21" s="6">
        <v>6257.79</v>
      </c>
      <c r="D21" s="7">
        <v>46038</v>
      </c>
      <c r="F21" t="s">
        <v>176</v>
      </c>
    </row>
    <row r="22" spans="1:6">
      <c r="A22" t="s">
        <v>156</v>
      </c>
      <c r="B22" s="14" t="s">
        <v>180</v>
      </c>
      <c r="C22" s="6">
        <v>7879</v>
      </c>
      <c r="D22" s="7">
        <v>46038</v>
      </c>
      <c r="F22" t="s">
        <v>158</v>
      </c>
    </row>
    <row r="23" spans="1:6">
      <c r="A23" t="s">
        <v>163</v>
      </c>
      <c r="B23" s="14" t="s">
        <v>180</v>
      </c>
      <c r="C23" s="6">
        <v>6257.79</v>
      </c>
      <c r="D23" s="7">
        <v>46038</v>
      </c>
      <c r="F23" t="s">
        <v>164</v>
      </c>
    </row>
    <row r="24" spans="1:6">
      <c r="A24" t="s">
        <v>181</v>
      </c>
      <c r="B24" s="14" t="s">
        <v>182</v>
      </c>
      <c r="C24" s="6">
        <v>3711.73</v>
      </c>
      <c r="D24" s="7">
        <v>46024</v>
      </c>
      <c r="E24" t="s">
        <v>183</v>
      </c>
      <c r="F24" t="s">
        <v>184</v>
      </c>
    </row>
    <row r="25" spans="1:6">
      <c r="A25" t="s">
        <v>185</v>
      </c>
      <c r="B25" s="14" t="s">
        <v>186</v>
      </c>
      <c r="C25" s="6">
        <v>670.31</v>
      </c>
      <c r="D25" s="7">
        <v>46024</v>
      </c>
      <c r="E25" t="s">
        <v>183</v>
      </c>
      <c r="F25" t="s">
        <v>187</v>
      </c>
    </row>
    <row r="26" spans="1:6">
      <c r="A26" t="s">
        <v>163</v>
      </c>
      <c r="B26" s="14" t="s">
        <v>188</v>
      </c>
      <c r="C26" s="6">
        <v>6257.79</v>
      </c>
      <c r="D26" s="7">
        <v>46024</v>
      </c>
      <c r="E26" t="s">
        <v>183</v>
      </c>
      <c r="F26" t="s">
        <v>164</v>
      </c>
    </row>
    <row r="27" spans="1:6">
      <c r="A27" t="s">
        <v>175</v>
      </c>
      <c r="B27" s="14" t="s">
        <v>189</v>
      </c>
      <c r="C27" s="6">
        <v>5248.47</v>
      </c>
      <c r="D27" s="7">
        <v>46024</v>
      </c>
      <c r="F27" t="s">
        <v>176</v>
      </c>
    </row>
    <row r="28" spans="1:6">
      <c r="A28" t="s">
        <v>156</v>
      </c>
      <c r="B28" s="14" t="s">
        <v>186</v>
      </c>
      <c r="C28" s="6">
        <v>768.36</v>
      </c>
      <c r="D28" s="7">
        <v>46021</v>
      </c>
      <c r="E28" t="s">
        <v>183</v>
      </c>
      <c r="F28" t="s">
        <v>158</v>
      </c>
    </row>
    <row r="29" spans="1:6">
      <c r="A29" t="s">
        <v>190</v>
      </c>
      <c r="B29" s="14" t="s">
        <v>191</v>
      </c>
      <c r="C29" s="6">
        <v>2469.15</v>
      </c>
      <c r="D29" s="7">
        <v>46021</v>
      </c>
      <c r="E29" t="s">
        <v>183</v>
      </c>
      <c r="F29" t="s">
        <v>192</v>
      </c>
    </row>
    <row r="30" spans="1:6">
      <c r="A30" t="s">
        <v>173</v>
      </c>
      <c r="B30" s="14" t="s">
        <v>193</v>
      </c>
      <c r="C30" s="6">
        <v>5122.38</v>
      </c>
      <c r="D30" s="7">
        <v>46006</v>
      </c>
      <c r="F30" t="s">
        <v>174</v>
      </c>
    </row>
    <row r="31" spans="1:6">
      <c r="A31" t="s">
        <v>156</v>
      </c>
      <c r="B31" s="14" t="s">
        <v>194</v>
      </c>
      <c r="C31" s="6">
        <v>7683.57</v>
      </c>
      <c r="D31" s="7">
        <v>46006</v>
      </c>
      <c r="F31" t="s">
        <v>158</v>
      </c>
    </row>
    <row r="32" spans="1:6">
      <c r="A32" t="s">
        <v>163</v>
      </c>
      <c r="B32" s="14" t="s">
        <v>194</v>
      </c>
      <c r="C32" s="6">
        <v>6212.25</v>
      </c>
      <c r="D32" s="7">
        <v>46006</v>
      </c>
      <c r="F32" t="s">
        <v>164</v>
      </c>
    </row>
    <row r="33" spans="1:6">
      <c r="A33" t="s">
        <v>163</v>
      </c>
      <c r="B33" s="14" t="s">
        <v>195</v>
      </c>
      <c r="C33" s="6">
        <v>6377.05</v>
      </c>
      <c r="D33" s="7">
        <v>45945</v>
      </c>
      <c r="F33" t="s">
        <v>164</v>
      </c>
    </row>
    <row r="34" spans="1:6">
      <c r="A34" t="s">
        <v>196</v>
      </c>
      <c r="B34" s="14" t="s">
        <v>195</v>
      </c>
      <c r="C34" s="6">
        <v>3525.07</v>
      </c>
      <c r="D34" s="7">
        <v>45945</v>
      </c>
      <c r="F34" t="s">
        <v>197</v>
      </c>
    </row>
    <row r="35" spans="1:6">
      <c r="A35" t="s">
        <v>163</v>
      </c>
      <c r="B35" s="14" t="s">
        <v>198</v>
      </c>
      <c r="C35" s="6">
        <v>6428.07</v>
      </c>
      <c r="D35" s="7">
        <v>45916</v>
      </c>
      <c r="F35" t="s">
        <v>164</v>
      </c>
    </row>
    <row r="36" spans="1:6">
      <c r="A36" t="s">
        <v>196</v>
      </c>
      <c r="B36" s="14" t="s">
        <v>198</v>
      </c>
      <c r="C36" s="6">
        <v>6584.4</v>
      </c>
      <c r="D36" s="7">
        <v>45916</v>
      </c>
      <c r="F36" t="s">
        <v>197</v>
      </c>
    </row>
    <row r="37" spans="1:6">
      <c r="A37" t="s">
        <v>196</v>
      </c>
      <c r="B37" s="14" t="s">
        <v>199</v>
      </c>
      <c r="C37" s="6">
        <v>6428.07</v>
      </c>
      <c r="D37" s="7">
        <v>45884</v>
      </c>
      <c r="F37" t="s">
        <v>197</v>
      </c>
    </row>
    <row r="38" spans="1:6">
      <c r="A38" t="s">
        <v>163</v>
      </c>
      <c r="B38" s="14" t="s">
        <v>199</v>
      </c>
      <c r="C38" s="6">
        <v>6584.4</v>
      </c>
      <c r="D38" s="7">
        <v>45884</v>
      </c>
      <c r="F38" t="s">
        <v>164</v>
      </c>
    </row>
    <row r="39" spans="1:6">
      <c r="A39" t="s">
        <v>163</v>
      </c>
      <c r="B39" s="14" t="s">
        <v>200</v>
      </c>
      <c r="C39" s="6">
        <v>6220.72</v>
      </c>
      <c r="D39" s="7">
        <v>45853</v>
      </c>
      <c r="F39" t="s">
        <v>164</v>
      </c>
    </row>
    <row r="40" spans="1:6">
      <c r="A40" t="s">
        <v>156</v>
      </c>
      <c r="B40" s="14" t="s">
        <v>200</v>
      </c>
      <c r="C40" s="6">
        <v>3266.69</v>
      </c>
      <c r="D40" s="7">
        <v>45853</v>
      </c>
      <c r="F40" t="s">
        <v>158</v>
      </c>
    </row>
    <row r="41" spans="1:6">
      <c r="A41" t="s">
        <v>196</v>
      </c>
      <c r="B41" s="14" t="s">
        <v>200</v>
      </c>
      <c r="C41" s="6">
        <v>6416.72</v>
      </c>
      <c r="D41" s="7">
        <v>45853</v>
      </c>
      <c r="F41" t="s">
        <v>197</v>
      </c>
    </row>
    <row r="42" spans="1:6">
      <c r="A42" t="s">
        <v>201</v>
      </c>
      <c r="B42" s="14" t="s">
        <v>202</v>
      </c>
      <c r="C42" s="6">
        <v>3987.34</v>
      </c>
      <c r="D42" s="7">
        <v>45825</v>
      </c>
      <c r="F42" t="s">
        <v>203</v>
      </c>
    </row>
    <row r="43" spans="1:6">
      <c r="A43" t="s">
        <v>156</v>
      </c>
      <c r="B43" s="14" t="s">
        <v>204</v>
      </c>
      <c r="C43" s="6">
        <v>6428.07</v>
      </c>
      <c r="D43" s="7">
        <v>45824</v>
      </c>
      <c r="F43" t="s">
        <v>158</v>
      </c>
    </row>
    <row r="44" spans="1:6">
      <c r="A44" t="s">
        <v>196</v>
      </c>
      <c r="B44" s="14" t="s">
        <v>204</v>
      </c>
      <c r="C44" s="6">
        <v>6428.07</v>
      </c>
      <c r="D44" s="7">
        <v>45824</v>
      </c>
      <c r="F44" t="s">
        <v>197</v>
      </c>
    </row>
    <row r="45" spans="1:6">
      <c r="A45" t="s">
        <v>163</v>
      </c>
      <c r="B45" s="14" t="s">
        <v>204</v>
      </c>
      <c r="C45" s="6">
        <v>6428.07</v>
      </c>
      <c r="D45" s="7">
        <v>45824</v>
      </c>
      <c r="F45" t="s">
        <v>164</v>
      </c>
    </row>
    <row r="46" spans="1:6">
      <c r="A46" t="s">
        <v>205</v>
      </c>
      <c r="B46" s="14" t="s">
        <v>206</v>
      </c>
      <c r="C46" s="6">
        <v>7742.01</v>
      </c>
      <c r="D46" s="7">
        <v>45804</v>
      </c>
      <c r="E46" t="s">
        <v>183</v>
      </c>
      <c r="F46" t="s">
        <v>207</v>
      </c>
    </row>
    <row r="47" spans="1:6">
      <c r="A47" t="s">
        <v>208</v>
      </c>
      <c r="B47" s="14" t="s">
        <v>204</v>
      </c>
      <c r="C47" s="6">
        <v>951.49</v>
      </c>
      <c r="D47" s="7">
        <v>45804</v>
      </c>
      <c r="F47" t="s">
        <v>209</v>
      </c>
    </row>
    <row r="48" spans="1:6">
      <c r="A48" t="s">
        <v>205</v>
      </c>
      <c r="B48" s="14" t="s">
        <v>204</v>
      </c>
      <c r="C48" s="6">
        <v>1904.15</v>
      </c>
      <c r="D48" s="7">
        <v>45804</v>
      </c>
      <c r="F48" t="s">
        <v>207</v>
      </c>
    </row>
    <row r="49" spans="1:6">
      <c r="A49" t="s">
        <v>208</v>
      </c>
      <c r="B49" s="14" t="s">
        <v>210</v>
      </c>
      <c r="C49" s="6">
        <v>7371.35</v>
      </c>
      <c r="D49" s="7">
        <v>45792</v>
      </c>
      <c r="F49" t="s">
        <v>209</v>
      </c>
    </row>
    <row r="50" spans="1:6">
      <c r="A50" t="s">
        <v>196</v>
      </c>
      <c r="B50" s="14" t="s">
        <v>206</v>
      </c>
      <c r="C50" s="6">
        <v>6416.72</v>
      </c>
      <c r="D50" s="7">
        <v>45792</v>
      </c>
      <c r="F50" t="s">
        <v>197</v>
      </c>
    </row>
    <row r="51" spans="1:6">
      <c r="A51" t="s">
        <v>156</v>
      </c>
      <c r="B51" s="14" t="s">
        <v>206</v>
      </c>
      <c r="C51" s="6">
        <v>6416.72</v>
      </c>
      <c r="D51" s="7">
        <v>45792</v>
      </c>
      <c r="F51" t="s">
        <v>158</v>
      </c>
    </row>
    <row r="52" spans="1:6">
      <c r="A52" t="s">
        <v>211</v>
      </c>
      <c r="B52" s="14" t="s">
        <v>212</v>
      </c>
      <c r="C52" s="6">
        <v>1497.72</v>
      </c>
      <c r="D52" s="7">
        <v>45792</v>
      </c>
      <c r="F52" t="s">
        <v>213</v>
      </c>
    </row>
    <row r="53" spans="1:6">
      <c r="A53" t="s">
        <v>205</v>
      </c>
      <c r="B53" s="14" t="s">
        <v>214</v>
      </c>
      <c r="C53" s="6">
        <v>255.46</v>
      </c>
      <c r="D53" s="7">
        <v>45792</v>
      </c>
      <c r="F53" t="s">
        <v>207</v>
      </c>
    </row>
    <row r="54" spans="1:6">
      <c r="A54" t="s">
        <v>215</v>
      </c>
      <c r="B54" s="14" t="s">
        <v>206</v>
      </c>
      <c r="C54" s="6">
        <v>3847.38</v>
      </c>
      <c r="D54" s="7">
        <v>45792</v>
      </c>
      <c r="F54" t="s">
        <v>216</v>
      </c>
    </row>
    <row r="55" spans="1:6">
      <c r="A55" t="s">
        <v>163</v>
      </c>
      <c r="B55" s="14" t="s">
        <v>206</v>
      </c>
      <c r="C55" s="6">
        <v>6220.72</v>
      </c>
      <c r="D55" s="7">
        <v>45792</v>
      </c>
      <c r="F55" t="s">
        <v>164</v>
      </c>
    </row>
    <row r="56" spans="1:6">
      <c r="A56" t="s">
        <v>196</v>
      </c>
      <c r="B56" s="14" t="s">
        <v>217</v>
      </c>
      <c r="C56" s="6">
        <v>6428.07</v>
      </c>
      <c r="D56" s="7">
        <v>45762</v>
      </c>
      <c r="F56" t="s">
        <v>197</v>
      </c>
    </row>
    <row r="57" spans="1:6">
      <c r="A57" t="s">
        <v>218</v>
      </c>
      <c r="B57" s="14" t="s">
        <v>217</v>
      </c>
      <c r="C57" s="6">
        <v>1660.42</v>
      </c>
      <c r="D57" s="7">
        <v>45762</v>
      </c>
      <c r="F57" t="s">
        <v>219</v>
      </c>
    </row>
    <row r="58" spans="1:6">
      <c r="A58" t="s">
        <v>156</v>
      </c>
      <c r="B58" s="14" t="s">
        <v>217</v>
      </c>
      <c r="C58" s="6">
        <v>6428.07</v>
      </c>
      <c r="D58" s="7">
        <v>45762</v>
      </c>
      <c r="F58" t="s">
        <v>158</v>
      </c>
    </row>
    <row r="59" spans="1:6">
      <c r="A59" t="s">
        <v>163</v>
      </c>
      <c r="B59" s="14" t="s">
        <v>217</v>
      </c>
      <c r="C59" s="6">
        <v>7210.75</v>
      </c>
      <c r="D59" s="7">
        <v>45762</v>
      </c>
      <c r="F59" t="s">
        <v>164</v>
      </c>
    </row>
    <row r="60" spans="1:6">
      <c r="A60" t="s">
        <v>215</v>
      </c>
      <c r="B60" s="14" t="s">
        <v>220</v>
      </c>
      <c r="C60" s="6">
        <v>3948.94</v>
      </c>
      <c r="D60" s="7">
        <v>45762</v>
      </c>
      <c r="F60" t="s">
        <v>216</v>
      </c>
    </row>
    <row r="61" spans="1:6">
      <c r="A61" t="s">
        <v>156</v>
      </c>
      <c r="B61" s="14" t="s">
        <v>221</v>
      </c>
      <c r="C61" s="6">
        <v>5962.33</v>
      </c>
      <c r="D61" s="7">
        <v>45733</v>
      </c>
      <c r="F61" t="s">
        <v>158</v>
      </c>
    </row>
    <row r="62" spans="1:6">
      <c r="A62" t="s">
        <v>163</v>
      </c>
      <c r="B62" s="14" t="s">
        <v>221</v>
      </c>
      <c r="C62" s="6">
        <v>7371.35</v>
      </c>
      <c r="D62" s="7">
        <v>45733</v>
      </c>
      <c r="F62" t="s">
        <v>164</v>
      </c>
    </row>
    <row r="63" spans="1:6">
      <c r="A63" t="s">
        <v>196</v>
      </c>
      <c r="B63" s="14" t="s">
        <v>221</v>
      </c>
      <c r="C63" s="6">
        <v>5806</v>
      </c>
      <c r="D63" s="7">
        <v>45733</v>
      </c>
      <c r="F63" t="s">
        <v>197</v>
      </c>
    </row>
    <row r="64" spans="1:6">
      <c r="A64" t="s">
        <v>218</v>
      </c>
      <c r="B64" s="14" t="s">
        <v>221</v>
      </c>
      <c r="C64" s="6">
        <v>7371.35</v>
      </c>
      <c r="D64" s="7">
        <v>45733</v>
      </c>
      <c r="F64" t="s">
        <v>219</v>
      </c>
    </row>
    <row r="65" spans="1:6">
      <c r="A65" t="s">
        <v>163</v>
      </c>
      <c r="B65" s="14" t="s">
        <v>222</v>
      </c>
      <c r="C65" s="6">
        <v>4738.7299999999996</v>
      </c>
      <c r="D65" s="7">
        <v>45706</v>
      </c>
      <c r="F65" t="s">
        <v>164</v>
      </c>
    </row>
    <row r="66" spans="1:6">
      <c r="A66" t="s">
        <v>156</v>
      </c>
      <c r="B66" s="14" t="s">
        <v>223</v>
      </c>
      <c r="C66" s="6">
        <v>6428.07</v>
      </c>
      <c r="D66" s="7">
        <v>45706</v>
      </c>
      <c r="F66" t="s">
        <v>158</v>
      </c>
    </row>
    <row r="67" spans="1:6">
      <c r="A67" t="s">
        <v>196</v>
      </c>
      <c r="B67" s="14" t="s">
        <v>223</v>
      </c>
      <c r="C67" s="6">
        <v>6428.07</v>
      </c>
      <c r="D67" s="7">
        <v>45706</v>
      </c>
      <c r="F67" t="s">
        <v>197</v>
      </c>
    </row>
    <row r="68" spans="1:6">
      <c r="A68" t="s">
        <v>218</v>
      </c>
      <c r="B68" s="14" t="s">
        <v>224</v>
      </c>
      <c r="C68" s="6">
        <v>5791.78</v>
      </c>
      <c r="D68" s="7">
        <v>45706</v>
      </c>
      <c r="F68" t="s">
        <v>219</v>
      </c>
    </row>
    <row r="69" spans="1:6">
      <c r="A69" t="s">
        <v>225</v>
      </c>
      <c r="B69" s="14" t="s">
        <v>226</v>
      </c>
      <c r="C69" s="6">
        <v>5760.99</v>
      </c>
      <c r="D69" s="7">
        <v>45701</v>
      </c>
      <c r="F69" t="s">
        <v>227</v>
      </c>
    </row>
    <row r="70" spans="1:6">
      <c r="A70" t="s">
        <v>228</v>
      </c>
      <c r="B70" s="14" t="s">
        <v>229</v>
      </c>
      <c r="C70" s="6">
        <v>14301.62</v>
      </c>
      <c r="D70" s="7">
        <v>45687</v>
      </c>
      <c r="E70" t="s">
        <v>183</v>
      </c>
      <c r="F70" t="s">
        <v>230</v>
      </c>
    </row>
    <row r="71" spans="1:6">
      <c r="A71" t="s">
        <v>156</v>
      </c>
      <c r="B71" s="14" t="s">
        <v>231</v>
      </c>
      <c r="C71" s="6">
        <v>6428.07</v>
      </c>
      <c r="D71" s="7">
        <v>45672</v>
      </c>
      <c r="F71" t="s">
        <v>158</v>
      </c>
    </row>
    <row r="72" spans="1:6">
      <c r="A72" t="s">
        <v>196</v>
      </c>
      <c r="B72" s="14" t="s">
        <v>231</v>
      </c>
      <c r="C72" s="6">
        <v>7937.53</v>
      </c>
      <c r="D72" s="7">
        <v>45672</v>
      </c>
      <c r="F72" t="s">
        <v>197</v>
      </c>
    </row>
    <row r="73" spans="1:6">
      <c r="A73" t="s">
        <v>232</v>
      </c>
      <c r="B73" s="14" t="s">
        <v>231</v>
      </c>
      <c r="C73" s="6">
        <v>6190.99</v>
      </c>
      <c r="D73" s="7">
        <v>45663</v>
      </c>
      <c r="F73" t="s">
        <v>233</v>
      </c>
    </row>
    <row r="74" spans="1:6">
      <c r="A74" t="s">
        <v>232</v>
      </c>
      <c r="B74" s="14" t="s">
        <v>234</v>
      </c>
      <c r="C74" s="6">
        <v>1316.32</v>
      </c>
      <c r="D74" s="7">
        <v>45645</v>
      </c>
      <c r="F74" t="s">
        <v>233</v>
      </c>
    </row>
    <row r="75" spans="1:6">
      <c r="A75" t="s">
        <v>196</v>
      </c>
      <c r="B75" s="14" t="s">
        <v>235</v>
      </c>
      <c r="C75" s="6">
        <v>7897.88</v>
      </c>
      <c r="D75" s="7">
        <v>45642</v>
      </c>
      <c r="F75" t="s">
        <v>197</v>
      </c>
    </row>
    <row r="76" spans="1:6">
      <c r="A76" t="s">
        <v>156</v>
      </c>
      <c r="B76" s="14" t="s">
        <v>235</v>
      </c>
      <c r="C76" s="6">
        <v>6220.72</v>
      </c>
      <c r="D76" s="7">
        <v>45642</v>
      </c>
      <c r="F76" t="s">
        <v>158</v>
      </c>
    </row>
    <row r="77" spans="1:6">
      <c r="A77" t="s">
        <v>196</v>
      </c>
      <c r="B77" s="14" t="s">
        <v>236</v>
      </c>
      <c r="C77" s="6">
        <v>789.79</v>
      </c>
      <c r="D77" s="7">
        <v>45628</v>
      </c>
      <c r="F77" t="s">
        <v>197</v>
      </c>
    </row>
    <row r="78" spans="1:6">
      <c r="A78" t="s">
        <v>156</v>
      </c>
      <c r="B78" s="14" t="s">
        <v>237</v>
      </c>
      <c r="C78" s="6">
        <v>6428.07</v>
      </c>
      <c r="D78" s="7">
        <v>45611</v>
      </c>
      <c r="F78" t="s">
        <v>158</v>
      </c>
    </row>
    <row r="79" spans="1:6">
      <c r="A79" t="s">
        <v>156</v>
      </c>
      <c r="B79" s="14" t="s">
        <v>238</v>
      </c>
      <c r="C79" s="6">
        <v>6182.73</v>
      </c>
      <c r="D79" s="7">
        <v>45580</v>
      </c>
      <c r="F79" t="s">
        <v>158</v>
      </c>
    </row>
    <row r="80" spans="1:6">
      <c r="A80" t="s">
        <v>239</v>
      </c>
      <c r="B80" s="14" t="s">
        <v>238</v>
      </c>
      <c r="C80" s="6">
        <v>1236.54</v>
      </c>
      <c r="D80" s="7">
        <v>45580</v>
      </c>
      <c r="F80" t="s">
        <v>240</v>
      </c>
    </row>
    <row r="81" spans="2:4">
      <c r="B81" s="14"/>
      <c r="C81" s="6"/>
      <c r="D81" s="7"/>
    </row>
    <row r="82" spans="2:4">
      <c r="B82" s="14"/>
      <c r="C82" s="6"/>
      <c r="D82" s="7"/>
    </row>
    <row r="83" spans="2:4">
      <c r="B83" s="14"/>
      <c r="C83" s="6"/>
      <c r="D83" s="7"/>
    </row>
    <row r="84" spans="2:4">
      <c r="B84" s="14"/>
      <c r="C84" s="6"/>
      <c r="D84" s="7"/>
    </row>
    <row r="85" spans="2:4">
      <c r="B85" s="14"/>
      <c r="C85" s="6"/>
      <c r="D85" s="7"/>
    </row>
    <row r="86" spans="2:4">
      <c r="B86" s="14"/>
      <c r="C86" s="6"/>
      <c r="D86" s="7"/>
    </row>
    <row r="87" spans="2:4">
      <c r="B87" s="14"/>
      <c r="C87" s="6"/>
      <c r="D87" s="7"/>
    </row>
    <row r="88" spans="2:4">
      <c r="B88" s="14"/>
      <c r="C88" s="6"/>
      <c r="D88" s="7"/>
    </row>
    <row r="89" spans="2:4">
      <c r="B89" s="14"/>
      <c r="C89" s="6"/>
      <c r="D89" s="7"/>
    </row>
    <row r="90" spans="2:4">
      <c r="B90" s="14"/>
      <c r="C90" s="6"/>
      <c r="D90" s="7"/>
    </row>
    <row r="91" spans="2:4">
      <c r="B91" s="14"/>
      <c r="C91" s="6"/>
      <c r="D91" s="7"/>
    </row>
    <row r="92" spans="2:4">
      <c r="B92" s="14"/>
      <c r="C92" s="6"/>
      <c r="D92" s="7"/>
    </row>
    <row r="93" spans="2:4">
      <c r="B93" s="14"/>
      <c r="C93" s="6"/>
      <c r="D93" s="7"/>
    </row>
    <row r="94" spans="2:4">
      <c r="B94" s="14"/>
      <c r="C94" s="6"/>
      <c r="D94" s="7"/>
    </row>
    <row r="95" spans="2:4">
      <c r="B95" s="14"/>
      <c r="C95" s="6"/>
      <c r="D95" s="7"/>
    </row>
    <row r="96" spans="2:4">
      <c r="B96" s="14"/>
      <c r="C96" s="6"/>
      <c r="D96" s="7"/>
    </row>
    <row r="97" spans="2:4">
      <c r="B97" s="14"/>
      <c r="C97" s="6"/>
      <c r="D97" s="7"/>
    </row>
    <row r="98" spans="2:4">
      <c r="B98" s="14"/>
      <c r="C98" s="6"/>
      <c r="D98" s="7"/>
    </row>
    <row r="99" spans="2:4">
      <c r="B99" s="14"/>
      <c r="C99" s="6"/>
      <c r="D99" s="7"/>
    </row>
    <row r="100" spans="2:4">
      <c r="B100" s="14"/>
      <c r="C100" s="6"/>
      <c r="D100" s="7"/>
    </row>
    <row r="101" spans="2:4">
      <c r="B101" s="14"/>
      <c r="C101" s="6"/>
      <c r="D101" s="7"/>
    </row>
    <row r="102" spans="2:4">
      <c r="B102" s="14"/>
      <c r="C102" s="6"/>
      <c r="D102" s="7"/>
    </row>
    <row r="103" spans="2:4">
      <c r="B103" s="14"/>
      <c r="C103" s="6"/>
      <c r="D103" s="7"/>
    </row>
    <row r="104" spans="2:4">
      <c r="B104" s="14"/>
      <c r="C104" s="6"/>
      <c r="D104" s="7"/>
    </row>
    <row r="105" spans="2:4">
      <c r="B105" s="14"/>
      <c r="C105" s="6"/>
      <c r="D105" s="7"/>
    </row>
    <row r="106" spans="2:4">
      <c r="B106" s="14"/>
      <c r="C106" s="6"/>
      <c r="D106" s="7"/>
    </row>
    <row r="107" spans="2:4">
      <c r="B107" s="14"/>
      <c r="C107" s="6"/>
      <c r="D107" s="7"/>
    </row>
    <row r="108" spans="2:4">
      <c r="B108" s="14"/>
      <c r="C108" s="6"/>
      <c r="D108" s="7"/>
    </row>
    <row r="109" spans="2:4">
      <c r="B109" s="14"/>
      <c r="C109" s="6"/>
      <c r="D109" s="7"/>
    </row>
    <row r="110" spans="2:4">
      <c r="B110" s="14"/>
      <c r="C110" s="6"/>
      <c r="D110" s="7"/>
    </row>
    <row r="111" spans="2:4">
      <c r="B111" s="14"/>
      <c r="C111" s="6"/>
      <c r="D111" s="7"/>
    </row>
    <row r="112" spans="2:4">
      <c r="B112" s="14"/>
      <c r="C112" s="6"/>
      <c r="D112" s="7"/>
    </row>
    <row r="113" spans="2:4">
      <c r="B113" s="14"/>
      <c r="C113" s="6"/>
      <c r="D113" s="7"/>
    </row>
    <row r="114" spans="2:4">
      <c r="B114" s="14"/>
      <c r="C114" s="6"/>
      <c r="D114" s="7"/>
    </row>
    <row r="115" spans="2:4">
      <c r="B115" s="14"/>
      <c r="C115" s="6"/>
      <c r="D115" s="7"/>
    </row>
    <row r="116" spans="2:4">
      <c r="B116" s="14"/>
      <c r="C116" s="6"/>
      <c r="D116" s="7"/>
    </row>
    <row r="117" spans="2:4">
      <c r="B117" s="14"/>
      <c r="C117" s="6"/>
      <c r="D117" s="7"/>
    </row>
    <row r="118" spans="2:4">
      <c r="B118" s="14"/>
      <c r="C118" s="6"/>
      <c r="D118" s="7"/>
    </row>
    <row r="119" spans="2:4">
      <c r="B119" s="14"/>
      <c r="C119" s="6"/>
      <c r="D119" s="7"/>
    </row>
    <row r="120" spans="2:4">
      <c r="B120" s="14"/>
      <c r="C120" s="6"/>
      <c r="D120" s="7"/>
    </row>
    <row r="121" spans="2:4">
      <c r="B121" s="14"/>
      <c r="C121" s="6"/>
      <c r="D121" s="7"/>
    </row>
    <row r="122" spans="2:4">
      <c r="B122" s="14"/>
      <c r="C122" s="6"/>
      <c r="D122" s="7"/>
    </row>
    <row r="123" spans="2:4">
      <c r="B123" s="14"/>
      <c r="C123" s="6"/>
      <c r="D123" s="7"/>
    </row>
    <row r="124" spans="2:4">
      <c r="B124" s="14"/>
      <c r="C124" s="6"/>
      <c r="D124" s="7"/>
    </row>
    <row r="125" spans="2:4">
      <c r="B125" s="14"/>
      <c r="C125" s="6"/>
      <c r="D125" s="7"/>
    </row>
    <row r="126" spans="2:4">
      <c r="B126" s="14"/>
      <c r="C126" s="6"/>
      <c r="D126" s="7"/>
    </row>
    <row r="127" spans="2:4">
      <c r="B127" s="14"/>
      <c r="C127" s="6"/>
      <c r="D127" s="7"/>
    </row>
    <row r="128" spans="2:4">
      <c r="B128" s="14"/>
      <c r="C128" s="6"/>
      <c r="D128" s="7"/>
    </row>
    <row r="129" spans="2:4">
      <c r="B129" s="14"/>
      <c r="C129" s="6"/>
      <c r="D129" s="7"/>
    </row>
    <row r="130" spans="2:4">
      <c r="B130" s="14"/>
      <c r="C130" s="6"/>
      <c r="D130" s="7"/>
    </row>
    <row r="131" spans="2:4">
      <c r="B131" s="14"/>
      <c r="C131" s="6"/>
      <c r="D131" s="7"/>
    </row>
    <row r="132" spans="2:4">
      <c r="B132" s="14"/>
      <c r="C132" s="6"/>
      <c r="D132" s="7"/>
    </row>
    <row r="133" spans="2:4">
      <c r="B133" s="14"/>
      <c r="C133" s="6"/>
      <c r="D133" s="7"/>
    </row>
    <row r="134" spans="2:4">
      <c r="B134" s="14"/>
      <c r="C134" s="6"/>
      <c r="D134" s="7"/>
    </row>
    <row r="135" spans="2:4">
      <c r="B135" s="14"/>
      <c r="C135" s="6"/>
      <c r="D135" s="7"/>
    </row>
    <row r="136" spans="2:4">
      <c r="B136" s="14"/>
      <c r="C136" s="6"/>
      <c r="D136" s="7"/>
    </row>
    <row r="137" spans="2:4">
      <c r="B137" s="14"/>
      <c r="C137" s="6"/>
      <c r="D137" s="7"/>
    </row>
    <row r="138" spans="2:4">
      <c r="B138" s="14"/>
      <c r="C138" s="6"/>
      <c r="D138" s="7"/>
    </row>
    <row r="139" spans="2:4">
      <c r="B139" s="14"/>
      <c r="C139" s="6"/>
      <c r="D139" s="7"/>
    </row>
    <row r="140" spans="2:4">
      <c r="B140" s="14"/>
      <c r="C140" s="6"/>
      <c r="D140" s="7"/>
    </row>
    <row r="141" spans="2:4">
      <c r="B141" s="14"/>
      <c r="C141" s="6"/>
      <c r="D141" s="7"/>
    </row>
    <row r="142" spans="2:4">
      <c r="B142" s="14"/>
      <c r="C142" s="6"/>
      <c r="D142" s="7"/>
    </row>
    <row r="143" spans="2:4">
      <c r="B143" s="14"/>
      <c r="C143" s="6"/>
      <c r="D143" s="7"/>
    </row>
    <row r="144" spans="2:4">
      <c r="B144" s="14"/>
      <c r="C144" s="6"/>
      <c r="D144" s="7"/>
    </row>
    <row r="145" spans="2:4">
      <c r="B145" s="14"/>
      <c r="C145" s="6"/>
      <c r="D145" s="7"/>
    </row>
    <row r="146" spans="2:4">
      <c r="B146" s="14"/>
      <c r="C146" s="6"/>
      <c r="D146" s="7"/>
    </row>
    <row r="147" spans="2:4">
      <c r="B147" s="14"/>
      <c r="C147" s="6"/>
      <c r="D147" s="7"/>
    </row>
    <row r="148" spans="2:4">
      <c r="B148" s="14"/>
      <c r="C148" s="6"/>
      <c r="D148" s="7"/>
    </row>
    <row r="149" spans="2:4">
      <c r="B149" s="14"/>
      <c r="C149" s="6"/>
      <c r="D149" s="7"/>
    </row>
    <row r="150" spans="2:4">
      <c r="B150" s="14"/>
      <c r="C150" s="6"/>
      <c r="D150" s="7"/>
    </row>
    <row r="151" spans="2:4">
      <c r="B151" s="14"/>
      <c r="C151" s="6"/>
      <c r="D151" s="7"/>
    </row>
    <row r="152" spans="2:4">
      <c r="B152" s="14"/>
      <c r="C152" s="6"/>
      <c r="D152" s="7"/>
    </row>
    <row r="153" spans="2:4">
      <c r="B153" s="14"/>
      <c r="C153" s="6"/>
      <c r="D153" s="7"/>
    </row>
    <row r="154" spans="2:4">
      <c r="B154" s="14"/>
      <c r="C154" s="6"/>
      <c r="D154" s="7"/>
    </row>
    <row r="155" spans="2:4">
      <c r="B155" s="14"/>
      <c r="C155" s="6"/>
      <c r="D155" s="7"/>
    </row>
    <row r="156" spans="2:4">
      <c r="B156" s="14"/>
      <c r="C156" s="6"/>
      <c r="D156" s="7"/>
    </row>
    <row r="157" spans="2:4">
      <c r="B157" s="14"/>
      <c r="C157" s="6"/>
      <c r="D157" s="7"/>
    </row>
    <row r="158" spans="2:4">
      <c r="B158" s="14"/>
      <c r="C158" s="6"/>
      <c r="D158" s="7"/>
    </row>
    <row r="159" spans="2:4">
      <c r="B159" s="14"/>
      <c r="C159" s="6"/>
      <c r="D159" s="7"/>
    </row>
    <row r="160" spans="2:4">
      <c r="B160" s="14"/>
      <c r="C160" s="6"/>
      <c r="D160" s="7"/>
    </row>
    <row r="161" spans="2:4">
      <c r="B161" s="14"/>
      <c r="C161" s="6"/>
      <c r="D161" s="7"/>
    </row>
    <row r="162" spans="2:4">
      <c r="B162" s="14"/>
      <c r="C162" s="6"/>
      <c r="D162" s="7"/>
    </row>
    <row r="163" spans="2:4">
      <c r="B163" s="14"/>
      <c r="C163" s="6"/>
      <c r="D163" s="7"/>
    </row>
    <row r="164" spans="2:4">
      <c r="B164" s="14"/>
      <c r="C164" s="6"/>
      <c r="D164" s="7"/>
    </row>
    <row r="165" spans="2:4">
      <c r="B165" s="14"/>
      <c r="C165" s="6"/>
      <c r="D165" s="7"/>
    </row>
    <row r="166" spans="2:4">
      <c r="B166" s="14"/>
      <c r="C166" s="6"/>
      <c r="D166" s="7"/>
    </row>
    <row r="167" spans="2:4">
      <c r="B167" s="14"/>
      <c r="C167" s="6"/>
      <c r="D167" s="7"/>
    </row>
    <row r="168" spans="2:4">
      <c r="B168" s="14"/>
      <c r="C168" s="6"/>
      <c r="D168" s="7"/>
    </row>
    <row r="169" spans="2:4">
      <c r="B169" s="14"/>
      <c r="C169" s="6"/>
      <c r="D169" s="7"/>
    </row>
    <row r="170" spans="2:4">
      <c r="B170" s="14"/>
      <c r="C170" s="6"/>
      <c r="D170" s="7"/>
    </row>
    <row r="171" spans="2:4">
      <c r="B171" s="14"/>
      <c r="C171" s="6"/>
      <c r="D171" s="7"/>
    </row>
    <row r="172" spans="2:4">
      <c r="B172" s="14"/>
      <c r="C172" s="6"/>
      <c r="D172" s="7"/>
    </row>
    <row r="173" spans="2:4">
      <c r="B173" s="14"/>
      <c r="C173" s="6"/>
      <c r="D173" s="7"/>
    </row>
    <row r="174" spans="2:4">
      <c r="B174" s="14"/>
      <c r="C174" s="6"/>
      <c r="D174" s="7"/>
    </row>
    <row r="175" spans="2:4">
      <c r="B175" s="14"/>
      <c r="C175" s="6"/>
      <c r="D175" s="7"/>
    </row>
    <row r="176" spans="2:4">
      <c r="B176" s="14"/>
      <c r="C176" s="6"/>
      <c r="D176" s="7"/>
    </row>
    <row r="177" spans="2:4">
      <c r="B177" s="14"/>
      <c r="C177" s="6"/>
      <c r="D177" s="7"/>
    </row>
    <row r="178" spans="2:4">
      <c r="B178" s="14"/>
      <c r="C178" s="6"/>
      <c r="D178" s="7"/>
    </row>
    <row r="179" spans="2:4">
      <c r="B179" s="14"/>
      <c r="C179" s="6"/>
      <c r="D179" s="7"/>
    </row>
    <row r="180" spans="2:4">
      <c r="B180" s="14"/>
      <c r="C180" s="6"/>
      <c r="D180" s="7"/>
    </row>
    <row r="181" spans="2:4">
      <c r="B181" s="14"/>
      <c r="C181" s="6"/>
      <c r="D181" s="7"/>
    </row>
    <row r="182" spans="2:4">
      <c r="B182" s="14"/>
      <c r="C182" s="6"/>
      <c r="D182" s="7"/>
    </row>
    <row r="183" spans="2:4">
      <c r="B183" s="14"/>
      <c r="C183" s="6"/>
      <c r="D183" s="7"/>
    </row>
    <row r="184" spans="2:4">
      <c r="B184" s="14"/>
      <c r="C184" s="6"/>
      <c r="D184" s="7"/>
    </row>
    <row r="185" spans="2:4">
      <c r="B185" s="14"/>
      <c r="C185" s="6"/>
      <c r="D185" s="7"/>
    </row>
    <row r="186" spans="2:4">
      <c r="B186" s="14"/>
      <c r="C186" s="6"/>
      <c r="D186" s="7"/>
    </row>
    <row r="187" spans="2:4">
      <c r="B187" s="14"/>
      <c r="C187" s="6"/>
      <c r="D187" s="7"/>
    </row>
    <row r="188" spans="2:4">
      <c r="B188" s="14"/>
      <c r="C188" s="6"/>
      <c r="D188" s="7"/>
    </row>
    <row r="189" spans="2:4">
      <c r="B189" s="14"/>
      <c r="C189" s="6"/>
      <c r="D189" s="7"/>
    </row>
    <row r="190" spans="2:4">
      <c r="B190" s="14"/>
      <c r="C190" s="6"/>
      <c r="D190" s="7"/>
    </row>
    <row r="191" spans="2:4">
      <c r="B191" s="14"/>
      <c r="C191" s="6"/>
      <c r="D191" s="7"/>
    </row>
    <row r="192" spans="2:4">
      <c r="B192" s="14"/>
      <c r="C192" s="6"/>
      <c r="D192" s="7"/>
    </row>
    <row r="193" spans="2:4">
      <c r="B193" s="14"/>
      <c r="C193" s="6"/>
      <c r="D193" s="7"/>
    </row>
    <row r="194" spans="2:4">
      <c r="B194" s="14"/>
      <c r="C194" s="6"/>
      <c r="D194" s="7"/>
    </row>
    <row r="195" spans="2:4">
      <c r="B195" s="14"/>
      <c r="C195" s="6"/>
      <c r="D195" s="7"/>
    </row>
    <row r="196" spans="2:4">
      <c r="B196" s="14"/>
      <c r="C196" s="6"/>
      <c r="D196" s="7"/>
    </row>
    <row r="197" spans="2:4">
      <c r="B197" s="14"/>
      <c r="C197" s="6"/>
      <c r="D197" s="7"/>
    </row>
    <row r="198" spans="2:4">
      <c r="B198" s="14"/>
      <c r="C198" s="6"/>
      <c r="D198" s="7"/>
    </row>
    <row r="199" spans="2:4">
      <c r="B199" s="14"/>
      <c r="C199" s="6"/>
      <c r="D199" s="7"/>
    </row>
    <row r="200" spans="2:4">
      <c r="B200" s="14"/>
      <c r="C200" s="6"/>
      <c r="D200" s="7"/>
    </row>
    <row r="201" spans="2:4">
      <c r="B201" s="14"/>
      <c r="C201" s="6"/>
      <c r="D201" s="7"/>
    </row>
    <row r="202" spans="2:4">
      <c r="B202" s="14"/>
      <c r="C202" s="6"/>
      <c r="D202" s="7"/>
    </row>
    <row r="203" spans="2:4">
      <c r="B203" s="14"/>
      <c r="C203" s="6"/>
      <c r="D203" s="7"/>
    </row>
    <row r="204" spans="2:4">
      <c r="B204" s="14"/>
      <c r="C204" s="6"/>
      <c r="D204" s="7"/>
    </row>
    <row r="205" spans="2:4">
      <c r="B205" s="14"/>
      <c r="C205" s="6"/>
      <c r="D205" s="7"/>
    </row>
    <row r="206" spans="2:4">
      <c r="B206" s="14"/>
      <c r="C206" s="6"/>
      <c r="D206" s="7"/>
    </row>
    <row r="207" spans="2:4">
      <c r="B207" s="14"/>
      <c r="C207" s="6"/>
      <c r="D207" s="7"/>
    </row>
    <row r="208" spans="2:4">
      <c r="B208" s="14"/>
      <c r="C208" s="6"/>
      <c r="D208" s="7"/>
    </row>
    <row r="209" spans="2:4">
      <c r="B209" s="14"/>
      <c r="C209" s="6"/>
      <c r="D209" s="7"/>
    </row>
    <row r="210" spans="2:4">
      <c r="B210" s="14"/>
      <c r="C210" s="6"/>
      <c r="D210" s="7"/>
    </row>
    <row r="211" spans="2:4">
      <c r="B211" s="14"/>
      <c r="C211" s="6"/>
      <c r="D211" s="7"/>
    </row>
    <row r="212" spans="2:4">
      <c r="B212" s="14"/>
      <c r="C212" s="6"/>
      <c r="D212" s="7"/>
    </row>
    <row r="213" spans="2:4">
      <c r="B213" s="14"/>
      <c r="C213" s="6"/>
      <c r="D213" s="7"/>
    </row>
    <row r="214" spans="2:4">
      <c r="B214" s="14"/>
      <c r="C214" s="6"/>
      <c r="D214" s="7"/>
    </row>
    <row r="215" spans="2:4">
      <c r="B215" s="14"/>
      <c r="C215" s="6"/>
      <c r="D215" s="7"/>
    </row>
    <row r="216" spans="2:4">
      <c r="B216" s="14"/>
      <c r="C216" s="6"/>
      <c r="D216" s="7"/>
    </row>
    <row r="217" spans="2:4">
      <c r="B217" s="14"/>
      <c r="C217" s="6"/>
      <c r="D217" s="7"/>
    </row>
    <row r="218" spans="2:4">
      <c r="B218" s="14"/>
      <c r="C218" s="6"/>
      <c r="D218" s="7"/>
    </row>
    <row r="219" spans="2:4">
      <c r="B219" s="14"/>
      <c r="C219" s="6"/>
      <c r="D219" s="7"/>
    </row>
    <row r="220" spans="2:4">
      <c r="B220" s="14"/>
      <c r="C220" s="6"/>
      <c r="D220" s="7"/>
    </row>
    <row r="221" spans="2:4">
      <c r="B221" s="14"/>
      <c r="C221" s="6"/>
      <c r="D221" s="7"/>
    </row>
    <row r="222" spans="2:4">
      <c r="B222" s="14"/>
      <c r="C222" s="6"/>
      <c r="D222" s="7"/>
    </row>
    <row r="223" spans="2:4">
      <c r="B223" s="14"/>
      <c r="C223" s="6"/>
      <c r="D223" s="7"/>
    </row>
    <row r="224" spans="2:4">
      <c r="B224" s="14"/>
      <c r="C224" s="6"/>
      <c r="D224" s="7"/>
    </row>
    <row r="225" spans="2:4">
      <c r="B225" s="14"/>
      <c r="C225" s="6"/>
      <c r="D225" s="7"/>
    </row>
    <row r="226" spans="2:4">
      <c r="B226" s="14"/>
      <c r="C226" s="6"/>
      <c r="D226" s="7"/>
    </row>
    <row r="227" spans="2:4">
      <c r="B227" s="14"/>
      <c r="C227" s="6"/>
      <c r="D227" s="7"/>
    </row>
    <row r="228" spans="2:4">
      <c r="B228" s="14"/>
      <c r="C228" s="6"/>
      <c r="D228" s="7"/>
    </row>
    <row r="229" spans="2:4">
      <c r="B229" s="14"/>
      <c r="C229" s="6"/>
      <c r="D229" s="7"/>
    </row>
    <row r="230" spans="2:4">
      <c r="B230" s="14"/>
      <c r="C230" s="6"/>
      <c r="D230" s="7"/>
    </row>
    <row r="231" spans="2:4">
      <c r="B231" s="14"/>
      <c r="C231" s="6"/>
      <c r="D231" s="7"/>
    </row>
    <row r="232" spans="2:4">
      <c r="B232" s="14"/>
      <c r="C232" s="6"/>
      <c r="D232" s="7"/>
    </row>
    <row r="233" spans="2:4">
      <c r="B233" s="14"/>
      <c r="C233" s="6"/>
      <c r="D233" s="7"/>
    </row>
    <row r="234" spans="2:4">
      <c r="B234" s="14"/>
      <c r="C234" s="6"/>
      <c r="D234" s="7"/>
    </row>
    <row r="235" spans="2:4">
      <c r="B235" s="14"/>
      <c r="C235" s="6"/>
      <c r="D235" s="7"/>
    </row>
    <row r="236" spans="2:4">
      <c r="B236" s="14"/>
      <c r="C236" s="6"/>
      <c r="D236" s="7"/>
    </row>
    <row r="237" spans="2:4">
      <c r="B237" s="14"/>
      <c r="C237" s="6"/>
      <c r="D237" s="7"/>
    </row>
    <row r="238" spans="2:4">
      <c r="B238" s="14"/>
      <c r="C238" s="6"/>
      <c r="D238" s="7"/>
    </row>
    <row r="239" spans="2:4">
      <c r="B239" s="14"/>
      <c r="C239" s="6"/>
      <c r="D239" s="7"/>
    </row>
    <row r="240" spans="2:4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  <c r="H330" s="1"/>
    </row>
    <row r="331" spans="2:8">
      <c r="B331" s="14"/>
      <c r="C331" s="6"/>
      <c r="D331" s="7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  <c r="H395" s="1"/>
    </row>
    <row r="396" spans="2:8">
      <c r="B396" s="14"/>
      <c r="C396" s="6"/>
      <c r="D396" s="7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  <c r="H461" s="3"/>
      <c r="L461" s="3"/>
      <c r="M461" s="3"/>
      <c r="N461" s="3"/>
      <c r="O461" s="3"/>
      <c r="Q461" s="3"/>
    </row>
    <row r="462" spans="2:17">
      <c r="B462" s="14"/>
      <c r="C462" s="6"/>
      <c r="D462" s="7"/>
      <c r="H462" s="3"/>
      <c r="L462" s="3"/>
      <c r="M462" s="3"/>
      <c r="N462" s="3"/>
      <c r="O462" s="3"/>
      <c r="Q462" s="3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</sheetData>
  <sortState xmlns:xlrd2="http://schemas.microsoft.com/office/spreadsheetml/2017/richdata2" ref="A2:J80">
    <sortCondition descending="1" ref="D2:D80"/>
  </sortState>
  <conditionalFormatting sqref="A5705 A5772 A5776 A6493:A6496">
    <cfRule type="containsText" dxfId="0" priority="1" operator="containsText" text="TO BE PAID">
      <formula>NOT(ISERROR(SEARCH("TO BE PAID",A5705)))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80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31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46101</v>
      </c>
      <c r="G2" s="1">
        <f>SUMIF('Payment Summary'!D:D,'Future Summary'!F2,'Payment Summary'!C:C)</f>
        <v>1445.6399999999999</v>
      </c>
      <c r="H2" s="1">
        <f>VLOOKUP(F2,PAYMENTS!A:C,3,FALSE)</f>
        <v>1445.64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46097</v>
      </c>
      <c r="G3" s="1">
        <f>SUMIF('Payment Summary'!D:D,'Future Summary'!F3,'Payment Summary'!C:C)</f>
        <v>28330.190000000002</v>
      </c>
      <c r="H3" s="1">
        <f>VLOOKUP(F3,PAYMENTS!A:C,3,FALSE)</f>
        <v>25309.69</v>
      </c>
      <c r="I3" t="str">
        <f t="shared" si="1"/>
        <v>Not 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46077</v>
      </c>
      <c r="G4" s="1">
        <f>SUMIF('Payment Summary'!D:D,'Future Summary'!F4,'Payment Summary'!C:C)</f>
        <v>6498.1</v>
      </c>
      <c r="H4" s="1">
        <f>VLOOKUP(F4,PAYMENTS!A:C,3,FALSE)</f>
        <v>6498.1</v>
      </c>
      <c r="I4" t="str">
        <f t="shared" si="1"/>
        <v>Equal</v>
      </c>
      <c r="P4" s="9" t="s">
        <v>241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46070</v>
      </c>
      <c r="G5" s="1">
        <f>SUMIF('Payment Summary'!D:D,'Future Summary'!F5,'Payment Summary'!C:C)</f>
        <v>42467.62</v>
      </c>
      <c r="H5" s="1">
        <f>VLOOKUP(F5,PAYMENTS!A:C,3,FALSE)</f>
        <v>39447.120000000003</v>
      </c>
      <c r="I5" t="str">
        <f t="shared" si="1"/>
        <v>Not Equal</v>
      </c>
      <c r="P5" s="9" t="s">
        <v>241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46044</v>
      </c>
      <c r="G6" s="1">
        <f>SUMIF('Payment Summary'!D:D,'Future Summary'!F6,'Payment Summary'!C:C)</f>
        <v>1994.93</v>
      </c>
      <c r="H6" s="1">
        <f>VLOOKUP(F6,PAYMENTS!A:C,3,FALSE)</f>
        <v>1994.93</v>
      </c>
      <c r="I6" t="str">
        <f t="shared" si="1"/>
        <v>Equal</v>
      </c>
      <c r="P6" s="9" t="s">
        <v>241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46038</v>
      </c>
      <c r="G7" s="1">
        <f>SUMIF('Payment Summary'!D:D,'Future Summary'!F7,'Payment Summary'!C:C)</f>
        <v>28334.28</v>
      </c>
      <c r="H7" s="1">
        <f>VLOOKUP(F7,PAYMENTS!A:C,3,FALSE)</f>
        <v>25313.78</v>
      </c>
      <c r="I7" t="str">
        <f t="shared" si="1"/>
        <v>Not Equal</v>
      </c>
      <c r="P7" s="9" t="s">
        <v>241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46024</v>
      </c>
      <c r="G8" s="1">
        <f>SUMIF('Payment Summary'!D:D,'Future Summary'!F8,'Payment Summary'!C:C)</f>
        <v>15888.3</v>
      </c>
      <c r="H8" s="1">
        <f>VLOOKUP(F8,PAYMENTS!A:C,3,FALSE)</f>
        <v>4686.43</v>
      </c>
      <c r="I8" t="str">
        <f t="shared" si="1"/>
        <v>Not Equal</v>
      </c>
      <c r="P8" s="9" t="s">
        <v>241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46021</v>
      </c>
      <c r="G9" s="1">
        <f>SUMIF('Payment Summary'!D:D,'Future Summary'!F9,'Payment Summary'!C:C)</f>
        <v>3237.51</v>
      </c>
      <c r="H9" s="1">
        <f>VLOOKUP(F9,PAYMENTS!A:C,3,FALSE)</f>
        <v>0</v>
      </c>
      <c r="I9" t="str">
        <f t="shared" si="1"/>
        <v>Not 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46006</v>
      </c>
      <c r="G10" s="1">
        <f>SUMIF('Payment Summary'!D:D,'Future Summary'!F10,'Payment Summary'!C:C)</f>
        <v>19018.2</v>
      </c>
      <c r="H10" s="1">
        <f>VLOOKUP(F10,PAYMENTS!A:C,3,FALSE)</f>
        <v>15997.7</v>
      </c>
      <c r="I10" t="str">
        <f t="shared" si="1"/>
        <v>Not 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45945</v>
      </c>
      <c r="G11" s="1">
        <f>SUMIF('Payment Summary'!D:D,'Future Summary'!F11,'Payment Summary'!C:C)</f>
        <v>9902.1200000000008</v>
      </c>
      <c r="H11" s="1">
        <f>VLOOKUP(F11,PAYMENTS!A:C,3,FALSE)</f>
        <v>9902.1200000000008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45916</v>
      </c>
      <c r="G12" s="1">
        <f>SUMIF('Payment Summary'!D:D,'Future Summary'!F12,'Payment Summary'!C:C)</f>
        <v>13012.47</v>
      </c>
      <c r="H12" s="1">
        <f>VLOOKUP(F12,PAYMENTS!A:C,3,FALSE)</f>
        <v>13012.47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45884</v>
      </c>
      <c r="G13" s="1">
        <f>SUMIF('Payment Summary'!D:D,'Future Summary'!F13,'Payment Summary'!C:C)</f>
        <v>13012.47</v>
      </c>
      <c r="H13" s="1">
        <f>VLOOKUP(F13,PAYMENTS!A:C,3,FALSE)</f>
        <v>13012.47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45853</v>
      </c>
      <c r="G14" s="1">
        <f>SUMIF('Payment Summary'!D:D,'Future Summary'!F14,'Payment Summary'!C:C)</f>
        <v>15904.130000000001</v>
      </c>
      <c r="H14" s="1">
        <f>VLOOKUP(F14,PAYMENTS!A:C,3,FALSE)</f>
        <v>15904.13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45825</v>
      </c>
      <c r="G15" s="1">
        <f>SUMIF('Payment Summary'!D:D,'Future Summary'!F15,'Payment Summary'!C:C)</f>
        <v>3987.34</v>
      </c>
      <c r="H15" s="1">
        <f>VLOOKUP(F15,PAYMENTS!A:C,3,FALSE)</f>
        <v>3987.34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45824</v>
      </c>
      <c r="G16" s="1">
        <f>SUMIF('Payment Summary'!D:D,'Future Summary'!F16,'Payment Summary'!C:C)</f>
        <v>19284.21</v>
      </c>
      <c r="H16" s="1">
        <f>VLOOKUP(F16,PAYMENTS!A:C,3,FALSE)</f>
        <v>19284.21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45804</v>
      </c>
      <c r="G17" s="1">
        <f>SUMIF('Payment Summary'!D:D,'Future Summary'!F17,'Payment Summary'!C:C)</f>
        <v>10597.65</v>
      </c>
      <c r="H17" s="1">
        <f>VLOOKUP(F17,PAYMENTS!A:C,3,FALSE)</f>
        <v>2933.82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45792</v>
      </c>
      <c r="G18" s="1"/>
      <c r="H18" s="1"/>
    </row>
    <row r="19" spans="2:9" ht="12.75" customHeight="1">
      <c r="B19" s="1" t="e">
        <f>SUMIF(#REF!,#REF!,#REF!)</f>
        <v>#REF!</v>
      </c>
      <c r="F19" s="3">
        <v>45762</v>
      </c>
      <c r="G19" s="1"/>
      <c r="H19" s="1"/>
    </row>
    <row r="20" spans="2:9" ht="12.75" customHeight="1">
      <c r="B20" s="1" t="e">
        <f>SUMIF(#REF!,#REF!,#REF!)</f>
        <v>#REF!</v>
      </c>
      <c r="F20" s="3">
        <v>45733</v>
      </c>
      <c r="G20" s="1"/>
      <c r="H20" s="1"/>
    </row>
    <row r="21" spans="2:9" ht="12.75" customHeight="1">
      <c r="B21" s="1" t="e">
        <f>SUMIF(#REF!,#REF!,#REF!)</f>
        <v>#REF!</v>
      </c>
      <c r="F21" s="3">
        <v>45706</v>
      </c>
      <c r="G21" s="1"/>
      <c r="H21" s="1"/>
    </row>
    <row r="22" spans="2:9" ht="12.75" customHeight="1">
      <c r="B22" s="1" t="e">
        <f>SUMIF(#REF!,#REF!,#REF!)</f>
        <v>#REF!</v>
      </c>
      <c r="F22" s="3">
        <v>45701</v>
      </c>
      <c r="G22" s="1"/>
      <c r="H22" s="1"/>
    </row>
    <row r="23" spans="2:9" ht="12.75" customHeight="1">
      <c r="B23" s="1" t="e">
        <f>SUMIF(#REF!,#REF!,#REF!)</f>
        <v>#REF!</v>
      </c>
      <c r="F23" s="3">
        <v>45687</v>
      </c>
      <c r="G23" s="1"/>
      <c r="H23" s="1"/>
    </row>
    <row r="24" spans="2:9" ht="12.75" customHeight="1">
      <c r="B24" s="1" t="e">
        <f>SUMIF(#REF!,#REF!,#REF!)</f>
        <v>#REF!</v>
      </c>
      <c r="F24" s="3">
        <v>45672</v>
      </c>
      <c r="G24" s="1"/>
      <c r="H24" s="1"/>
    </row>
    <row r="25" spans="2:9" ht="12.75" customHeight="1">
      <c r="B25" s="1" t="e">
        <f>SUMIF(#REF!,#REF!,#REF!)</f>
        <v>#REF!</v>
      </c>
      <c r="F25" s="3">
        <v>45663</v>
      </c>
      <c r="G25" s="1"/>
      <c r="H25" s="1"/>
    </row>
    <row r="26" spans="2:9" ht="12.75" customHeight="1">
      <c r="B26" s="1" t="e">
        <f>SUMIF(#REF!,#REF!,#REF!)</f>
        <v>#REF!</v>
      </c>
      <c r="F26" s="3">
        <v>45645</v>
      </c>
      <c r="G26" s="1"/>
      <c r="H26" s="1"/>
    </row>
    <row r="27" spans="2:9" ht="12.75" customHeight="1">
      <c r="B27" s="1" t="e">
        <f>SUMIF(#REF!,#REF!,#REF!)</f>
        <v>#REF!</v>
      </c>
      <c r="F27" s="3">
        <v>45642</v>
      </c>
      <c r="G27" s="1"/>
      <c r="H27" s="1"/>
    </row>
    <row r="28" spans="2:9" ht="12.75" customHeight="1">
      <c r="B28" s="1" t="e">
        <f>SUMIF(#REF!,#REF!,#REF!)</f>
        <v>#REF!</v>
      </c>
      <c r="F28" s="3">
        <v>45628</v>
      </c>
      <c r="G28" s="1"/>
      <c r="H28" s="1"/>
    </row>
    <row r="29" spans="2:9" ht="12.75" customHeight="1">
      <c r="B29" s="1" t="e">
        <f>SUMIF(#REF!,#REF!,#REF!)</f>
        <v>#REF!</v>
      </c>
      <c r="F29" s="3">
        <v>45611</v>
      </c>
      <c r="G29" s="1"/>
      <c r="H29" s="1"/>
    </row>
    <row r="30" spans="2:9" ht="12.75" customHeight="1">
      <c r="B30" s="1" t="e">
        <f>SUMIF(#REF!,#REF!,#REF!)</f>
        <v>#REF!</v>
      </c>
      <c r="F30" s="3">
        <v>45580</v>
      </c>
      <c r="G30" s="1"/>
      <c r="H30" s="1"/>
    </row>
    <row r="31" spans="2:9" ht="12.75" customHeight="1">
      <c r="B31" s="1" t="e">
        <f>SUMIF(#REF!,#REF!,#REF!)</f>
        <v>#REF!</v>
      </c>
      <c r="F31" s="3">
        <v>0</v>
      </c>
      <c r="G31" s="1"/>
      <c r="H31" s="1"/>
    </row>
    <row r="32" spans="2:9" ht="12.75" customHeight="1">
      <c r="B32" s="1" t="e">
        <f>SUMIF(#REF!,#REF!,#REF!)</f>
        <v>#REF!</v>
      </c>
      <c r="G32" s="1"/>
      <c r="H32" s="1"/>
    </row>
    <row r="33" spans="2:8" ht="12.75" customHeight="1">
      <c r="B33" s="1" t="e">
        <f>SUMIF(#REF!,#REF!,#REF!)</f>
        <v>#REF!</v>
      </c>
      <c r="G33" s="1"/>
      <c r="H33" s="1"/>
    </row>
    <row r="34" spans="2:8" ht="12.75" customHeight="1">
      <c r="B34" s="1" t="e">
        <f>SUMIF(#REF!,#REF!,#REF!)</f>
        <v>#REF!</v>
      </c>
      <c r="G34" s="1"/>
      <c r="H34" s="1"/>
    </row>
    <row r="35" spans="2:8" ht="12.75" customHeight="1">
      <c r="B35" s="1" t="e">
        <f>SUMIF(#REF!,#REF!,#REF!)</f>
        <v>#REF!</v>
      </c>
      <c r="G35" s="1"/>
      <c r="H35" s="1"/>
    </row>
    <row r="36" spans="2:8" ht="12.75" customHeight="1">
      <c r="B36" s="1" t="e">
        <f>SUMIF(#REF!,#REF!,#REF!)</f>
        <v>#REF!</v>
      </c>
      <c r="G36" s="1"/>
      <c r="H36" s="1"/>
    </row>
    <row r="37" spans="2:8" ht="12.75" customHeight="1">
      <c r="B37" s="1" t="e">
        <f>SUMIF(#REF!,#REF!,#REF!)</f>
        <v>#REF!</v>
      </c>
      <c r="G37" s="1"/>
      <c r="H37" s="1"/>
    </row>
    <row r="38" spans="2:8" ht="12.75" customHeight="1">
      <c r="B38" s="1" t="e">
        <f>SUMIF(#REF!,#REF!,#REF!)</f>
        <v>#REF!</v>
      </c>
      <c r="G38" s="1"/>
      <c r="H38" s="1"/>
    </row>
    <row r="39" spans="2:8" ht="12.75" customHeight="1">
      <c r="B39" s="1" t="e">
        <f>SUMIF(#REF!,#REF!,#REF!)</f>
        <v>#REF!</v>
      </c>
      <c r="G39" s="1"/>
      <c r="H39" s="1"/>
    </row>
    <row r="40" spans="2:8" ht="12.75" customHeight="1">
      <c r="B40" s="1" t="e">
        <f>SUMIF(#REF!,#REF!,#REF!)</f>
        <v>#REF!</v>
      </c>
      <c r="G40" s="1"/>
      <c r="H40" s="1"/>
    </row>
    <row r="41" spans="2:8" ht="12.75" customHeight="1">
      <c r="B41" s="1" t="e">
        <f>SUMIF(#REF!,#REF!,#REF!)</f>
        <v>#REF!</v>
      </c>
      <c r="G41" s="1"/>
      <c r="H41" s="1"/>
    </row>
    <row r="42" spans="2:8" ht="12.75" customHeight="1">
      <c r="B42" s="1" t="e">
        <f>SUMIF(#REF!,#REF!,#REF!)</f>
        <v>#REF!</v>
      </c>
      <c r="G42" s="1"/>
      <c r="H42" s="1"/>
    </row>
    <row r="43" spans="2:8" ht="12.75" customHeight="1">
      <c r="G43" s="1"/>
      <c r="H43" s="1"/>
    </row>
    <row r="44" spans="2:8" ht="12.75" customHeight="1">
      <c r="G44" s="1"/>
      <c r="H44" s="1"/>
    </row>
    <row r="45" spans="2:8" ht="12.75" customHeight="1">
      <c r="G45" s="1"/>
      <c r="H45" s="1"/>
    </row>
    <row r="46" spans="2:8" ht="12.75" customHeight="1">
      <c r="G46" s="1"/>
      <c r="H46" s="1"/>
    </row>
    <row r="47" spans="2:8" ht="12.75" customHeight="1">
      <c r="G47" s="1"/>
      <c r="H47" s="1"/>
    </row>
    <row r="48" spans="2:8" ht="12.75" customHeight="1">
      <c r="G48" s="1"/>
      <c r="H48" s="1"/>
    </row>
    <row r="49" spans="7:8" ht="12.75" customHeight="1">
      <c r="G49" s="1"/>
      <c r="H49" s="1"/>
    </row>
    <row r="50" spans="7:8" ht="12.75" customHeight="1">
      <c r="G50" s="1"/>
      <c r="H50" s="1"/>
    </row>
    <row r="51" spans="7:8" ht="12.75" customHeight="1">
      <c r="G51" s="1"/>
      <c r="H51" s="1"/>
    </row>
    <row r="52" spans="7:8" ht="12.75" customHeight="1">
      <c r="G52" s="1"/>
      <c r="H52" s="1"/>
    </row>
    <row r="53" spans="7:8" ht="12.75" customHeight="1">
      <c r="G53" s="1"/>
      <c r="H53" s="1"/>
    </row>
    <row r="54" spans="7:8" ht="12.75" customHeight="1">
      <c r="G54" s="1"/>
      <c r="H54" s="1"/>
    </row>
    <row r="55" spans="7:8" ht="12.75" customHeight="1">
      <c r="G55" s="1"/>
      <c r="H55" s="1"/>
    </row>
    <row r="56" spans="7:8" ht="12.75" customHeight="1">
      <c r="G56" s="1"/>
      <c r="H56" s="1"/>
    </row>
    <row r="57" spans="7:8" ht="12.75" customHeight="1">
      <c r="G57" s="1"/>
      <c r="H57" s="1"/>
    </row>
    <row r="58" spans="7:8" ht="12.75" customHeight="1">
      <c r="G58" s="1"/>
      <c r="H58" s="1"/>
    </row>
    <row r="59" spans="7:8" ht="12.75" customHeight="1">
      <c r="G59" s="1"/>
      <c r="H59" s="1"/>
    </row>
    <row r="60" spans="7:8" ht="12.75" customHeight="1">
      <c r="G60" s="1"/>
      <c r="H60" s="1"/>
    </row>
    <row r="61" spans="7:8" ht="12.75" customHeight="1">
      <c r="G61" s="1"/>
      <c r="H61" s="1"/>
    </row>
    <row r="62" spans="7:8" ht="12.75" customHeight="1">
      <c r="G62" s="1"/>
      <c r="H62" s="1"/>
    </row>
    <row r="63" spans="7:8" ht="12.75" customHeight="1">
      <c r="G63" s="1"/>
    </row>
    <row r="64" spans="7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143</v>
      </c>
      <c r="C1" s="50" t="s">
        <v>242</v>
      </c>
      <c r="D1" s="51" t="s">
        <v>243</v>
      </c>
      <c r="E1" s="52" t="s">
        <v>244</v>
      </c>
      <c r="F1" s="5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H18" sqref="H18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245</v>
      </c>
      <c r="B1" s="55" t="s">
        <v>246</v>
      </c>
      <c r="C1" s="56" t="s">
        <v>247</v>
      </c>
      <c r="D1" s="55" t="s">
        <v>248</v>
      </c>
      <c r="E1" s="56" t="s">
        <v>141</v>
      </c>
      <c r="F1" s="57" t="s">
        <v>249</v>
      </c>
      <c r="G1" s="62" t="s">
        <v>250</v>
      </c>
      <c r="H1" s="62" t="s">
        <v>251</v>
      </c>
      <c r="I1" s="62" t="s">
        <v>252</v>
      </c>
      <c r="K1" s="62" t="s">
        <v>253</v>
      </c>
      <c r="L1" t="s">
        <v>254</v>
      </c>
    </row>
    <row r="2" spans="1:12" ht="15">
      <c r="A2" s="61">
        <v>2024</v>
      </c>
      <c r="B2" s="58">
        <v>8.7698999999999998</v>
      </c>
      <c r="C2" s="59">
        <v>33494.01</v>
      </c>
      <c r="D2" s="60">
        <f>B2*C2</f>
        <v>293739.11829900002</v>
      </c>
      <c r="E2" s="59">
        <v>291522.68</v>
      </c>
      <c r="F2" s="59">
        <f>D2-E2</f>
        <v>2216.4382990000304</v>
      </c>
    </row>
    <row r="3" spans="1:12" ht="15">
      <c r="A3" s="61">
        <v>2025</v>
      </c>
      <c r="B3" s="58">
        <v>10.9481</v>
      </c>
      <c r="C3" s="59">
        <v>34465.339999999997</v>
      </c>
      <c r="D3" s="60">
        <f t="shared" ref="D3:D4" si="0">B3*C3</f>
        <v>377329.988854</v>
      </c>
      <c r="E3" s="59">
        <v>256572.37</v>
      </c>
      <c r="F3" s="59">
        <f t="shared" ref="F3:F4" si="1">D3-E3</f>
        <v>120757.618854</v>
      </c>
    </row>
    <row r="4" spans="1:12" ht="15">
      <c r="A4" s="61">
        <v>2026</v>
      </c>
      <c r="B4" s="58">
        <v>10.696099999999999</v>
      </c>
      <c r="C4" s="59">
        <v>35361.440000000002</v>
      </c>
      <c r="D4" s="60">
        <f t="shared" si="0"/>
        <v>378229.49838400004</v>
      </c>
      <c r="E4" s="59">
        <v>147214.76999999999</v>
      </c>
      <c r="F4" s="59">
        <f t="shared" si="1"/>
        <v>231014.72838400005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2026-03-28T17:41:16Z</dcterms:modified>
</cp:coreProperties>
</file>