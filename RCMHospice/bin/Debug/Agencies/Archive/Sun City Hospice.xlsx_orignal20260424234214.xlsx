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worksheet+xml" PartName="/xl/worksheets/sheet1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1DAB9C5A-4EB6-4413-8A7A-DA8B5792E2BC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12"/>
  </sheets>
  <definedNames>
    <definedName name="Z_A0CAE20E_9122_4930_BCDD_9DF555004942_.wvu.FilterData" localSheetId="0" hidden="1">Claims!$A$1:$T$351</definedName>
    <definedName name="Z_A0CAE20E_9122_4930_BCDD_9DF555004942_.wvu.FilterData" localSheetId="7">'Claims FY26'!$A$1:$T$351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<sst xmlns="http://schemas.openxmlformats.org/spreadsheetml/2006/main" count="450" uniqueCount="450">
  <si>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</si>
  <si>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</si>
  <si>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</si>
  <si>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</si>
  <si>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</si>
  <si>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</si>
  <si>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</si>
  <si>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</si>
  <si>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</si>
  <si>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</si>
  <si>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</si>
  <si>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</si>
  <si>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</si>
  <si>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</si>
  <si>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</si>
  <si>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</si>
  <si>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</si>
  <si>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</si>
  <si>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</si>
  <si>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</si>
  <si>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</si>
  <si>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</si>
  <si>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</si>
  <si>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</si>
  <si>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</si>
  <si>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</si>
  <si>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</si>
  <si>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</si>
  <si>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</si>
  <si>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</si>
  <si>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</si>
  <si>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</si>
  <si>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</si>
  <si>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</si>
  <si>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</si>
  <si>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</si>
  <si>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</si>
  <si>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</si>
  <si>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</si>
  <si>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</si>
  <si>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</si>
  <si>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</si>
  <si>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</si>
  <si>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</si>
  <si>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</si>
  <si>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</si>
  <si>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</si>
  <si>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</si>
  <si>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</si>
  <si>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</si>
  <si>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</si>
  <si>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</si>
  <si>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</si>
  <si>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</si>
  <si>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</si>
  <si>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</si>
  <si>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</si>
  <si>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</si>
  <si>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</si>
  <si>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</si>
  <si>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</si>
  <si>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</si>
  <si>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</si>
  <si>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</si>
  <si>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</si>
  <si>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</si>
  <si>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</si>
  <si>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</si>
  <si>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</si>
  <si>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</si>
  <si>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</si>
  <si>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</si>
  <si>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</si>
  <si>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</si>
  <si>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</si>
  <si>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</si>
  <si>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</si>
  <si>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</si>
  <si>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</si>
  <si>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</si>
  <si>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</si>
  <si>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</si>
  <si>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</si>
  <si>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</si>
  <si>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</si>
  <si>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</si>
  <si>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</si>
  <si>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</si>
  <si>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</si>
  <si>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</si>
  <si>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</si>
  <si>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</si>
  <si>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</si>
  <si>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</si>
  <si>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</si>
  <si>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</si>
  <si>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</si>
  <si>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</si>
  <si>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</si>
  <si>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</si>
  <si>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</si>
  <si>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</si>
  <si>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</si>
  <si>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</si>
  <si>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</si>
  <si>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</si>
  <si>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</si>
  <si>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</si>
  <si>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</si>
  <si>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</si>
  <si>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</si>
  <si>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</si>
  <si>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</si>
  <si>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</si>
  <si>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</si>
  <si>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</si>
  <si>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</si>
  <si>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</si>
  <si>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</si>
  <si>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</si>
  <si>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</si>
  <si>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</si>
  <si>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</si>
  <si>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</si>
  <si>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</si>
  <si>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</si>
  <si>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</si>
  <si>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</si>
  <si>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</si>
  <si>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</si>
  <si>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</si>
  <si>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</si>
  <si>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</si>
  <si>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</si>
  <si>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</si>
  <si>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</si>
  <si>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</si>
  <si>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</si>
  <si>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</si>
  <si>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Total</t>
  </si>
  <si>
    <t/>
  </si>
  <si>
    <t>Invoice Amount</t>
  </si>
  <si>
    <t>Projected</t>
  </si>
  <si>
    <t>Start Date</t>
  </si>
  <si>
    <t>Reimb</t>
  </si>
  <si>
    <t>Paid Date</t>
  </si>
  <si>
    <t>Notes</t>
  </si>
  <si>
    <t>Heiser, Leslie</t>
  </si>
  <si>
    <t>3/31/2026</t>
  </si>
  <si>
    <t>2H27A01VX39</t>
  </si>
  <si>
    <t>Habashi, Fariborz</t>
  </si>
  <si>
    <t>3/1/2026</t>
  </si>
  <si>
    <t>3H87Y48XT31</t>
  </si>
  <si>
    <t>Garcia, Eugenia</t>
  </si>
  <si>
    <t>3/10/2026</t>
  </si>
  <si>
    <t>8GP5WF5PC71</t>
  </si>
  <si>
    <t>Bowers, Nora</t>
  </si>
  <si>
    <t>8CV6J99AA84</t>
  </si>
  <si>
    <t>Hylander, Waldemar</t>
  </si>
  <si>
    <t>1H84FG4KU01</t>
  </si>
  <si>
    <t>Kirker, Petra</t>
  </si>
  <si>
    <t>3/27/2026</t>
  </si>
  <si>
    <t>5NK9QX2YN37</t>
  </si>
  <si>
    <t>White, Judy</t>
  </si>
  <si>
    <t>3/18/2026</t>
  </si>
  <si>
    <t>4NE3QA2FV90</t>
  </si>
  <si>
    <t>Hawkins, Sammie</t>
  </si>
  <si>
    <t>3/13/2026</t>
  </si>
  <si>
    <t>3YJ5HA6PX93</t>
  </si>
  <si>
    <t>Alden, Elena</t>
  </si>
  <si>
    <t>3/20/2026</t>
  </si>
  <si>
    <t>1QV4TH9KF79</t>
  </si>
  <si>
    <t>Scott, Lisa</t>
  </si>
  <si>
    <t>6GR5FR9NY81</t>
  </si>
  <si>
    <t>Porter, Penny</t>
  </si>
  <si>
    <t>3/12/2026</t>
  </si>
  <si>
    <t>4TU2GG9PP25</t>
  </si>
  <si>
    <t>Libersat, Rodney</t>
  </si>
  <si>
    <t>8R88XK4UN27</t>
  </si>
  <si>
    <t>Myers, Ruthann</t>
  </si>
  <si>
    <t>7T38HU9JV40</t>
  </si>
  <si>
    <t>Rodrigues, Victoria</t>
  </si>
  <si>
    <t>6H37W44PC33</t>
  </si>
  <si>
    <t>Miteff, Horacio</t>
  </si>
  <si>
    <t>3/21/2026</t>
  </si>
  <si>
    <t>1NU4E10HP74</t>
  </si>
  <si>
    <t>Minter, Constance</t>
  </si>
  <si>
    <t>3/19/2026</t>
  </si>
  <si>
    <t>5YJ7K56EY35</t>
  </si>
  <si>
    <t>Friend, Fanny</t>
  </si>
  <si>
    <t>5DM3GG8VT82</t>
  </si>
  <si>
    <t>Accardo, Rita</t>
  </si>
  <si>
    <t>6MJ1MY6JX04</t>
  </si>
  <si>
    <t>Wenstrom, Adele</t>
  </si>
  <si>
    <t>3EP0HK3PA49</t>
  </si>
  <si>
    <t>Sciortino, Patricia</t>
  </si>
  <si>
    <t>4UX6E67PN67</t>
  </si>
  <si>
    <t>Tarango, Clara</t>
  </si>
  <si>
    <t>4C71DX1JD80</t>
  </si>
  <si>
    <t>Shelmire, Linnette</t>
  </si>
  <si>
    <t>7QM1KT2RJ25</t>
  </si>
  <si>
    <t>Redfern, Shirley</t>
  </si>
  <si>
    <t>8G13VH2FT14</t>
  </si>
  <si>
    <t>Smith, Clyde</t>
  </si>
  <si>
    <t>5AU9VN2YK32</t>
  </si>
  <si>
    <t>Persley, Edward</t>
  </si>
  <si>
    <t>4ME8WX6RJ29</t>
  </si>
  <si>
    <t>Milillo, Dominic</t>
  </si>
  <si>
    <t>8C91H29KG93</t>
  </si>
  <si>
    <t>Anobile Seess, Louise</t>
  </si>
  <si>
    <t>9PV1MG9DT00</t>
  </si>
  <si>
    <t>Neitzke, Adrienne</t>
  </si>
  <si>
    <t>5WK9RX6FG42</t>
  </si>
  <si>
    <t>Sadri, Jamshid</t>
  </si>
  <si>
    <t>6KM4XJ8XJ84</t>
  </si>
  <si>
    <t>Porrazzo, James</t>
  </si>
  <si>
    <t>6QJ7NX3KR49</t>
  </si>
  <si>
    <t>Houts, Charles</t>
  </si>
  <si>
    <t>9QT2K43QN83</t>
  </si>
  <si>
    <t>Miles, Becky</t>
  </si>
  <si>
    <t>1NF0MX6JQ25</t>
  </si>
  <si>
    <t>Birkenmaier, Juliana</t>
  </si>
  <si>
    <t>2AX0UJ6XF11</t>
  </si>
  <si>
    <t>Beckett, Elizabeth</t>
  </si>
  <si>
    <t>5HY2CN7QH14</t>
  </si>
  <si>
    <t>Scott, Addie</t>
  </si>
  <si>
    <t>3JP0AP5YD32</t>
  </si>
  <si>
    <t>Powers, Marylouise</t>
  </si>
  <si>
    <t>3HD1C20UV97</t>
  </si>
  <si>
    <t>Gaydosh, Ronald</t>
  </si>
  <si>
    <t>3/6/2026</t>
  </si>
  <si>
    <t>1PM6TM9RA50</t>
  </si>
  <si>
    <t>Weisser, Stephen</t>
  </si>
  <si>
    <t>9NK6XW2NP68</t>
  </si>
  <si>
    <t>Johnson, Raymond</t>
  </si>
  <si>
    <t>3/2/2026</t>
  </si>
  <si>
    <t>5PG2D38RY03</t>
  </si>
  <si>
    <t>Frederick, Frances</t>
  </si>
  <si>
    <t>2YX4X55TX75</t>
  </si>
  <si>
    <t>Schmitt, Betty</t>
  </si>
  <si>
    <t>7W68U36XP46</t>
  </si>
  <si>
    <t>Barone, Thomas</t>
  </si>
  <si>
    <t>4AK3PX3NJ94</t>
  </si>
  <si>
    <t>Martinez, Maria</t>
  </si>
  <si>
    <t>5GG6ME2CJ41</t>
  </si>
  <si>
    <t>Krejcik, Peter</t>
  </si>
  <si>
    <t>4VJ0F33GJ13</t>
  </si>
  <si>
    <t>Creighton, Thomas</t>
  </si>
  <si>
    <t>3FA2FT9JW06</t>
  </si>
  <si>
    <t>Rothenhoefer, Walter</t>
  </si>
  <si>
    <t>5YP6EF4TW76</t>
  </si>
  <si>
    <t>Ybanez, Antonio</t>
  </si>
  <si>
    <t>7KM9H00JN30</t>
  </si>
  <si>
    <t>Snook, Donald</t>
  </si>
  <si>
    <t>3/4/2026</t>
  </si>
  <si>
    <t>4HF6D58MM82</t>
  </si>
  <si>
    <t>Syfu, Olga</t>
  </si>
  <si>
    <t>3/5/2026</t>
  </si>
  <si>
    <t>9EW2E30VW83</t>
  </si>
  <si>
    <t>2/17/2026</t>
  </si>
  <si>
    <t>Adjustment</t>
  </si>
  <si>
    <t>Vance, Jackie</t>
  </si>
  <si>
    <t>2/1/2026</t>
  </si>
  <si>
    <t>8VY2M93NA98</t>
  </si>
  <si>
    <t>2/27/2026</t>
  </si>
  <si>
    <t>Sokolowski, Gail</t>
  </si>
  <si>
    <t>3A96D95TY77</t>
  </si>
  <si>
    <t>2/20/2026</t>
  </si>
  <si>
    <t>2/25/2026</t>
  </si>
  <si>
    <t>2/14/2026</t>
  </si>
  <si>
    <t>2/18/2026</t>
  </si>
  <si>
    <t>2/19/2026</t>
  </si>
  <si>
    <t>2/11/2026</t>
  </si>
  <si>
    <t>Penachio, Cynthia</t>
  </si>
  <si>
    <t>8GV0MU7WR08</t>
  </si>
  <si>
    <t>Corbett, Michael</t>
  </si>
  <si>
    <t>9M74WC8WM74</t>
  </si>
  <si>
    <t>2/21/2026</t>
  </si>
  <si>
    <t>1/20/2026</t>
  </si>
  <si>
    <t>1/30/2026</t>
  </si>
  <si>
    <t>1/1/2026</t>
  </si>
  <si>
    <t>Phan, Man</t>
  </si>
  <si>
    <t>3DF4R93AR96</t>
  </si>
  <si>
    <t>1/24/2026</t>
  </si>
  <si>
    <t>Johnson, Samuel</t>
  </si>
  <si>
    <t>4MN7V43QA79</t>
  </si>
  <si>
    <t>12/29/2025</t>
  </si>
  <si>
    <t>12/1/2025</t>
  </si>
  <si>
    <t>Bode, Daniel</t>
  </si>
  <si>
    <t>8VF7GC5GU20</t>
  </si>
  <si>
    <t>11/1/2025</t>
  </si>
  <si>
    <t>Regino, Adelina</t>
  </si>
  <si>
    <t>11/26/2025</t>
  </si>
  <si>
    <t>5RV2KJ5XW11</t>
  </si>
  <si>
    <t>11/24/2025</t>
  </si>
  <si>
    <t>11/6/2025</t>
  </si>
  <si>
    <t>Christman, Suzanne</t>
  </si>
  <si>
    <t>5R53QM4VG79</t>
  </si>
  <si>
    <t>Alex, Barbara</t>
  </si>
  <si>
    <t>8KC4M11JT03</t>
  </si>
  <si>
    <t>10/30/2025</t>
  </si>
  <si>
    <t>10/7/2025</t>
  </si>
  <si>
    <t>10/1/2025</t>
  </si>
  <si>
    <t>10/9/2025</t>
  </si>
  <si>
    <t>Church, Linda</t>
  </si>
  <si>
    <t>4FC2D75QR12</t>
  </si>
  <si>
    <t>Wolfe, Barbara</t>
  </si>
  <si>
    <t>10/2/2025</t>
  </si>
  <si>
    <t>1XC1QY2XX98</t>
  </si>
  <si>
    <t>Castenetto, Raul</t>
  </si>
  <si>
    <t>6QF1AV0HT17</t>
  </si>
  <si>
    <t>9/29/2025</t>
  </si>
  <si>
    <t>9/1/2025</t>
  </si>
  <si>
    <t>Bille, Cheryl</t>
  </si>
  <si>
    <t>5DC6QG0FP71</t>
  </si>
  <si>
    <t>Boike, James</t>
  </si>
  <si>
    <t>9E98C11KK26</t>
  </si>
  <si>
    <t>9/11/2025</t>
  </si>
  <si>
    <t>9/8/2025</t>
  </si>
  <si>
    <t>9/4/2025</t>
  </si>
  <si>
    <t>Umberger, Janice</t>
  </si>
  <si>
    <t>2FK7JC4RP30</t>
  </si>
  <si>
    <t>8/25/2025</t>
  </si>
  <si>
    <t>8/1/2025</t>
  </si>
  <si>
    <t>8/12/2025</t>
  </si>
  <si>
    <t>8/28/2025</t>
  </si>
  <si>
    <t>Genthe, Patricia</t>
  </si>
  <si>
    <t>3P52RH5DF70</t>
  </si>
  <si>
    <t>8/14/2025</t>
  </si>
  <si>
    <t>Goldberg, Joel</t>
  </si>
  <si>
    <t>7FT5TF7HE76</t>
  </si>
  <si>
    <t>King, Noah</t>
  </si>
  <si>
    <t>7MM8M80UE41</t>
  </si>
  <si>
    <t>8/22/2025</t>
  </si>
  <si>
    <t>7/1/2025</t>
  </si>
  <si>
    <t>7/28/2025</t>
  </si>
  <si>
    <t>Thatcher, Richard</t>
  </si>
  <si>
    <t>6/1/2025</t>
  </si>
  <si>
    <t>7A05XG6XY80</t>
  </si>
  <si>
    <t>6/17/2025</t>
  </si>
  <si>
    <t>Williams, Lurilla</t>
  </si>
  <si>
    <t>5QN9MJ9QT33</t>
  </si>
  <si>
    <t>Rath, Arlene</t>
  </si>
  <si>
    <t>4N99WN8ET32</t>
  </si>
  <si>
    <t>6/4/2025</t>
  </si>
  <si>
    <t>Parry, Robert</t>
  </si>
  <si>
    <t>3JG7TA5RF57</t>
  </si>
  <si>
    <t>Engstrom, Gladys</t>
  </si>
  <si>
    <t>1TP7HT4YF54</t>
  </si>
  <si>
    <t>6/18/2025</t>
  </si>
  <si>
    <t>5/1/2025</t>
  </si>
  <si>
    <t>Kaneshiro, Reynold</t>
  </si>
  <si>
    <t>4/1/2025</t>
  </si>
  <si>
    <t>1GJ3MM3JD98</t>
  </si>
  <si>
    <t>Gross, Sherwood</t>
  </si>
  <si>
    <t>5/16/2025</t>
  </si>
  <si>
    <t>6U54XA2QR87</t>
  </si>
  <si>
    <t>Kaplan, Fred</t>
  </si>
  <si>
    <t>5/19/2025</t>
  </si>
  <si>
    <t>1TT1YJ2DF17</t>
  </si>
  <si>
    <t>Han, Kyung</t>
  </si>
  <si>
    <t>2W25YW5TQ73</t>
  </si>
  <si>
    <t>5/14/2025</t>
  </si>
  <si>
    <t>5/29/2025</t>
  </si>
  <si>
    <t>Barillaro, Emilio</t>
  </si>
  <si>
    <t>6PM6MW2YC79</t>
  </si>
  <si>
    <t>5/12/2025</t>
  </si>
  <si>
    <t>3/26/2025</t>
  </si>
  <si>
    <t>4/23/2025</t>
  </si>
  <si>
    <t>4/18/2025</t>
  </si>
  <si>
    <t>4/19/2025</t>
  </si>
  <si>
    <t>Baladad, Aurora</t>
  </si>
  <si>
    <t>4EA5XR1ED81</t>
  </si>
  <si>
    <t>Seely, Bradford</t>
  </si>
  <si>
    <t>2TW9DR9WG11</t>
  </si>
  <si>
    <t>Enriquez, Carlos</t>
  </si>
  <si>
    <t>9VG4DU7QU99</t>
  </si>
  <si>
    <t>3/1/2025</t>
  </si>
  <si>
    <t>Beattie, Bruce</t>
  </si>
  <si>
    <t>2TD2N13VP01</t>
  </si>
  <si>
    <t>3/24/2025</t>
  </si>
  <si>
    <t>3/12/2025</t>
  </si>
  <si>
    <t>3/11/2025</t>
  </si>
  <si>
    <t>3/21/2025</t>
  </si>
  <si>
    <t>3/27/2025</t>
  </si>
  <si>
    <t>3/5/2025</t>
  </si>
  <si>
    <t>2/1/2025</t>
  </si>
  <si>
    <t>Clement, Barbara</t>
  </si>
  <si>
    <t>5XA7UC9WY77</t>
  </si>
  <si>
    <t>Stewart, Jerry</t>
  </si>
  <si>
    <t>1FG1UC9EM93</t>
  </si>
  <si>
    <t>Nothelfer, Permpoon</t>
  </si>
  <si>
    <t>2/12/2025</t>
  </si>
  <si>
    <t>2HN1GV9AN10</t>
  </si>
  <si>
    <t>1/2/2025</t>
  </si>
  <si>
    <t>1/30/2025</t>
  </si>
  <si>
    <t>Martinez, Hector</t>
  </si>
  <si>
    <t>6VG2C32UM03</t>
  </si>
  <si>
    <t>1/31/2025</t>
  </si>
  <si>
    <t>1/27/2025</t>
  </si>
  <si>
    <t>1/1/2025</t>
  </si>
  <si>
    <t>Marshall, Elizabeth</t>
  </si>
  <si>
    <t>3W25H49FR83</t>
  </si>
  <si>
    <t>12/1/2024</t>
  </si>
  <si>
    <t>Marven, Cynthia</t>
  </si>
  <si>
    <t>7UT3PV3GX71</t>
  </si>
  <si>
    <t>12/3/2024</t>
  </si>
  <si>
    <t>11/22/2024</t>
  </si>
  <si>
    <t>Hernandez, David</t>
  </si>
  <si>
    <t>11/9/2024</t>
  </si>
  <si>
    <t>5M02AM1NK27</t>
  </si>
  <si>
    <t>Hofele, Ralph</t>
  </si>
  <si>
    <t>11/14/2024</t>
  </si>
  <si>
    <t>2WF8GK4EY52</t>
  </si>
  <si>
    <t>11/27/2024</t>
  </si>
  <si>
    <t>11/2/2024</t>
  </si>
  <si>
    <t>11/15/2024</t>
  </si>
  <si>
    <t>11/8/2024</t>
  </si>
  <si>
    <t>11/12/2024</t>
  </si>
  <si>
    <t>11/1/2024</t>
  </si>
  <si>
    <t>10/1/2024</t>
  </si>
  <si>
    <t>Mally, Jeffrey</t>
  </si>
  <si>
    <t>9/26/2024</t>
  </si>
  <si>
    <t>1U58MH5UJ51</t>
  </si>
  <si>
    <t>9/27/2024</t>
  </si>
  <si>
    <t>4/1/2026</t>
  </si>
  <si>
    <t> </t>
  </si>
  <si>
    <t>Submit Date</t>
  </si>
  <si>
    <t>Projected Reimb</t>
  </si>
  <si>
    <t>Projected Paid Date</t>
  </si>
  <si>
    <t>Renich, Hazel</t>
  </si>
  <si>
    <t>03/26/2026</t>
  </si>
  <si>
    <t>$1,407.74</t>
  </si>
  <si>
    <t>Blake, Carlos</t>
  </si>
  <si>
    <t>03/28/2026</t>
  </si>
  <si>
    <t>Colella, Rita</t>
  </si>
  <si>
    <t>03/25/2026</t>
  </si>
  <si>
    <t>04/01/2026</t>
  </si>
  <si>
    <t>$2,183.08</t>
  </si>
  <si>
    <t>$184.94</t>
  </si>
  <si>
    <t>$554.80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</si>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</sst>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sz val="9"/>
      <color rgb="FF333333"/>
      <name val="Arial"/>
      <family val="2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67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10" applyFont="1" fillId="0" borderId="0" xfId="0"/>
    <xf numFmtId="0" fontId="0" fillId="0" borderId="0" xfId="0" applyAlignment="1">
      <alignment horizontal="center"/>
    </xf>
    <xf numFmtId="14" applyNumberFormat="1" fontId="0" fillId="0" borderId="0" xfId="0" applyAlignment="1">
      <alignment horizontal="center"/>
    </xf>
    <xf numFmtId="0" fontId="11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2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3" applyFont="1" fillId="0" borderId="8" applyBorder="1" xfId="0">
      <alignment wrapText="1"/>
    </xf>
    <xf numFmtId="0" fontId="14" applyFont="1" fillId="0" borderId="8" applyBorder="1" xfId="0" applyAlignment="1">
      <alignment horizontal="center" wrapText="1"/>
    </xf>
    <xf numFmtId="0" fontId="13" applyFont="1" fillId="0" borderId="8" applyBorder="1" xfId="0" applyAlignment="1">
      <alignment horizontal="center" wrapText="1"/>
    </xf>
    <xf numFmtId="0" fontId="15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5" applyFont="1" fillId="0" borderId="8" applyBorder="1" xfId="0" applyAlignment="1">
      <alignment horizontal="right" wrapText="1"/>
    </xf>
    <xf numFmtId="0" fontId="16" applyFont="1" fillId="0" borderId="8" applyBorder="1" xfId="0" applyAlignment="1">
      <alignment horizontal="right" wrapText="1"/>
    </xf>
    <xf numFmtId="0" fontId="4" applyFont="1" fillId="0" borderId="0" xfId="0"/>
    <xf numFmtId="164" applyNumberFormat="1" fontId="12" applyFont="1" fillId="0" borderId="0" xfId="0"/>
    <xf numFmtId="165" applyNumberFormat="1" fontId="0" fillId="0" borderId="0" xfId="0"/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>
        <f t="shared" si="0"/>
      </c>
      <c r="V3" s="0" t="s">
        <v>23</v>
      </c>
    </row>
    <row r="4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>
        <f t="shared" si="0"/>
      </c>
      <c r="V4" s="15" t="s">
        <v>24</v>
      </c>
    </row>
    <row r="5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>
        <f t="shared" si="0"/>
      </c>
      <c r="V5" s="0" t="s">
        <v>25</v>
      </c>
    </row>
    <row r="6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>
        <f t="shared" si="0"/>
      </c>
      <c r="V6" s="0" t="s">
        <v>26</v>
      </c>
    </row>
    <row r="7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>
        <f t="shared" si="0"/>
      </c>
      <c r="V7" s="0" t="s">
        <v>27</v>
      </c>
    </row>
    <row r="8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>
        <f t="shared" si="0"/>
      </c>
      <c r="V8" s="0" t="s">
        <v>28</v>
      </c>
    </row>
    <row r="9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>
        <f t="shared" si="0"/>
      </c>
      <c r="V9" s="0" t="s">
        <v>29</v>
      </c>
    </row>
    <row r="10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>
        <f t="shared" si="0"/>
      </c>
      <c r="V10" s="0" t="s">
        <v>30</v>
      </c>
    </row>
    <row r="11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>
        <f t="shared" si="0"/>
      </c>
      <c r="V11" s="0" t="s">
        <v>31</v>
      </c>
    </row>
    <row r="12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>
        <f t="shared" si="0"/>
      </c>
      <c r="V12" s="0" t="s">
        <v>32</v>
      </c>
    </row>
    <row r="1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>
        <f t="shared" si="0"/>
      </c>
      <c r="V13" s="0" t="s">
        <v>33</v>
      </c>
    </row>
    <row r="14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>
        <f t="shared" si="0"/>
      </c>
      <c r="V14" s="0" t="s">
        <v>34</v>
      </c>
    </row>
    <row r="15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>
        <f t="shared" si="0"/>
      </c>
      <c r="V15" s="0" t="s">
        <v>35</v>
      </c>
    </row>
    <row r="16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>
        <f t="shared" si="0"/>
      </c>
      <c r="V16" s="0" t="s">
        <v>36</v>
      </c>
    </row>
    <row r="17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>
        <f t="shared" si="0"/>
      </c>
      <c r="V17" s="0" t="s">
        <v>37</v>
      </c>
    </row>
    <row r="18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>
        <f t="shared" si="0"/>
      </c>
      <c r="V18" s="0" t="s">
        <v>38</v>
      </c>
    </row>
    <row r="19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>
        <f t="shared" si="0"/>
      </c>
      <c r="V19" s="0" t="s">
        <v>39</v>
      </c>
    </row>
    <row r="20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>
        <f t="shared" si="0"/>
      </c>
      <c r="V20" s="0" t="s">
        <v>40</v>
      </c>
    </row>
    <row r="21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>
        <f t="shared" si="0"/>
      </c>
      <c r="V21" s="0" t="s">
        <v>41</v>
      </c>
    </row>
    <row r="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>
        <f t="shared" si="0"/>
      </c>
      <c r="V22" s="0" t="s">
        <v>42</v>
      </c>
    </row>
    <row r="23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>
        <f t="shared" si="0"/>
      </c>
      <c r="V23" s="0" t="s">
        <v>43</v>
      </c>
    </row>
    <row r="24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>
        <f t="shared" si="0"/>
      </c>
      <c r="V24" s="0" t="s">
        <v>44</v>
      </c>
    </row>
    <row r="25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>
        <f t="shared" si="0"/>
      </c>
      <c r="V25" s="0" t="s">
        <v>45</v>
      </c>
    </row>
    <row r="26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>
        <f t="shared" si="0"/>
      </c>
      <c r="V26" s="0" t="s">
        <v>46</v>
      </c>
    </row>
    <row r="27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>
        <f t="shared" si="0"/>
      </c>
      <c r="V27" s="0" t="s">
        <v>47</v>
      </c>
    </row>
    <row r="28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>
        <f t="shared" si="0"/>
      </c>
      <c r="V28" s="0" t="s">
        <v>48</v>
      </c>
    </row>
    <row r="29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>
        <f t="shared" si="0"/>
      </c>
      <c r="V29" s="0" t="s">
        <v>49</v>
      </c>
    </row>
    <row r="30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>
        <f t="shared" si="0"/>
      </c>
      <c r="V30" s="0" t="s">
        <v>50</v>
      </c>
    </row>
    <row r="31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>
        <f t="shared" si="0"/>
      </c>
      <c r="V31" s="0" t="s">
        <v>51</v>
      </c>
    </row>
    <row r="3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>
        <f t="shared" si="0"/>
      </c>
      <c r="V32" s="0" t="s">
        <v>52</v>
      </c>
    </row>
    <row r="33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>
        <f t="shared" si="0"/>
      </c>
      <c r="V33" s="0" t="s">
        <v>53</v>
      </c>
    </row>
    <row r="34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>
        <f t="shared" si="0"/>
      </c>
      <c r="V34" s="0" t="s">
        <v>54</v>
      </c>
    </row>
    <row r="35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>
        <f t="shared" si="0"/>
      </c>
      <c r="V35" s="0" t="s">
        <v>55</v>
      </c>
    </row>
    <row r="36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>
        <f t="shared" si="0"/>
      </c>
      <c r="V36" s="0" t="s">
        <v>56</v>
      </c>
    </row>
    <row r="37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>
        <f t="shared" si="0"/>
      </c>
      <c r="V37" s="0" t="s">
        <v>57</v>
      </c>
    </row>
    <row r="38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>
        <f t="shared" si="0"/>
      </c>
      <c r="V38" s="0" t="s">
        <v>58</v>
      </c>
    </row>
    <row r="39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>
        <f t="shared" si="0"/>
      </c>
      <c r="V39" s="0" t="s">
        <v>35</v>
      </c>
    </row>
    <row r="40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>
        <f t="shared" si="0"/>
      </c>
      <c r="V40" s="0" t="s">
        <v>59</v>
      </c>
    </row>
    <row r="41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>
        <f t="shared" si="0"/>
      </c>
      <c r="V41" s="0" t="s">
        <v>60</v>
      </c>
    </row>
    <row r="4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>
        <f t="shared" si="0"/>
      </c>
      <c r="V42" s="0" t="s">
        <v>61</v>
      </c>
    </row>
    <row r="43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>
        <f t="shared" si="0"/>
      </c>
      <c r="V43" s="0" t="s">
        <v>62</v>
      </c>
    </row>
    <row r="44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>
        <f t="shared" si="0"/>
      </c>
      <c r="V44" s="0" t="s">
        <v>63</v>
      </c>
    </row>
    <row r="45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>
        <f t="shared" si="0"/>
      </c>
      <c r="V45" s="0" t="s">
        <v>64</v>
      </c>
    </row>
    <row r="46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>
        <f t="shared" si="0"/>
      </c>
      <c r="V46" s="0" t="s">
        <v>65</v>
      </c>
    </row>
    <row r="47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>
        <f t="shared" si="0"/>
      </c>
      <c r="V47" s="0" t="s">
        <v>27</v>
      </c>
    </row>
    <row r="48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>
        <f t="shared" si="0"/>
      </c>
      <c r="V48" s="0" t="s">
        <v>66</v>
      </c>
    </row>
    <row r="49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>
        <f t="shared" si="0"/>
      </c>
      <c r="V49" s="0" t="s">
        <v>67</v>
      </c>
    </row>
    <row r="50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s="0" t="s">
        <v>68</v>
      </c>
    </row>
    <row r="51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s="0" t="s">
        <v>69</v>
      </c>
    </row>
    <row r="5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s="0" t="s">
        <v>70</v>
      </c>
    </row>
    <row r="53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s="0" t="s">
        <v>71</v>
      </c>
    </row>
    <row r="54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s="0" t="s">
        <v>72</v>
      </c>
    </row>
    <row r="55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s="0" t="s">
        <v>73</v>
      </c>
    </row>
    <row r="56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s="0" t="s">
        <v>74</v>
      </c>
    </row>
    <row r="57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s="0" t="s">
        <v>75</v>
      </c>
    </row>
    <row r="58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s="0" t="s">
        <v>76</v>
      </c>
    </row>
    <row r="59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s="0" t="s">
        <v>77</v>
      </c>
    </row>
    <row r="60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s="0" t="s">
        <v>28</v>
      </c>
    </row>
    <row r="61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s="0" t="s">
        <v>78</v>
      </c>
    </row>
    <row r="6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s="0" t="s">
        <v>31</v>
      </c>
    </row>
    <row r="63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s="0" t="s">
        <v>79</v>
      </c>
    </row>
    <row r="64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s="0" t="s">
        <v>80</v>
      </c>
    </row>
    <row r="65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s="0" t="s">
        <v>81</v>
      </c>
    </row>
    <row r="66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s="0" t="s">
        <v>82</v>
      </c>
    </row>
    <row r="67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s="0" t="s">
        <v>26</v>
      </c>
    </row>
    <row r="68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s="0" t="s">
        <v>30</v>
      </c>
    </row>
    <row r="69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s="0" t="s">
        <v>83</v>
      </c>
    </row>
    <row r="70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s="0" t="s">
        <v>84</v>
      </c>
    </row>
    <row r="71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s="0" t="s">
        <v>85</v>
      </c>
    </row>
    <row r="73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s="0" t="s">
        <v>38</v>
      </c>
    </row>
    <row r="78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s="0" t="s">
        <v>40</v>
      </c>
    </row>
    <row r="79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s="0" t="s">
        <v>86</v>
      </c>
    </row>
    <row r="8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s="0" t="s">
        <v>87</v>
      </c>
    </row>
    <row r="88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s="0" t="s">
        <v>44</v>
      </c>
    </row>
    <row r="89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s="0" t="s">
        <v>43</v>
      </c>
    </row>
    <row r="90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s="0" t="s">
        <v>88</v>
      </c>
    </row>
    <row r="91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s="0" t="s">
        <v>51</v>
      </c>
    </row>
    <row r="9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s="0" t="s">
        <v>53</v>
      </c>
    </row>
    <row r="93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s="0" t="s">
        <v>22</v>
      </c>
    </row>
    <row r="94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s="0" t="s">
        <v>25</v>
      </c>
    </row>
    <row r="95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s="0" t="s">
        <v>89</v>
      </c>
    </row>
    <row r="96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s="0" t="s">
        <v>55</v>
      </c>
    </row>
    <row r="97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s="0" t="s">
        <v>54</v>
      </c>
    </row>
    <row r="98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s="0" t="s">
        <v>41</v>
      </c>
    </row>
    <row r="99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s="0" t="s">
        <v>42</v>
      </c>
    </row>
    <row r="100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s="0" t="s">
        <v>24</v>
      </c>
    </row>
    <row r="101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s="0" t="s">
        <v>23</v>
      </c>
    </row>
    <row r="10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s="0" t="s">
        <v>38</v>
      </c>
    </row>
    <row r="103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s="0" t="s">
        <v>90</v>
      </c>
    </row>
    <row r="104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s="0" t="s">
        <v>52</v>
      </c>
    </row>
    <row r="105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s="0" t="s">
        <v>91</v>
      </c>
    </row>
    <row r="106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s="0" t="s">
        <v>92</v>
      </c>
    </row>
    <row r="107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s="0" t="s">
        <v>32</v>
      </c>
    </row>
    <row r="108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s="0" t="s">
        <v>39</v>
      </c>
    </row>
    <row r="109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s="0" t="s">
        <v>34</v>
      </c>
    </row>
    <row r="110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s="0" t="s">
        <v>33</v>
      </c>
    </row>
    <row r="111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s="0" t="s">
        <v>35</v>
      </c>
    </row>
    <row r="113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s="0" t="s">
        <v>87</v>
      </c>
    </row>
    <row r="114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s="0" t="s">
        <v>84</v>
      </c>
    </row>
    <row r="115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s="0" t="s">
        <v>45</v>
      </c>
    </row>
    <row r="116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s="0" t="s">
        <v>88</v>
      </c>
    </row>
    <row r="117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s="0" t="s">
        <v>90</v>
      </c>
    </row>
    <row r="118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s="0" t="s">
        <v>93</v>
      </c>
    </row>
    <row r="121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s="0" t="s">
        <v>63</v>
      </c>
    </row>
    <row r="1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s="0" t="s">
        <v>94</v>
      </c>
    </row>
    <row r="123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s="0" t="s">
        <v>95</v>
      </c>
    </row>
    <row r="124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s="0" t="s">
        <v>96</v>
      </c>
    </row>
    <row r="125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s="0" t="s">
        <v>97</v>
      </c>
    </row>
    <row r="126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s="0" t="s">
        <v>98</v>
      </c>
    </row>
    <row r="127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s="0" t="s">
        <v>27</v>
      </c>
    </row>
    <row r="128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s="0" t="s">
        <v>28</v>
      </c>
    </row>
    <row r="129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s="0" t="s">
        <v>26</v>
      </c>
    </row>
    <row r="130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s="0" t="s">
        <v>29</v>
      </c>
    </row>
    <row r="131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s="0" t="s">
        <v>99</v>
      </c>
    </row>
    <row r="13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s="0" t="s">
        <v>100</v>
      </c>
    </row>
    <row r="133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s="0" t="s">
        <v>101</v>
      </c>
    </row>
    <row r="134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s="0" t="s">
        <v>68</v>
      </c>
    </row>
    <row r="135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s="0" t="s">
        <v>69</v>
      </c>
    </row>
    <row r="136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s="0" t="s">
        <v>102</v>
      </c>
    </row>
    <row r="137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s="0" t="s">
        <v>103</v>
      </c>
    </row>
    <row r="138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s="0" t="s">
        <v>104</v>
      </c>
    </row>
    <row r="139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s="0" t="s">
        <v>104</v>
      </c>
    </row>
    <row r="140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s="0" t="s">
        <v>62</v>
      </c>
    </row>
    <row r="141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s="0" t="s">
        <v>48</v>
      </c>
    </row>
    <row r="14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s="0" t="s">
        <v>71</v>
      </c>
    </row>
    <row r="143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s="0" t="s">
        <v>105</v>
      </c>
    </row>
    <row r="144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s="0" t="s">
        <v>106</v>
      </c>
    </row>
    <row r="145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s="0" t="s">
        <v>75</v>
      </c>
    </row>
    <row r="146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s="0" t="s">
        <v>76</v>
      </c>
    </row>
    <row r="147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s="0" t="s">
        <v>107</v>
      </c>
    </row>
    <row r="149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s="0" t="s">
        <v>108</v>
      </c>
    </row>
    <row r="150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s="0" t="s">
        <v>109</v>
      </c>
    </row>
    <row r="151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s="0" t="s">
        <v>30</v>
      </c>
    </row>
    <row r="15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s="0" t="s">
        <v>31</v>
      </c>
    </row>
    <row r="153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s="0" t="s">
        <v>110</v>
      </c>
    </row>
    <row r="154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s="0" t="s">
        <v>38</v>
      </c>
    </row>
    <row r="155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s="0" t="s">
        <v>85</v>
      </c>
    </row>
    <row r="156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s="0" t="s">
        <v>43</v>
      </c>
    </row>
    <row r="157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s="0" t="s">
        <v>44</v>
      </c>
    </row>
    <row r="158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s="0" t="s">
        <v>111</v>
      </c>
    </row>
    <row r="159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s="0" t="s">
        <v>112</v>
      </c>
    </row>
    <row r="160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s="0" t="s">
        <v>22</v>
      </c>
    </row>
    <row r="161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s="0" t="s">
        <v>113</v>
      </c>
    </row>
    <row r="16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s="0" t="s">
        <v>41</v>
      </c>
    </row>
    <row r="163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s="0" t="s">
        <v>52</v>
      </c>
    </row>
    <row r="164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s="0" t="s">
        <v>23</v>
      </c>
    </row>
    <row r="165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s="0" t="s">
        <v>24</v>
      </c>
    </row>
    <row r="166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s="0" t="s">
        <v>63</v>
      </c>
    </row>
    <row r="167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s="0" t="s">
        <v>88</v>
      </c>
    </row>
    <row r="168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s="0" t="s">
        <v>55</v>
      </c>
    </row>
    <row r="169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s="0" t="s">
        <v>114</v>
      </c>
    </row>
    <row r="170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s="0" t="s">
        <v>115</v>
      </c>
    </row>
    <row r="171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s="0" t="s">
        <v>62</v>
      </c>
    </row>
    <row r="17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s="0" t="s">
        <v>116</v>
      </c>
    </row>
    <row r="175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s="0" t="s">
        <v>117</v>
      </c>
    </row>
    <row r="179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s="0" t="s">
        <v>118</v>
      </c>
    </row>
    <row r="180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s="0" t="s">
        <v>57</v>
      </c>
    </row>
    <row r="181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s="0" t="s">
        <v>83</v>
      </c>
    </row>
    <row r="18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s="0" t="s">
        <v>119</v>
      </c>
    </row>
    <row r="183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s="0" t="s">
        <v>53</v>
      </c>
    </row>
    <row r="184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s="0" t="s">
        <v>120</v>
      </c>
    </row>
    <row r="185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s="0" t="s">
        <v>121</v>
      </c>
    </row>
    <row r="186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s="0" t="s">
        <v>122</v>
      </c>
    </row>
    <row r="187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s="0" t="s">
        <v>123</v>
      </c>
    </row>
    <row r="188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s="0" t="s">
        <v>32</v>
      </c>
    </row>
    <row r="189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s="0" t="s">
        <v>84</v>
      </c>
    </row>
    <row r="190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s="0" t="s">
        <v>91</v>
      </c>
    </row>
    <row r="191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s="0" t="s">
        <v>25</v>
      </c>
    </row>
    <row r="19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s="0" t="s">
        <v>51</v>
      </c>
    </row>
    <row r="193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s="0" t="s">
        <v>120</v>
      </c>
    </row>
    <row r="194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s="0" t="s">
        <v>124</v>
      </c>
    </row>
    <row r="198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s="0" t="s">
        <v>125</v>
      </c>
    </row>
    <row r="199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s="0" t="s">
        <v>35</v>
      </c>
    </row>
    <row r="200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s="0" t="s">
        <v>104</v>
      </c>
    </row>
    <row r="201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s="0" t="s">
        <v>87</v>
      </c>
    </row>
    <row r="20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s="0" t="s">
        <v>126</v>
      </c>
    </row>
    <row r="203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s="0" t="s">
        <v>127</v>
      </c>
    </row>
    <row r="204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s="0" t="s">
        <v>90</v>
      </c>
    </row>
    <row r="205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s="0" t="s">
        <v>54</v>
      </c>
    </row>
    <row r="206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>
        <f t="shared" si="1"/>
      </c>
      <c r="V207" s="0" t="s">
        <v>128</v>
      </c>
    </row>
    <row r="208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>
        <f t="shared" si="1"/>
      </c>
      <c r="V208" s="0" t="s">
        <v>26</v>
      </c>
    </row>
    <row r="209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>
        <f t="shared" si="1"/>
      </c>
      <c r="V209" s="0" t="s">
        <v>57</v>
      </c>
    </row>
    <row r="210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>
        <f t="shared" si="1"/>
      </c>
      <c r="V210" s="0" t="s">
        <v>129</v>
      </c>
    </row>
    <row r="211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>
        <f t="shared" si="1"/>
      </c>
      <c r="V211" s="0" t="s">
        <v>69</v>
      </c>
    </row>
    <row r="21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>
        <f t="shared" si="1"/>
      </c>
      <c r="V212" s="0" t="s">
        <v>40</v>
      </c>
    </row>
    <row r="213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>
        <f t="shared" si="1"/>
      </c>
      <c r="V213" s="0" t="s">
        <v>68</v>
      </c>
    </row>
    <row r="214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>
        <f t="shared" si="1"/>
      </c>
      <c r="V214" s="0" t="s">
        <v>33</v>
      </c>
    </row>
    <row r="215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>
        <f t="shared" si="1"/>
      </c>
      <c r="V215" s="0" t="s">
        <v>29</v>
      </c>
    </row>
    <row r="216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>
        <f t="shared" si="1"/>
      </c>
      <c r="V216" s="0" t="s">
        <v>34</v>
      </c>
    </row>
    <row r="217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>
        <f t="shared" si="1"/>
      </c>
      <c r="V217" s="0" t="s">
        <v>130</v>
      </c>
    </row>
    <row r="218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>
        <f t="shared" si="1"/>
      </c>
      <c r="V218" s="0" t="s">
        <v>71</v>
      </c>
    </row>
    <row r="219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>
        <f t="shared" si="1"/>
      </c>
      <c r="V219" s="0" t="s">
        <v>131</v>
      </c>
    </row>
    <row r="220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>
        <f t="shared" si="1"/>
      </c>
    </row>
    <row r="221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>
        <f t="shared" si="1"/>
      </c>
    </row>
    <row r="2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>
        <f t="shared" si="1"/>
      </c>
    </row>
    <row r="223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>
        <f t="shared" si="1"/>
      </c>
    </row>
    <row r="224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>
        <f t="shared" si="1"/>
      </c>
    </row>
    <row r="225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>
        <f t="shared" si="1"/>
      </c>
    </row>
    <row r="226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>
        <f t="shared" si="1"/>
      </c>
    </row>
    <row r="227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>
        <f t="shared" si="1"/>
      </c>
    </row>
    <row r="228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>
        <f t="shared" si="1"/>
      </c>
    </row>
    <row r="229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>
        <f t="shared" si="1"/>
      </c>
    </row>
    <row r="230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>
        <f t="shared" si="1"/>
      </c>
    </row>
    <row r="23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>
        <f t="shared" si="1"/>
      </c>
    </row>
    <row r="232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>
        <f t="shared" si="1"/>
      </c>
    </row>
    <row r="233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>
        <f t="shared" si="1"/>
      </c>
    </row>
    <row r="234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>
        <f t="shared" si="1"/>
      </c>
    </row>
    <row r="235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>
        <f t="shared" si="1"/>
      </c>
    </row>
    <row r="236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>
        <f t="shared" si="1"/>
      </c>
    </row>
    <row r="237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>
        <f t="shared" si="1"/>
      </c>
    </row>
    <row r="238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>
        <f t="shared" si="2"/>
      </c>
    </row>
    <row r="240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>
        <f t="shared" si="2"/>
      </c>
    </row>
    <row r="24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>
        <f t="shared" si="2"/>
      </c>
    </row>
    <row r="242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>
        <f t="shared" si="2"/>
      </c>
    </row>
    <row r="243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>
        <f t="shared" si="2"/>
      </c>
    </row>
    <row r="244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>
        <f t="shared" si="2"/>
      </c>
    </row>
    <row r="245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>
        <f t="shared" si="2"/>
      </c>
    </row>
    <row r="246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>
        <f t="shared" si="2"/>
      </c>
    </row>
    <row r="247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>
        <f t="shared" si="2"/>
      </c>
    </row>
    <row r="248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>
        <f t="shared" si="2"/>
      </c>
    </row>
    <row r="249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>
        <f t="shared" si="2"/>
      </c>
    </row>
    <row r="250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>
        <f t="shared" si="2"/>
      </c>
    </row>
    <row r="25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>
        <f t="shared" si="2"/>
      </c>
    </row>
    <row r="252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>
        <f t="shared" si="2"/>
      </c>
    </row>
    <row r="253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>
        <f t="shared" si="2"/>
      </c>
    </row>
    <row r="254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>
        <f t="shared" si="2"/>
      </c>
    </row>
    <row r="255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>
        <f t="shared" si="2"/>
      </c>
    </row>
    <row r="256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>
        <f t="shared" si="2"/>
      </c>
    </row>
    <row r="257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>
        <f t="shared" si="2"/>
      </c>
    </row>
    <row r="258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>
        <f t="shared" si="2"/>
      </c>
    </row>
    <row r="259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>
        <f t="shared" si="2"/>
      </c>
    </row>
    <row r="260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>
        <f t="shared" si="2"/>
      </c>
    </row>
    <row r="26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>
        <f t="shared" si="2"/>
      </c>
    </row>
    <row r="262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>
        <f t="shared" si="2"/>
      </c>
    </row>
    <row r="263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>
        <f t="shared" si="2"/>
      </c>
    </row>
    <row r="264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>
        <f t="shared" si="2"/>
      </c>
    </row>
    <row r="265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>
        <f t="shared" si="2"/>
      </c>
    </row>
    <row r="266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>
        <f t="shared" si="2"/>
      </c>
    </row>
    <row r="267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>
        <f t="shared" si="2"/>
      </c>
    </row>
    <row r="268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>
        <f t="shared" si="2"/>
      </c>
    </row>
    <row r="269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>
        <f t="shared" si="2"/>
      </c>
    </row>
    <row r="270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>
        <f t="shared" si="3"/>
      </c>
    </row>
    <row r="272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>
        <f t="shared" si="3"/>
      </c>
    </row>
    <row r="273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>
        <f t="shared" si="3"/>
      </c>
    </row>
    <row r="274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>
        <f t="shared" si="3"/>
      </c>
    </row>
    <row r="275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>
        <f t="shared" si="3"/>
      </c>
    </row>
    <row r="276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>
        <f t="shared" si="3"/>
      </c>
    </row>
    <row r="277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>
        <f t="shared" si="3"/>
      </c>
    </row>
    <row r="278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>
        <f t="shared" si="3"/>
      </c>
    </row>
    <row r="279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>
        <f t="shared" si="3"/>
      </c>
    </row>
    <row r="280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>
        <f t="shared" si="3"/>
      </c>
    </row>
    <row r="28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>
        <f t="shared" si="3"/>
      </c>
    </row>
    <row r="282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>
        <f t="shared" si="3"/>
      </c>
    </row>
    <row r="283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>
        <f t="shared" si="3"/>
      </c>
    </row>
    <row r="284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>
        <f t="shared" si="3"/>
      </c>
    </row>
    <row r="285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>
        <f t="shared" si="3"/>
      </c>
    </row>
    <row r="286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>
        <f t="shared" si="3"/>
      </c>
    </row>
    <row r="287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>
        <f t="shared" si="3"/>
      </c>
    </row>
    <row r="288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>
        <f t="shared" si="3"/>
      </c>
    </row>
    <row r="289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>
        <f t="shared" si="3"/>
      </c>
    </row>
    <row r="290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>
        <f t="shared" si="3"/>
      </c>
    </row>
    <row r="29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>
        <f t="shared" si="3"/>
      </c>
    </row>
    <row r="292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>
        <f t="shared" si="3"/>
      </c>
    </row>
    <row r="293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>
        <f t="shared" si="3"/>
      </c>
    </row>
    <row r="294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>
        <f t="shared" si="3"/>
      </c>
    </row>
    <row r="295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>
        <f t="shared" si="3"/>
      </c>
    </row>
    <row r="296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>
        <f t="shared" si="3"/>
      </c>
    </row>
    <row r="297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>
        <f t="shared" si="3"/>
      </c>
    </row>
    <row r="298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>
        <f t="shared" si="3"/>
      </c>
    </row>
    <row r="299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>
        <f t="shared" si="3"/>
      </c>
    </row>
    <row r="300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>
        <f t="shared" si="3"/>
      </c>
    </row>
    <row r="30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>
        <f t="shared" si="3"/>
      </c>
    </row>
    <row r="302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>
        <f t="shared" si="4"/>
      </c>
    </row>
    <row r="304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>
        <f t="shared" si="4"/>
      </c>
    </row>
    <row r="305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>
        <f t="shared" si="4"/>
      </c>
    </row>
    <row r="306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>
        <f t="shared" si="4"/>
      </c>
    </row>
    <row r="307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>
        <f t="shared" si="4"/>
      </c>
    </row>
    <row r="308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>
        <f t="shared" si="4"/>
      </c>
    </row>
    <row r="309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>
        <f t="shared" si="4"/>
      </c>
    </row>
    <row r="310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>
        <f t="shared" si="4"/>
      </c>
    </row>
    <row r="31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>
        <f t="shared" si="4"/>
      </c>
    </row>
    <row r="312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>
        <f t="shared" si="4"/>
      </c>
    </row>
    <row r="313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>
        <f t="shared" si="4"/>
      </c>
    </row>
    <row r="314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>
        <f t="shared" si="4"/>
      </c>
    </row>
    <row r="315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>
        <f t="shared" si="4"/>
      </c>
    </row>
    <row r="316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>
        <f t="shared" si="4"/>
      </c>
    </row>
    <row r="317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>
        <f t="shared" si="4"/>
      </c>
    </row>
    <row r="318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>
        <f t="shared" si="4"/>
      </c>
    </row>
    <row r="319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>
        <f t="shared" si="4"/>
      </c>
    </row>
    <row r="320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>
        <f t="shared" si="4"/>
      </c>
    </row>
    <row r="3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>
        <f t="shared" si="4"/>
      </c>
    </row>
    <row r="322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>
        <f t="shared" si="4"/>
      </c>
    </row>
    <row r="323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>
        <f t="shared" si="4"/>
      </c>
    </row>
    <row r="324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>
        <f t="shared" si="4"/>
      </c>
    </row>
    <row r="325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>
        <f t="shared" si="4"/>
      </c>
    </row>
    <row r="326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>
        <f t="shared" si="4"/>
      </c>
    </row>
    <row r="327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>
        <f t="shared" si="4"/>
      </c>
    </row>
    <row r="328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>
        <f t="shared" si="4"/>
      </c>
    </row>
    <row r="329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>
        <f t="shared" si="4"/>
      </c>
    </row>
    <row r="330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>
        <f t="shared" si="4"/>
      </c>
    </row>
    <row r="33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>
        <f t="shared" si="4"/>
      </c>
    </row>
    <row r="332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>
        <f t="shared" si="4"/>
      </c>
    </row>
    <row r="333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>
        <f t="shared" si="4"/>
      </c>
    </row>
    <row r="334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>
        <f t="shared" si="5"/>
      </c>
    </row>
    <row r="336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>
        <f t="shared" si="5"/>
      </c>
    </row>
    <row r="337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>
        <f t="shared" si="5"/>
      </c>
    </row>
    <row r="338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>
        <f t="shared" si="5"/>
      </c>
    </row>
    <row r="339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>
        <f t="shared" si="5"/>
      </c>
    </row>
    <row r="340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>
        <f t="shared" si="5"/>
      </c>
    </row>
    <row r="34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>
        <f t="shared" si="5"/>
      </c>
    </row>
    <row r="342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>
        <f t="shared" si="5"/>
      </c>
    </row>
    <row r="343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>
        <f t="shared" si="5"/>
      </c>
    </row>
    <row r="344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>
        <f t="shared" si="5"/>
      </c>
    </row>
    <row r="345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>
        <f t="shared" si="5"/>
      </c>
    </row>
    <row r="346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>
        <f t="shared" si="5"/>
      </c>
    </row>
    <row r="347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>
        <f t="shared" si="5"/>
      </c>
    </row>
    <row r="348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>
        <f t="shared" si="5"/>
      </c>
    </row>
    <row r="349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>
        <f t="shared" si="5"/>
      </c>
    </row>
    <row r="350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>
        <f>IF(Table1[[#This Row],[Start 6]]="","",IF(S350&gt;0,"Paid",IF(ISNA(MATCH(_xlfn.CONCAT(Table1[[#This Row],[PATIENTS NAME]],DATEVALUE(Table1[[#This Row],[Start 6]])),#REF!,0)),"","In Process")))</f>
      </c>
      <c r="U350" s="43">
        <f t="shared" si="5"/>
      </c>
    </row>
    <row r="35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>
        <f>IF(Table1[[#This Row],[Start 6]]="","",IF(S351&gt;0,"Paid",IF(ISNA(MATCH(_xlfn.CONCAT(Table1[[#This Row],[PATIENTS NAME]],DATEVALUE(Table1[[#This Row],[Start 6]])),#REF!,0)),"","In Process")))</f>
      </c>
      <c r="U351" s="43">
        <f t="shared" si="5"/>
      </c>
    </row>
    <row r="352" ht="15.75" customHeight="1">
      <c r="F352" s="3"/>
      <c r="I352" s="3"/>
      <c r="L352" s="3"/>
      <c r="O352" s="3"/>
      <c r="Q352" s="37"/>
      <c r="R352" s="3"/>
      <c r="U352" s="44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D461AAD-AF22-45C3-806A-616F8C36D92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61"/>
  <sheetViews>
    <sheetView tabSelected="1" topLeftCell="A55" workbookViewId="0">
      <selection activeCell="E28" sqref="E27:E28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7" t="s">
        <v>137</v>
      </c>
      <c r="G1" s="17"/>
      <c r="H1" s="17"/>
      <c r="I1" s="17" t="s">
        <v>138</v>
      </c>
    </row>
    <row r="2" ht="15.75" customHeight="1">
      <c r="A2" s="45" t="s">
        <v>139</v>
      </c>
      <c r="B2" s="46"/>
      <c r="C2" s="47"/>
    </row>
    <row r="3" ht="15.75" customHeight="1">
      <c r="A3" s="8">
        <v>46024</v>
      </c>
      <c r="B3" s="8">
        <v>46028</v>
      </c>
      <c r="C3" s="18"/>
      <c r="F3" s="19"/>
      <c r="G3" s="20"/>
      <c r="H3" s="20"/>
    </row>
    <row r="4" ht="15.75" customHeight="1">
      <c r="A4" s="8">
        <v>46027</v>
      </c>
      <c r="B4" s="8">
        <v>46029</v>
      </c>
      <c r="C4" s="18"/>
      <c r="F4" s="19"/>
      <c r="G4" s="20"/>
      <c r="H4" s="20"/>
    </row>
    <row r="5" ht="15.75" customHeight="1">
      <c r="A5" s="8">
        <v>46028</v>
      </c>
      <c r="B5" s="8">
        <v>46030</v>
      </c>
      <c r="C5" s="18"/>
      <c r="F5" s="19"/>
      <c r="G5" s="20"/>
      <c r="H5" s="20"/>
    </row>
    <row r="6" ht="15.75" customHeight="1">
      <c r="A6" s="8">
        <v>46029</v>
      </c>
      <c r="B6" s="21">
        <v>46031</v>
      </c>
      <c r="C6" s="18"/>
      <c r="F6" s="19"/>
      <c r="G6" s="20"/>
      <c r="H6" s="20"/>
    </row>
    <row r="7" ht="15.75" customHeight="1">
      <c r="A7" s="8">
        <v>46030</v>
      </c>
      <c r="B7" s="8">
        <v>46034</v>
      </c>
      <c r="C7" s="18"/>
      <c r="F7" s="19"/>
      <c r="G7" s="20"/>
      <c r="H7" s="20"/>
    </row>
    <row r="8" ht="15.75" customHeight="1">
      <c r="A8" s="8">
        <v>46031</v>
      </c>
      <c r="B8" s="8">
        <v>46035</v>
      </c>
      <c r="C8" s="18"/>
      <c r="F8" s="19"/>
      <c r="G8" s="20"/>
      <c r="H8" s="20"/>
    </row>
    <row r="9" ht="15.75" customHeight="1">
      <c r="A9" s="8">
        <v>46034</v>
      </c>
      <c r="B9" s="8">
        <v>46036</v>
      </c>
      <c r="C9" s="18"/>
      <c r="F9" s="19"/>
      <c r="G9" s="20"/>
      <c r="H9" s="20"/>
    </row>
    <row r="10" ht="15.75" customHeight="1">
      <c r="A10" s="8">
        <v>46035</v>
      </c>
      <c r="B10" s="8">
        <v>46037</v>
      </c>
      <c r="C10" s="18"/>
      <c r="F10" s="19"/>
      <c r="G10" s="20"/>
      <c r="H10" s="20"/>
    </row>
    <row r="11" ht="15.75" customHeight="1">
      <c r="A11" s="8">
        <v>46036</v>
      </c>
      <c r="B11" s="8">
        <v>46038</v>
      </c>
      <c r="C11" s="18"/>
      <c r="F11" s="19"/>
      <c r="G11" s="20"/>
      <c r="H11" s="20"/>
    </row>
    <row r="12" ht="15.75" customHeight="1">
      <c r="A12" s="8">
        <v>46037</v>
      </c>
      <c r="B12" s="8">
        <v>46042</v>
      </c>
      <c r="C12" s="18"/>
      <c r="F12" s="19"/>
      <c r="G12" s="20"/>
      <c r="H12" s="20"/>
    </row>
    <row r="13" ht="15.75" customHeight="1">
      <c r="A13" s="8">
        <v>46038</v>
      </c>
      <c r="B13" s="21">
        <v>46043</v>
      </c>
      <c r="C13" s="18"/>
      <c r="F13" s="19"/>
      <c r="G13" s="20"/>
      <c r="H13" s="20"/>
    </row>
    <row r="14" ht="15.75" customHeight="1">
      <c r="A14" s="8">
        <v>46042</v>
      </c>
      <c r="B14" s="8">
        <v>46044</v>
      </c>
      <c r="C14" s="18">
        <v>120823.43</v>
      </c>
      <c r="F14" s="19" t="s">
        <v>140</v>
      </c>
      <c r="G14" s="20"/>
      <c r="H14" s="20"/>
    </row>
    <row r="15" ht="15.75" customHeight="1">
      <c r="A15" s="8">
        <v>46043</v>
      </c>
      <c r="B15" s="8">
        <v>46045</v>
      </c>
      <c r="C15" s="18"/>
      <c r="F15" s="19"/>
      <c r="G15" s="20"/>
      <c r="H15" s="20"/>
    </row>
    <row r="16" ht="15.75" customHeight="1">
      <c r="A16" s="8">
        <v>46044</v>
      </c>
      <c r="B16" s="8">
        <v>46048</v>
      </c>
      <c r="C16" s="18"/>
      <c r="F16" s="19"/>
      <c r="G16" s="20"/>
      <c r="H16" s="20"/>
    </row>
    <row r="17" ht="15.75" customHeight="1">
      <c r="A17" s="8">
        <v>46045</v>
      </c>
      <c r="B17" s="8">
        <v>46049</v>
      </c>
      <c r="C17" s="18"/>
      <c r="F17" s="19"/>
      <c r="G17" s="20"/>
      <c r="H17" s="20"/>
    </row>
    <row r="18" ht="15.75" customHeight="1">
      <c r="A18" s="8">
        <v>46048</v>
      </c>
      <c r="B18" s="8">
        <v>46050</v>
      </c>
      <c r="C18" s="18"/>
      <c r="F18" s="19"/>
      <c r="G18" s="20"/>
      <c r="H18" s="20"/>
    </row>
    <row r="19" ht="15.75" customHeight="1">
      <c r="A19" s="8">
        <v>46049</v>
      </c>
      <c r="B19" s="8">
        <v>46051</v>
      </c>
      <c r="C19" s="18"/>
      <c r="F19" s="19"/>
      <c r="G19" s="20"/>
      <c r="H19" s="20"/>
    </row>
    <row r="20" ht="15.75" customHeight="1">
      <c r="A20" s="8">
        <v>46050</v>
      </c>
      <c r="B20" s="21">
        <v>46052</v>
      </c>
      <c r="C20" s="18"/>
      <c r="F20" s="19"/>
      <c r="G20" s="20"/>
      <c r="H20" s="20"/>
    </row>
    <row r="21" ht="15.75" customHeight="1">
      <c r="A21" s="8">
        <v>46051</v>
      </c>
      <c r="B21" s="8">
        <v>46055</v>
      </c>
      <c r="C21" s="18"/>
      <c r="F21" s="19"/>
      <c r="G21" s="20"/>
      <c r="H21" s="20"/>
    </row>
    <row r="22" ht="15.75" customHeight="1">
      <c r="A22" s="8">
        <v>46052</v>
      </c>
      <c r="B22" s="8">
        <v>46056</v>
      </c>
      <c r="C22" s="18"/>
      <c r="F22" s="19"/>
      <c r="G22" s="20"/>
      <c r="H22" s="20"/>
    </row>
    <row r="23" ht="15.75" customHeight="1">
      <c r="A23" s="48" t="s">
        <v>139</v>
      </c>
      <c r="B23" s="49"/>
      <c r="C23" s="50"/>
      <c r="F23" s="19"/>
      <c r="G23" s="20"/>
      <c r="H23" s="20"/>
    </row>
    <row r="24" ht="15.75" customHeight="1">
      <c r="A24" s="8">
        <v>46055</v>
      </c>
      <c r="B24" s="8">
        <v>46057</v>
      </c>
      <c r="C24" s="18"/>
      <c r="F24" s="19"/>
      <c r="G24" s="20"/>
      <c r="H24" s="20"/>
    </row>
    <row r="25" ht="15.75" customHeight="1">
      <c r="A25" s="8">
        <v>46056</v>
      </c>
      <c r="B25" s="8">
        <v>46058</v>
      </c>
      <c r="C25" s="18"/>
      <c r="F25" s="19"/>
      <c r="G25" s="20"/>
      <c r="H25" s="20"/>
    </row>
    <row r="26" ht="15.75" customHeight="1">
      <c r="A26" s="8">
        <v>46057</v>
      </c>
      <c r="B26" s="21">
        <v>46059</v>
      </c>
      <c r="C26" s="18"/>
      <c r="F26" s="19"/>
      <c r="G26" s="20"/>
      <c r="H26" s="20"/>
    </row>
    <row r="27" ht="15.75" customHeight="1">
      <c r="A27" s="8">
        <v>46058</v>
      </c>
      <c r="B27" s="8">
        <v>46062</v>
      </c>
      <c r="C27" s="18"/>
      <c r="F27" s="19"/>
      <c r="G27" s="20"/>
      <c r="H27" s="20"/>
    </row>
    <row r="28" ht="15.75" customHeight="1">
      <c r="A28" s="8">
        <v>46059</v>
      </c>
      <c r="B28" s="8">
        <v>46063</v>
      </c>
      <c r="C28" s="18"/>
      <c r="F28" s="19"/>
      <c r="G28" s="20"/>
      <c r="H28" s="20"/>
    </row>
    <row r="29" ht="15.75" customHeight="1">
      <c r="A29" s="8">
        <v>46062</v>
      </c>
      <c r="B29" s="8">
        <v>46064</v>
      </c>
      <c r="C29" s="18"/>
      <c r="F29" s="19"/>
      <c r="G29" s="20"/>
      <c r="H29" s="20"/>
    </row>
    <row r="30" ht="15.75" customHeight="1">
      <c r="A30" s="8">
        <v>46063</v>
      </c>
      <c r="B30" s="8">
        <v>46065</v>
      </c>
      <c r="C30" s="18"/>
      <c r="F30" s="19"/>
      <c r="G30" s="20"/>
      <c r="H30" s="20"/>
    </row>
    <row r="31" ht="15.75" customHeight="1">
      <c r="A31" s="8">
        <v>46064</v>
      </c>
      <c r="B31" s="8">
        <v>46066</v>
      </c>
      <c r="C31" s="18"/>
      <c r="F31" s="19"/>
      <c r="G31" s="20"/>
      <c r="H31" s="20"/>
    </row>
    <row r="32" ht="15.75" customHeight="1">
      <c r="A32" s="8">
        <v>46065</v>
      </c>
      <c r="B32" s="8">
        <v>46070</v>
      </c>
      <c r="C32" s="18"/>
      <c r="F32" s="19"/>
      <c r="G32" s="20"/>
      <c r="H32" s="20"/>
    </row>
    <row r="33" ht="15.75" customHeight="1">
      <c r="A33" s="8">
        <v>46066</v>
      </c>
      <c r="B33" s="21">
        <v>46071</v>
      </c>
      <c r="C33" s="18"/>
      <c r="F33" s="19"/>
      <c r="G33" s="20"/>
      <c r="H33" s="20"/>
    </row>
    <row r="34" ht="15.75" customHeight="1">
      <c r="A34" s="8">
        <v>46070</v>
      </c>
      <c r="B34" s="8">
        <v>46072</v>
      </c>
      <c r="C34" s="18">
        <v>100038.56</v>
      </c>
      <c r="F34" s="19" t="s">
        <v>140</v>
      </c>
      <c r="G34" s="20"/>
      <c r="H34" s="20"/>
    </row>
    <row r="35" ht="15.75" customHeight="1">
      <c r="A35" s="8">
        <v>46071</v>
      </c>
      <c r="B35" s="8">
        <v>46073</v>
      </c>
      <c r="C35" s="18">
        <v>5849.83</v>
      </c>
      <c r="F35" s="19" t="s">
        <v>140</v>
      </c>
      <c r="G35" s="20"/>
      <c r="H35" s="20"/>
    </row>
    <row r="36" ht="15.75" customHeight="1">
      <c r="A36" s="8">
        <v>46072</v>
      </c>
      <c r="B36" s="8">
        <v>46076</v>
      </c>
      <c r="C36" s="18">
        <v>478.83</v>
      </c>
      <c r="F36" s="19" t="s">
        <v>140</v>
      </c>
      <c r="G36" s="20"/>
      <c r="H36" s="20"/>
    </row>
    <row r="37" ht="15.75" customHeight="1">
      <c r="A37" s="8">
        <v>46073</v>
      </c>
      <c r="B37" s="8">
        <v>46077</v>
      </c>
      <c r="C37" s="18">
        <v>3962.79</v>
      </c>
      <c r="F37" s="19" t="s">
        <v>140</v>
      </c>
      <c r="G37" s="20"/>
      <c r="H37" s="20"/>
    </row>
    <row r="38" ht="15.75" customHeight="1">
      <c r="A38" s="8">
        <v>46076</v>
      </c>
      <c r="B38" s="8">
        <v>46078</v>
      </c>
      <c r="C38" s="18"/>
      <c r="F38" s="19"/>
      <c r="G38" s="20"/>
      <c r="H38" s="20"/>
    </row>
    <row r="39" ht="15.75" customHeight="1">
      <c r="A39" s="8">
        <v>46077</v>
      </c>
      <c r="B39" s="8">
        <v>46079</v>
      </c>
      <c r="C39" s="18"/>
      <c r="F39" s="19"/>
      <c r="G39" s="20"/>
      <c r="H39" s="20"/>
    </row>
    <row r="40" ht="15.75" customHeight="1">
      <c r="A40" s="8">
        <v>46078</v>
      </c>
      <c r="B40" s="21">
        <v>46080</v>
      </c>
      <c r="C40" s="18"/>
      <c r="F40" s="19"/>
      <c r="G40" s="20"/>
      <c r="H40" s="20"/>
    </row>
    <row r="41" ht="15.75" customHeight="1">
      <c r="A41" s="8">
        <v>46079</v>
      </c>
      <c r="B41" s="8">
        <v>46083</v>
      </c>
      <c r="C41" s="18"/>
      <c r="F41" s="19"/>
      <c r="G41" s="20"/>
      <c r="H41" s="20"/>
    </row>
    <row r="42" ht="15.75" customHeight="1">
      <c r="A42" s="8">
        <v>46080</v>
      </c>
      <c r="B42" s="8">
        <v>46084</v>
      </c>
      <c r="C42" s="18"/>
      <c r="F42" s="19"/>
      <c r="G42" s="20"/>
      <c r="H42" s="20"/>
    </row>
    <row r="43" ht="15.75" customHeight="1">
      <c r="A43" s="48" t="s">
        <v>139</v>
      </c>
      <c r="B43" s="49"/>
      <c r="C43" s="50">
        <f>SUM(C24:C42)</f>
        <v>110330.01</v>
      </c>
      <c r="F43" s="19"/>
      <c r="G43" s="20"/>
      <c r="H43" s="20"/>
    </row>
    <row r="44" ht="15.75" customHeight="1">
      <c r="A44" s="8">
        <v>46083</v>
      </c>
      <c r="B44" s="8">
        <v>46085</v>
      </c>
      <c r="C44" s="18"/>
      <c r="F44" s="19"/>
      <c r="G44" s="20"/>
      <c r="H44" s="20"/>
    </row>
    <row r="45" ht="15.75" customHeight="1">
      <c r="A45" s="8">
        <v>46084</v>
      </c>
      <c r="B45" s="8">
        <v>46086</v>
      </c>
      <c r="C45" s="18"/>
      <c r="F45" s="19"/>
      <c r="G45" s="20"/>
      <c r="H45" s="20"/>
    </row>
    <row r="46" ht="15.75" customHeight="1">
      <c r="A46" s="8">
        <v>46085</v>
      </c>
      <c r="B46" s="8">
        <v>46087</v>
      </c>
      <c r="C46" s="18"/>
      <c r="F46" s="19"/>
      <c r="G46" s="20"/>
      <c r="H46" s="20"/>
    </row>
    <row r="47" ht="15.75" customHeight="1">
      <c r="A47" s="8">
        <v>46086</v>
      </c>
      <c r="B47" s="21">
        <v>46090</v>
      </c>
      <c r="C47" s="18"/>
      <c r="F47" s="19"/>
      <c r="G47" s="20"/>
      <c r="H47" s="20"/>
    </row>
    <row r="48" ht="15.75" customHeight="1">
      <c r="A48" s="8">
        <v>46087</v>
      </c>
      <c r="B48" s="8">
        <v>46091</v>
      </c>
      <c r="C48" s="18">
        <v>478.83</v>
      </c>
      <c r="F48" s="19" t="s">
        <v>140</v>
      </c>
      <c r="G48" s="20"/>
      <c r="H48" s="20"/>
    </row>
    <row r="49" ht="15.75" customHeight="1">
      <c r="A49" s="8">
        <v>46090</v>
      </c>
      <c r="B49" s="8">
        <v>46092</v>
      </c>
      <c r="C49" s="18"/>
      <c r="F49" s="19"/>
      <c r="G49" s="20"/>
      <c r="H49" s="20"/>
    </row>
    <row r="50" ht="15.75" customHeight="1">
      <c r="A50" s="8">
        <v>46091</v>
      </c>
      <c r="B50" s="8">
        <v>46093</v>
      </c>
      <c r="C50" s="18">
        <v>2264.45</v>
      </c>
      <c r="F50" s="19" t="s">
        <v>140</v>
      </c>
      <c r="G50" s="20"/>
      <c r="H50" s="20"/>
    </row>
    <row r="51" ht="15.75" customHeight="1">
      <c r="A51" s="8">
        <v>46092</v>
      </c>
      <c r="B51" s="8">
        <v>46094</v>
      </c>
      <c r="C51" s="18"/>
      <c r="F51" s="19"/>
      <c r="G51" s="20"/>
      <c r="H51" s="20"/>
    </row>
    <row r="52" ht="15.75" customHeight="1">
      <c r="A52" s="8">
        <v>46093</v>
      </c>
      <c r="B52" s="8">
        <v>46097</v>
      </c>
      <c r="C52" s="18"/>
      <c r="F52" s="19"/>
      <c r="G52" s="20"/>
      <c r="H52" s="20"/>
    </row>
    <row r="53" ht="15.75" customHeight="1">
      <c r="A53" s="8">
        <v>46094</v>
      </c>
      <c r="B53" s="8">
        <v>46098</v>
      </c>
      <c r="C53" s="18"/>
      <c r="F53" s="19"/>
      <c r="G53" s="20"/>
      <c r="H53" s="20"/>
    </row>
    <row r="54" ht="15.75" customHeight="1">
      <c r="A54" s="8">
        <v>46097</v>
      </c>
      <c r="B54" s="21">
        <v>46099</v>
      </c>
      <c r="C54" s="18"/>
      <c r="F54" s="19"/>
      <c r="G54" s="20"/>
      <c r="H54" s="20"/>
    </row>
    <row r="55" ht="15.75" customHeight="1">
      <c r="A55" s="8">
        <v>46098</v>
      </c>
      <c r="B55" s="8">
        <v>46100</v>
      </c>
      <c r="C55" s="18">
        <v>84840.85</v>
      </c>
      <c r="F55" s="19" t="s">
        <v>140</v>
      </c>
      <c r="G55" s="20"/>
      <c r="H55" s="20"/>
    </row>
    <row r="56" ht="15.75" customHeight="1">
      <c r="A56" s="8">
        <v>46099</v>
      </c>
      <c r="B56" s="8">
        <v>46101</v>
      </c>
      <c r="C56" s="18">
        <v>23410.91</v>
      </c>
      <c r="F56" s="19" t="s">
        <v>140</v>
      </c>
      <c r="G56" s="20"/>
      <c r="H56" s="20"/>
    </row>
    <row r="57" ht="15.75" customHeight="1">
      <c r="A57" s="8">
        <v>46100</v>
      </c>
      <c r="B57" s="8">
        <v>46104</v>
      </c>
      <c r="C57" s="18"/>
      <c r="F57" s="19"/>
      <c r="G57" s="20"/>
      <c r="H57" s="20"/>
    </row>
    <row r="58" ht="15.75" customHeight="1">
      <c r="A58" s="8">
        <v>46101</v>
      </c>
      <c r="B58" s="8">
        <v>46105</v>
      </c>
      <c r="C58" s="18">
        <v>2311.51</v>
      </c>
      <c r="F58" s="19" t="s">
        <v>140</v>
      </c>
      <c r="G58" s="20"/>
      <c r="H58" s="20"/>
    </row>
    <row r="59" ht="15.75" customHeight="1">
      <c r="A59" s="8">
        <v>46104</v>
      </c>
      <c r="B59" s="8">
        <v>46106</v>
      </c>
      <c r="C59" s="18">
        <v>8215.7</v>
      </c>
      <c r="F59" s="19" t="s">
        <v>140</v>
      </c>
      <c r="G59" s="20"/>
      <c r="H59" s="20"/>
    </row>
    <row r="60" ht="15.75" customHeight="1">
      <c r="A60" s="8">
        <v>46105</v>
      </c>
      <c r="B60" s="8">
        <v>46107</v>
      </c>
      <c r="C60" s="18"/>
      <c r="F60" s="19"/>
      <c r="G60" s="20"/>
      <c r="H60" s="20"/>
    </row>
    <row r="61" ht="15.75" customHeight="1">
      <c r="A61" s="8">
        <v>46106</v>
      </c>
      <c r="B61" s="21">
        <v>46108</v>
      </c>
      <c r="C61" s="18">
        <v>5283.71</v>
      </c>
      <c r="F61" s="19" t="s">
        <v>140</v>
      </c>
      <c r="G61" s="20"/>
      <c r="H61" s="20"/>
    </row>
    <row r="62" ht="15.75" customHeight="1">
      <c r="A62" s="8">
        <v>46107</v>
      </c>
      <c r="B62" s="8">
        <v>46111</v>
      </c>
      <c r="C62" s="18">
        <v>6224.71</v>
      </c>
      <c r="F62" s="19" t="s">
        <v>140</v>
      </c>
      <c r="G62" s="20"/>
      <c r="H62" s="20"/>
    </row>
    <row r="63" ht="15.75" customHeight="1">
      <c r="A63" s="8">
        <v>46108</v>
      </c>
      <c r="B63" s="8">
        <v>46112</v>
      </c>
      <c r="C63" s="18"/>
      <c r="F63" s="19"/>
      <c r="G63" s="20"/>
      <c r="H63" s="20"/>
    </row>
    <row r="64" ht="15.75" customHeight="1">
      <c r="A64" s="8">
        <v>46111</v>
      </c>
      <c r="B64" s="8">
        <v>46113</v>
      </c>
      <c r="C64" s="18"/>
      <c r="F64" s="19"/>
      <c r="G64" s="20"/>
      <c r="H64" s="20"/>
    </row>
    <row r="65" ht="15.75" customHeight="1">
      <c r="A65" s="25">
        <v>46112</v>
      </c>
      <c r="B65" s="26">
        <v>46114</v>
      </c>
      <c r="C65" s="27"/>
      <c r="F65" s="19"/>
      <c r="G65" s="20"/>
      <c r="H65" s="20"/>
    </row>
    <row r="66" ht="15.75" customHeight="1">
      <c r="A66" s="48" t="s">
        <v>139</v>
      </c>
      <c r="B66" s="49"/>
      <c r="C66" s="50">
        <f>SUM(C44:C65)</f>
        <v>133030.67</v>
      </c>
      <c r="F66" s="19"/>
      <c r="G66" s="20" t="s">
        <v>141</v>
      </c>
      <c r="H66" s="65">
        <f>C66*0.01</f>
        <v>1330.3067</v>
      </c>
    </row>
    <row r="67" ht="15.75" customHeight="1">
      <c r="A67" s="8">
        <v>46113</v>
      </c>
      <c r="B67" s="8">
        <v>46115</v>
      </c>
      <c r="C67" s="18"/>
      <c r="F67" s="19"/>
      <c r="G67" s="20"/>
      <c r="H67" s="20"/>
    </row>
    <row r="68" ht="15.75" customHeight="1">
      <c r="A68" s="8">
        <v>46114</v>
      </c>
      <c r="B68" s="8">
        <v>46118</v>
      </c>
      <c r="C68" s="18"/>
      <c r="F68" s="19"/>
      <c r="G68" s="20"/>
      <c r="H68" s="20"/>
    </row>
    <row r="69" ht="15.75" customHeight="1">
      <c r="A69" s="8">
        <v>46115</v>
      </c>
      <c r="B69" s="8">
        <v>46119</v>
      </c>
      <c r="C69" s="18"/>
      <c r="F69" s="19"/>
      <c r="G69" s="20"/>
      <c r="H69" s="20"/>
    </row>
    <row r="70" ht="15.75" customHeight="1">
      <c r="A70" s="8">
        <v>46118</v>
      </c>
      <c r="B70" s="21">
        <v>46120</v>
      </c>
      <c r="C70" s="18"/>
      <c r="F70" s="19"/>
      <c r="G70" s="20"/>
      <c r="H70" s="20"/>
    </row>
    <row r="71" ht="15.75" customHeight="1">
      <c r="A71" s="8">
        <v>46119</v>
      </c>
      <c r="B71" s="8">
        <v>46121</v>
      </c>
      <c r="C71" s="18"/>
      <c r="F71" s="19"/>
      <c r="G71" s="20"/>
      <c r="H71" s="20"/>
    </row>
    <row r="72" ht="15.75" customHeight="1">
      <c r="A72" s="8">
        <v>46120</v>
      </c>
      <c r="B72" s="8">
        <v>46122</v>
      </c>
      <c r="C72" s="18"/>
      <c r="F72" s="19"/>
      <c r="G72" s="20"/>
      <c r="H72" s="20"/>
    </row>
    <row r="73" ht="15.75" customHeight="1">
      <c r="A73" s="8">
        <v>46121</v>
      </c>
      <c r="B73" s="8">
        <v>46125</v>
      </c>
      <c r="C73" s="18"/>
      <c r="F73" s="19"/>
      <c r="G73" s="20"/>
      <c r="H73" s="20"/>
    </row>
    <row r="74" ht="15.75" customHeight="1">
      <c r="A74" s="8">
        <v>46122</v>
      </c>
      <c r="B74" s="8">
        <v>46126</v>
      </c>
      <c r="C74" s="18"/>
      <c r="F74" s="19"/>
      <c r="G74" s="20"/>
      <c r="H74" s="20"/>
    </row>
    <row r="75" ht="15.75" customHeight="1">
      <c r="A75" s="8">
        <v>46125</v>
      </c>
      <c r="B75" s="8">
        <v>46127</v>
      </c>
      <c r="C75" s="18"/>
      <c r="F75" s="19"/>
      <c r="G75" s="20"/>
      <c r="H75" s="20"/>
    </row>
    <row r="76" ht="15.75" customHeight="1">
      <c r="A76" s="8">
        <v>46126</v>
      </c>
      <c r="B76" s="8">
        <v>46128</v>
      </c>
      <c r="C76" s="18"/>
      <c r="F76" s="19"/>
      <c r="G76" s="20"/>
      <c r="H76" s="20"/>
    </row>
    <row r="77" ht="15.75" customHeight="1">
      <c r="A77" s="8">
        <v>46127</v>
      </c>
      <c r="B77" s="21">
        <v>46129</v>
      </c>
      <c r="C77" s="18">
        <v>72.91</v>
      </c>
      <c r="F77" s="19" t="s">
        <v>140</v>
      </c>
      <c r="G77" s="20"/>
      <c r="H77" s="20"/>
    </row>
    <row r="78" ht="15.75" customHeight="1">
      <c r="A78" s="8">
        <v>46128</v>
      </c>
      <c r="B78" s="8">
        <v>46132</v>
      </c>
      <c r="C78" s="18">
        <v>178360</v>
      </c>
      <c r="F78" s="19" t="s">
        <v>140</v>
      </c>
      <c r="G78" s="20"/>
      <c r="H78" s="20"/>
    </row>
    <row r="79" ht="15.75" customHeight="1">
      <c r="A79" s="8">
        <v>46129</v>
      </c>
      <c r="B79" s="8">
        <v>46133</v>
      </c>
      <c r="C79" s="18">
        <v>38824.97</v>
      </c>
      <c r="F79" s="19" t="s">
        <v>140</v>
      </c>
      <c r="G79" s="20"/>
      <c r="H79" s="20"/>
    </row>
    <row r="80" ht="15.75" customHeight="1">
      <c r="A80" s="8">
        <v>46132</v>
      </c>
      <c r="B80" s="8">
        <v>46134</v>
      </c>
      <c r="C80" s="18">
        <v>1951.88</v>
      </c>
      <c r="F80" s="19" t="s">
        <v>140</v>
      </c>
      <c r="G80" s="20"/>
      <c r="H80" s="20"/>
    </row>
    <row r="81" ht="15.75" customHeight="1">
      <c r="A81" s="8">
        <v>46133</v>
      </c>
      <c r="B81" s="8">
        <v>46135</v>
      </c>
      <c r="C81" s="18">
        <v>754.83</v>
      </c>
      <c r="F81" s="19" t="s">
        <v>140</v>
      </c>
      <c r="G81" s="20"/>
      <c r="H81" s="20"/>
    </row>
    <row r="82" ht="15.75" customHeight="1">
      <c r="A82" s="8">
        <v>46134</v>
      </c>
      <c r="B82" s="8">
        <v>46136</v>
      </c>
      <c r="C82" s="18">
        <v>10534.11</v>
      </c>
      <c r="F82" s="19" t="s">
        <v>140</v>
      </c>
      <c r="G82" s="20"/>
      <c r="H82" s="20"/>
    </row>
    <row r="83" ht="15.75" customHeight="1">
      <c r="A83" s="8">
        <v>46135</v>
      </c>
      <c r="B83" s="8">
        <v>46139</v>
      </c>
      <c r="C83" s="18">
        <v>9639.02</v>
      </c>
      <c r="F83" s="19" t="s">
        <v>142</v>
      </c>
      <c r="G83" s="20"/>
      <c r="H83" s="20"/>
    </row>
    <row r="84" ht="15.75" customHeight="1">
      <c r="A84" s="8">
        <v>46136</v>
      </c>
      <c r="B84" s="21">
        <v>46140</v>
      </c>
      <c r="C84" s="18"/>
      <c r="F84" s="19"/>
      <c r="G84" s="20"/>
      <c r="H84" s="20"/>
    </row>
    <row r="85" ht="15.75" customHeight="1">
      <c r="A85" s="8">
        <v>46139</v>
      </c>
      <c r="B85" s="8">
        <v>46141</v>
      </c>
      <c r="C85" s="18">
        <v>1675.88</v>
      </c>
      <c r="F85" s="19" t="s">
        <v>142</v>
      </c>
      <c r="G85" s="20"/>
      <c r="H85" s="20"/>
    </row>
    <row r="86" ht="15.75" customHeight="1">
      <c r="A86" s="8">
        <v>46140</v>
      </c>
      <c r="B86" s="8">
        <v>46142</v>
      </c>
      <c r="C86" s="18">
        <v>184.94</v>
      </c>
      <c r="F86" s="19" t="s">
        <v>142</v>
      </c>
      <c r="G86" s="20"/>
      <c r="H86" s="20"/>
    </row>
    <row r="87" ht="15.75" customHeight="1">
      <c r="A87" s="8">
        <v>46141</v>
      </c>
      <c r="B87" s="8">
        <v>46143</v>
      </c>
      <c r="C87" s="18"/>
      <c r="D87" s="11">
        <v>1407.74</v>
      </c>
      <c r="E87" s="11">
        <v>1407.74</v>
      </c>
      <c r="F87" s="19" t="s">
        <v>142</v>
      </c>
      <c r="G87" s="20"/>
      <c r="H87" s="20"/>
    </row>
    <row r="88" ht="15.75" customHeight="1">
      <c r="A88" s="8">
        <v>46142</v>
      </c>
      <c r="B88" s="8">
        <v>46146</v>
      </c>
      <c r="C88" s="18"/>
      <c r="F88" s="19"/>
      <c r="G88" s="20"/>
      <c r="H88" s="20"/>
    </row>
    <row r="89" ht="15.75" customHeight="1">
      <c r="A89" s="48" t="s">
        <v>139</v>
      </c>
      <c r="B89" s="49"/>
      <c r="C89" s="50">
        <f>SUM(C67:C88)</f>
        <v>241998.54</v>
      </c>
      <c r="F89" s="19"/>
      <c r="G89" s="20"/>
      <c r="H89" s="20"/>
    </row>
    <row r="90" ht="15.75" customHeight="1">
      <c r="A90" s="8">
        <v>46143</v>
      </c>
      <c r="B90" s="8">
        <v>46147</v>
      </c>
      <c r="C90" s="22"/>
      <c r="F90" s="19"/>
      <c r="G90" s="20"/>
      <c r="H90" s="20"/>
    </row>
    <row r="91" ht="15.75" customHeight="1">
      <c r="A91" s="8">
        <v>46146</v>
      </c>
      <c r="B91" s="8">
        <v>46148</v>
      </c>
      <c r="C91" s="23">
        <v>540.71</v>
      </c>
      <c r="F91" s="19" t="s">
        <v>142</v>
      </c>
      <c r="G91" s="20"/>
      <c r="H91" s="20"/>
    </row>
    <row r="92" ht="15.75" customHeight="1">
      <c r="A92" s="8">
        <v>46147</v>
      </c>
      <c r="B92" s="21">
        <v>46149</v>
      </c>
      <c r="C92" s="23"/>
      <c r="F92" s="19"/>
      <c r="G92" s="20"/>
      <c r="H92" s="20"/>
    </row>
    <row r="93" ht="15.75" customHeight="1">
      <c r="A93" s="8">
        <v>46148</v>
      </c>
      <c r="B93" s="8">
        <v>46150</v>
      </c>
      <c r="C93" s="23"/>
      <c r="D93" s="11">
        <v>2183.08</v>
      </c>
      <c r="E93" s="11">
        <v>2183.08</v>
      </c>
      <c r="F93" s="19" t="s">
        <v>142</v>
      </c>
      <c r="G93" s="20"/>
      <c r="H93" s="20"/>
    </row>
    <row r="94" ht="15.75" customHeight="1">
      <c r="A94" s="8">
        <v>46149</v>
      </c>
      <c r="B94" s="8">
        <v>46153</v>
      </c>
      <c r="C94" s="23"/>
      <c r="D94" s="11">
        <v>739.74</v>
      </c>
      <c r="E94" s="11">
        <v>739.74</v>
      </c>
      <c r="F94" s="19" t="s">
        <v>142</v>
      </c>
      <c r="G94" s="20"/>
      <c r="H94" s="20"/>
    </row>
    <row r="95" ht="15.75" customHeight="1">
      <c r="A95" s="8">
        <v>46150</v>
      </c>
      <c r="B95" s="8">
        <v>46154</v>
      </c>
      <c r="C95" s="23"/>
      <c r="F95" s="19"/>
      <c r="G95" s="20"/>
      <c r="H95" s="20"/>
    </row>
    <row r="96" ht="15.75" customHeight="1">
      <c r="A96" s="8">
        <v>46153</v>
      </c>
      <c r="B96" s="8">
        <v>46155</v>
      </c>
      <c r="C96" s="23"/>
      <c r="F96" s="19"/>
      <c r="G96" s="20"/>
      <c r="H96" s="20"/>
    </row>
    <row r="97" ht="15.75" customHeight="1">
      <c r="A97" s="8">
        <v>46154</v>
      </c>
      <c r="B97" s="8">
        <v>46156</v>
      </c>
      <c r="C97" s="23"/>
      <c r="F97" s="19"/>
      <c r="G97" s="20"/>
      <c r="H97" s="20"/>
    </row>
    <row r="98" ht="15.75" customHeight="1">
      <c r="A98" s="8">
        <v>46155</v>
      </c>
      <c r="B98" s="8">
        <v>46157</v>
      </c>
      <c r="C98" s="23"/>
      <c r="F98" s="19"/>
      <c r="G98" s="20"/>
      <c r="H98" s="20"/>
    </row>
    <row r="99" ht="15.75" customHeight="1">
      <c r="A99" s="8">
        <v>46156</v>
      </c>
      <c r="B99" s="21">
        <v>46160</v>
      </c>
      <c r="C99" s="23"/>
      <c r="F99" s="19"/>
      <c r="G99" s="20"/>
      <c r="H99" s="20"/>
    </row>
    <row r="100" ht="15.75" customHeight="1">
      <c r="A100" s="8">
        <v>46157</v>
      </c>
      <c r="B100" s="8">
        <v>46161</v>
      </c>
      <c r="C100" s="23"/>
      <c r="F100" s="19"/>
      <c r="G100" s="20"/>
      <c r="H100" s="20"/>
    </row>
    <row r="101" ht="15.75" customHeight="1">
      <c r="A101" s="8">
        <v>46160</v>
      </c>
      <c r="B101" s="8">
        <v>46162</v>
      </c>
      <c r="C101" s="23"/>
      <c r="F101" s="19"/>
      <c r="G101" s="20"/>
      <c r="H101" s="20"/>
    </row>
    <row r="102" ht="15.75" customHeight="1">
      <c r="A102" s="8">
        <v>46161</v>
      </c>
      <c r="B102" s="8">
        <v>46163</v>
      </c>
      <c r="C102" s="23"/>
      <c r="F102" s="19"/>
      <c r="G102" s="20"/>
      <c r="H102" s="20"/>
    </row>
    <row r="103" ht="15.75" customHeight="1">
      <c r="A103" s="8">
        <v>46162</v>
      </c>
      <c r="B103" s="8">
        <v>46164</v>
      </c>
      <c r="C103" s="23"/>
      <c r="F103" s="19"/>
      <c r="G103" s="20"/>
      <c r="H103" s="20"/>
    </row>
    <row r="104" ht="15.75" customHeight="1">
      <c r="A104" s="8">
        <v>46163</v>
      </c>
      <c r="B104" s="8">
        <v>46168</v>
      </c>
      <c r="C104" s="23"/>
      <c r="F104" s="19"/>
      <c r="G104" s="20"/>
      <c r="H104" s="20"/>
    </row>
    <row r="105" ht="15.75" customHeight="1">
      <c r="A105" s="8">
        <v>46164</v>
      </c>
      <c r="B105" s="8">
        <v>46169</v>
      </c>
      <c r="C105" s="23"/>
      <c r="F105" s="19"/>
      <c r="G105" s="20"/>
      <c r="H105" s="20"/>
    </row>
    <row r="106" ht="15.75" customHeight="1">
      <c r="A106" s="8">
        <v>46168</v>
      </c>
      <c r="B106" s="21">
        <v>46170</v>
      </c>
      <c r="C106" s="23"/>
      <c r="F106" s="19"/>
      <c r="G106" s="20"/>
      <c r="H106" s="20"/>
    </row>
    <row r="107" ht="15.75" customHeight="1">
      <c r="A107" s="8">
        <v>46169</v>
      </c>
      <c r="B107" s="8">
        <v>46171</v>
      </c>
      <c r="C107" s="23"/>
      <c r="F107" s="19"/>
      <c r="G107" s="20"/>
      <c r="H107" s="20"/>
    </row>
    <row r="108" ht="15.75" customHeight="1">
      <c r="A108" s="8">
        <v>46170</v>
      </c>
      <c r="B108" s="8">
        <v>46174</v>
      </c>
      <c r="C108" s="23"/>
      <c r="F108" s="19"/>
      <c r="G108" s="20"/>
      <c r="H108" s="20"/>
    </row>
    <row r="109" ht="15.75" customHeight="1">
      <c r="A109" s="8">
        <v>46171</v>
      </c>
      <c r="B109" s="8">
        <v>46175</v>
      </c>
      <c r="C109" s="23"/>
      <c r="F109" s="19"/>
      <c r="G109" s="20"/>
      <c r="H109" s="20"/>
    </row>
    <row r="110" ht="15.75" customHeight="1">
      <c r="A110" s="48" t="s">
        <v>139</v>
      </c>
      <c r="B110" s="49"/>
      <c r="C110" s="50">
        <f>SUM(C90:C109)</f>
        <v>540.71</v>
      </c>
      <c r="F110" s="19"/>
      <c r="G110" s="20"/>
      <c r="H110" s="20"/>
    </row>
    <row r="111" ht="15.75" customHeight="1">
      <c r="A111" s="8">
        <v>46174</v>
      </c>
      <c r="B111" s="8">
        <v>46176</v>
      </c>
      <c r="C111" s="23"/>
      <c r="F111" s="19"/>
      <c r="G111" s="20"/>
      <c r="H111" s="20"/>
    </row>
    <row r="112" ht="15.75" customHeight="1">
      <c r="A112" s="8">
        <v>46175</v>
      </c>
      <c r="B112" s="21">
        <v>46177</v>
      </c>
      <c r="C112" s="23"/>
      <c r="F112" s="19"/>
      <c r="G112" s="20"/>
      <c r="H112" s="20"/>
    </row>
    <row r="113" ht="15.75" customHeight="1">
      <c r="A113" s="8">
        <v>46176</v>
      </c>
      <c r="B113" s="8">
        <v>46178</v>
      </c>
      <c r="C113" s="23"/>
      <c r="F113" s="19"/>
      <c r="G113" s="20"/>
      <c r="H113" s="20"/>
    </row>
    <row r="114" ht="15.75" customHeight="1">
      <c r="A114" s="8">
        <v>46177</v>
      </c>
      <c r="B114" s="8">
        <v>46181</v>
      </c>
      <c r="C114" s="23"/>
      <c r="F114" s="19"/>
      <c r="G114" s="20"/>
      <c r="H114" s="20"/>
    </row>
    <row r="115" ht="15.75" customHeight="1">
      <c r="A115" s="8">
        <v>46178</v>
      </c>
      <c r="B115" s="8">
        <v>46182</v>
      </c>
      <c r="C115" s="23"/>
      <c r="F115" s="19"/>
      <c r="G115" s="20"/>
      <c r="H115" s="20"/>
    </row>
    <row r="116" ht="15.75" customHeight="1">
      <c r="A116" s="8">
        <v>46181</v>
      </c>
      <c r="B116" s="8">
        <v>46183</v>
      </c>
      <c r="C116" s="23"/>
      <c r="F116" s="19"/>
      <c r="G116" s="20"/>
      <c r="H116" s="20"/>
    </row>
    <row r="117" ht="15.75" customHeight="1">
      <c r="A117" s="8">
        <v>46182</v>
      </c>
      <c r="B117" s="8">
        <v>46184</v>
      </c>
      <c r="C117" s="23"/>
      <c r="F117" s="19"/>
      <c r="G117" s="20"/>
      <c r="H117" s="20"/>
    </row>
    <row r="118" ht="15.75" customHeight="1">
      <c r="A118" s="8">
        <v>46183</v>
      </c>
      <c r="B118" s="8">
        <v>46185</v>
      </c>
      <c r="C118" s="23"/>
      <c r="F118" s="19"/>
      <c r="G118" s="20"/>
      <c r="H118" s="20"/>
    </row>
    <row r="119" ht="15.75" customHeight="1">
      <c r="A119" s="8">
        <v>46184</v>
      </c>
      <c r="B119" s="21">
        <v>46188</v>
      </c>
      <c r="C119" s="23"/>
      <c r="F119" s="19"/>
      <c r="G119" s="20"/>
      <c r="H119" s="20"/>
    </row>
    <row r="120" ht="15.75" customHeight="1">
      <c r="A120" s="8">
        <v>46185</v>
      </c>
      <c r="B120" s="8">
        <v>46189</v>
      </c>
      <c r="C120" s="23"/>
      <c r="F120" s="19"/>
      <c r="G120" s="20"/>
      <c r="H120" s="20"/>
    </row>
    <row r="121" ht="15.75" customHeight="1">
      <c r="A121" s="8">
        <v>46188</v>
      </c>
      <c r="B121" s="8">
        <v>46190</v>
      </c>
      <c r="C121" s="23"/>
      <c r="F121" s="19"/>
      <c r="G121" s="20"/>
      <c r="H121" s="20"/>
    </row>
    <row r="122" ht="15.75" customHeight="1">
      <c r="A122" s="8">
        <v>46189</v>
      </c>
      <c r="B122" s="8">
        <v>46191</v>
      </c>
      <c r="C122" s="23"/>
      <c r="F122" s="19"/>
      <c r="G122" s="20"/>
      <c r="H122" s="20"/>
    </row>
    <row r="123" ht="15.75" customHeight="1">
      <c r="A123" s="8">
        <v>46190</v>
      </c>
      <c r="B123" s="8">
        <v>46195</v>
      </c>
      <c r="C123" s="23"/>
      <c r="F123" s="19"/>
      <c r="G123" s="20"/>
      <c r="H123" s="20"/>
    </row>
    <row r="124" ht="15.75" customHeight="1">
      <c r="A124" s="8">
        <v>46191</v>
      </c>
      <c r="B124" s="8">
        <v>46196</v>
      </c>
      <c r="C124" s="23"/>
      <c r="F124" s="19"/>
      <c r="G124" s="20"/>
      <c r="H124" s="20"/>
    </row>
    <row r="125" ht="15.75" customHeight="1">
      <c r="A125" s="8">
        <v>46195</v>
      </c>
      <c r="B125" s="8">
        <v>46197</v>
      </c>
      <c r="C125" s="23"/>
      <c r="F125" s="19"/>
      <c r="G125" s="20"/>
      <c r="H125" s="20"/>
    </row>
    <row r="126" ht="15.75" customHeight="1">
      <c r="A126" s="8">
        <v>46196</v>
      </c>
      <c r="B126" s="21">
        <v>46198</v>
      </c>
      <c r="C126" s="23"/>
      <c r="F126" s="19"/>
      <c r="G126" s="20"/>
      <c r="H126" s="20"/>
    </row>
    <row r="127" ht="15.75" customHeight="1">
      <c r="A127" s="8">
        <v>46197</v>
      </c>
      <c r="B127" s="8">
        <v>46199</v>
      </c>
      <c r="C127" s="23"/>
      <c r="F127" s="19"/>
      <c r="G127" s="20"/>
      <c r="H127" s="20"/>
    </row>
    <row r="128" ht="15.75" customHeight="1">
      <c r="A128" s="8">
        <v>46198</v>
      </c>
      <c r="B128" s="8">
        <v>46202</v>
      </c>
      <c r="C128" s="23"/>
      <c r="F128" s="19"/>
      <c r="G128" s="20"/>
      <c r="H128" s="20"/>
    </row>
    <row r="129" ht="15.75" customHeight="1">
      <c r="A129" s="8">
        <v>46199</v>
      </c>
      <c r="B129" s="8">
        <v>46203</v>
      </c>
      <c r="C129" s="23"/>
      <c r="F129" s="19"/>
      <c r="G129" s="20"/>
      <c r="H129" s="20"/>
    </row>
    <row r="130" ht="15.75" customHeight="1">
      <c r="A130" s="8">
        <v>46202</v>
      </c>
      <c r="B130" s="8">
        <v>46204</v>
      </c>
      <c r="C130" s="23"/>
      <c r="F130" s="19"/>
      <c r="G130" s="20"/>
      <c r="H130" s="20"/>
    </row>
    <row r="131" ht="15.75" customHeight="1">
      <c r="A131" s="8">
        <v>46203</v>
      </c>
      <c r="B131" s="8">
        <v>46205</v>
      </c>
      <c r="C131" s="23"/>
      <c r="F131" s="19"/>
      <c r="G131" s="20"/>
      <c r="H131" s="20"/>
    </row>
    <row r="132" ht="15.75" customHeight="1">
      <c r="A132" s="48" t="s">
        <v>139</v>
      </c>
      <c r="B132" s="49"/>
      <c r="C132" s="50">
        <f>SUM(C111:C131)</f>
        <v>0</v>
      </c>
      <c r="F132" s="19"/>
      <c r="G132" s="20"/>
      <c r="H132" s="20"/>
    </row>
    <row r="133" ht="15.75" customHeight="1">
      <c r="A133" s="8">
        <v>46204</v>
      </c>
      <c r="B133" s="8">
        <v>46209</v>
      </c>
      <c r="C133" s="23"/>
      <c r="F133" s="19"/>
      <c r="G133" s="20"/>
      <c r="H133" s="20"/>
    </row>
    <row r="134" ht="15.75" customHeight="1">
      <c r="A134" s="8">
        <v>46205</v>
      </c>
      <c r="B134" s="21">
        <v>46210</v>
      </c>
      <c r="C134" s="23"/>
      <c r="F134" s="19"/>
      <c r="G134" s="20"/>
      <c r="H134" s="20"/>
    </row>
    <row r="135" ht="15.75" customHeight="1">
      <c r="A135" s="8">
        <v>46209</v>
      </c>
      <c r="B135" s="8">
        <v>46211</v>
      </c>
      <c r="C135" s="23"/>
      <c r="F135" s="19"/>
      <c r="G135" s="20"/>
      <c r="H135" s="20"/>
    </row>
    <row r="136" ht="15.75" customHeight="1">
      <c r="A136" s="8">
        <v>46210</v>
      </c>
      <c r="B136" s="8">
        <v>46212</v>
      </c>
      <c r="C136" s="23"/>
      <c r="F136" s="19"/>
      <c r="G136" s="20"/>
      <c r="H136" s="20"/>
    </row>
    <row r="137" ht="15.75" customHeight="1">
      <c r="A137" s="8">
        <v>46211</v>
      </c>
      <c r="B137" s="8">
        <v>46213</v>
      </c>
      <c r="C137" s="23"/>
      <c r="F137" s="19"/>
      <c r="G137" s="20"/>
      <c r="H137" s="20"/>
    </row>
    <row r="138" ht="15.75" customHeight="1">
      <c r="A138" s="8">
        <v>46212</v>
      </c>
      <c r="B138" s="8">
        <v>46216</v>
      </c>
      <c r="C138" s="23"/>
      <c r="F138" s="19"/>
      <c r="G138" s="20"/>
      <c r="H138" s="20"/>
    </row>
    <row r="139" ht="15.75" customHeight="1">
      <c r="A139" s="8">
        <v>46213</v>
      </c>
      <c r="B139" s="8">
        <v>46217</v>
      </c>
      <c r="C139" s="23"/>
      <c r="F139" s="19"/>
      <c r="G139" s="20"/>
      <c r="H139" s="20"/>
    </row>
    <row r="140" ht="15.75" customHeight="1">
      <c r="A140" s="8">
        <v>46216</v>
      </c>
      <c r="B140" s="21">
        <v>46218</v>
      </c>
      <c r="C140" s="23"/>
      <c r="F140" s="19"/>
      <c r="G140" s="20"/>
      <c r="H140" s="20"/>
    </row>
    <row r="141" ht="15.75" customHeight="1">
      <c r="A141" s="8">
        <v>46217</v>
      </c>
      <c r="B141" s="8">
        <v>46219</v>
      </c>
      <c r="C141" s="23"/>
      <c r="F141" s="19"/>
      <c r="G141" s="20"/>
      <c r="H141" s="20"/>
    </row>
    <row r="142" ht="15.75" customHeight="1">
      <c r="A142" s="8">
        <v>46218</v>
      </c>
      <c r="B142" s="8">
        <v>46220</v>
      </c>
      <c r="C142" s="23"/>
      <c r="F142" s="19"/>
      <c r="G142" s="20"/>
      <c r="H142" s="20"/>
    </row>
    <row r="143" ht="15.75" customHeight="1">
      <c r="A143" s="8">
        <v>46219</v>
      </c>
      <c r="B143" s="8">
        <v>46223</v>
      </c>
      <c r="C143" s="23"/>
      <c r="F143" s="19"/>
      <c r="G143" s="20"/>
      <c r="H143" s="20"/>
    </row>
    <row r="144" ht="15.75" customHeight="1">
      <c r="A144" s="8">
        <v>46220</v>
      </c>
      <c r="B144" s="8">
        <v>46224</v>
      </c>
      <c r="C144" s="23"/>
      <c r="F144" s="19"/>
      <c r="G144" s="20"/>
      <c r="H144" s="20"/>
    </row>
    <row r="145" ht="15.75" customHeight="1">
      <c r="A145" s="8">
        <v>46223</v>
      </c>
      <c r="B145" s="8">
        <v>46225</v>
      </c>
      <c r="C145" s="23"/>
      <c r="F145" s="19"/>
      <c r="G145" s="20"/>
      <c r="H145" s="20"/>
    </row>
    <row r="146" ht="15.75" customHeight="1">
      <c r="A146" s="8">
        <v>46224</v>
      </c>
      <c r="B146" s="8">
        <v>46226</v>
      </c>
      <c r="C146" s="23"/>
      <c r="F146" s="19"/>
      <c r="G146" s="20"/>
      <c r="H146" s="20"/>
    </row>
    <row r="147" ht="15.75" customHeight="1">
      <c r="A147" s="8">
        <v>46225</v>
      </c>
      <c r="B147" s="21">
        <v>46227</v>
      </c>
      <c r="C147" s="23"/>
      <c r="F147" s="19"/>
      <c r="G147" s="20"/>
      <c r="H147" s="20"/>
    </row>
    <row r="148" ht="15.75" customHeight="1">
      <c r="A148" s="8">
        <v>46226</v>
      </c>
      <c r="B148" s="8">
        <v>46230</v>
      </c>
      <c r="C148" s="23"/>
      <c r="F148" s="19"/>
      <c r="G148" s="20"/>
      <c r="H148" s="20"/>
    </row>
    <row r="149" ht="15.75" customHeight="1">
      <c r="A149" s="8">
        <v>46227</v>
      </c>
      <c r="B149" s="8">
        <v>46231</v>
      </c>
      <c r="C149" s="23"/>
      <c r="F149" s="19"/>
      <c r="G149" s="20"/>
      <c r="H149" s="20"/>
    </row>
    <row r="150" ht="15.75" customHeight="1">
      <c r="A150" s="8">
        <v>46230</v>
      </c>
      <c r="B150" s="8">
        <v>46232</v>
      </c>
      <c r="C150" s="23"/>
      <c r="F150" s="19"/>
      <c r="G150" s="20"/>
      <c r="H150" s="20"/>
    </row>
    <row r="151" ht="15.75" customHeight="1">
      <c r="A151" s="8">
        <v>46231</v>
      </c>
      <c r="B151" s="8">
        <v>46233</v>
      </c>
      <c r="C151" s="23"/>
      <c r="F151" s="19"/>
      <c r="G151" s="20"/>
      <c r="H151" s="20"/>
    </row>
    <row r="152" ht="15.75" customHeight="1">
      <c r="A152" s="8">
        <v>46232</v>
      </c>
      <c r="B152" s="8">
        <v>46234</v>
      </c>
      <c r="C152" s="23"/>
      <c r="F152" s="19"/>
      <c r="G152" s="20"/>
      <c r="H152" s="20"/>
    </row>
    <row r="153" ht="15.75" customHeight="1">
      <c r="A153" s="8">
        <v>46233</v>
      </c>
      <c r="B153" s="8">
        <v>46237</v>
      </c>
      <c r="C153" s="23"/>
      <c r="F153" s="19"/>
      <c r="G153" s="20"/>
      <c r="H153" s="20"/>
    </row>
    <row r="154" ht="15.75" customHeight="1">
      <c r="A154" s="8">
        <v>46234</v>
      </c>
      <c r="B154" s="21">
        <v>46238</v>
      </c>
      <c r="C154" s="23"/>
      <c r="F154" s="19"/>
      <c r="G154" s="20"/>
      <c r="H154" s="20"/>
    </row>
    <row r="155" ht="15.75" customHeight="1">
      <c r="A155" s="48" t="s">
        <v>139</v>
      </c>
      <c r="B155" s="49"/>
      <c r="C155" s="50">
        <f>SUM(C133:C154)</f>
        <v>0</v>
      </c>
      <c r="F155" s="19"/>
      <c r="G155" s="20"/>
      <c r="H155" s="20"/>
    </row>
    <row r="156" ht="15.75" customHeight="1">
      <c r="A156" s="8">
        <v>46237</v>
      </c>
      <c r="B156" s="8">
        <v>46239</v>
      </c>
      <c r="C156" s="23"/>
      <c r="F156" s="19"/>
      <c r="G156" s="20"/>
      <c r="H156" s="20"/>
    </row>
    <row r="157" ht="15.75" customHeight="1">
      <c r="A157" s="8">
        <v>46238</v>
      </c>
      <c r="B157" s="8">
        <v>46240</v>
      </c>
      <c r="C157" s="23"/>
      <c r="F157" s="19"/>
      <c r="G157" s="20"/>
      <c r="H157" s="20"/>
    </row>
    <row r="158" ht="15.75" customHeight="1">
      <c r="A158" s="8">
        <v>46239</v>
      </c>
      <c r="B158" s="8">
        <v>46241</v>
      </c>
      <c r="C158" s="23"/>
      <c r="F158" s="19"/>
      <c r="G158" s="20"/>
      <c r="H158" s="20"/>
    </row>
    <row r="159" ht="15.75" customHeight="1">
      <c r="A159" s="8">
        <v>46240</v>
      </c>
      <c r="B159" s="8">
        <v>46244</v>
      </c>
      <c r="C159" s="23"/>
      <c r="F159" s="19"/>
      <c r="G159" s="20"/>
      <c r="H159" s="20"/>
    </row>
    <row r="160" ht="15.75" customHeight="1">
      <c r="A160" s="8">
        <v>46241</v>
      </c>
      <c r="B160" s="8">
        <v>46245</v>
      </c>
      <c r="C160" s="23"/>
      <c r="F160" s="19"/>
      <c r="G160" s="20"/>
      <c r="H160" s="20"/>
    </row>
    <row r="161" ht="15.75" customHeight="1">
      <c r="A161" s="8">
        <v>46244</v>
      </c>
      <c r="B161" s="8">
        <v>46246</v>
      </c>
      <c r="C161" s="23"/>
      <c r="F161" s="19"/>
      <c r="G161" s="20"/>
      <c r="H161" s="20"/>
    </row>
    <row r="162" ht="15.75" customHeight="1">
      <c r="A162" s="8">
        <v>46245</v>
      </c>
      <c r="B162" s="21">
        <v>46247</v>
      </c>
      <c r="C162" s="23"/>
      <c r="F162" s="19"/>
      <c r="G162" s="20"/>
      <c r="H162" s="20"/>
    </row>
    <row r="163" ht="15.75" customHeight="1">
      <c r="A163" s="8">
        <v>46246</v>
      </c>
      <c r="B163" s="8">
        <v>46248</v>
      </c>
      <c r="C163" s="23"/>
      <c r="F163" s="19"/>
      <c r="G163" s="20"/>
      <c r="H163" s="20"/>
    </row>
    <row r="164" ht="15.75" customHeight="1">
      <c r="A164" s="8">
        <v>46247</v>
      </c>
      <c r="B164" s="8">
        <v>46251</v>
      </c>
      <c r="C164" s="23"/>
      <c r="F164" s="19"/>
      <c r="G164" s="20"/>
      <c r="H164" s="20"/>
    </row>
    <row r="165" ht="15.75" customHeight="1">
      <c r="A165" s="8">
        <v>46248</v>
      </c>
      <c r="B165" s="8">
        <v>46252</v>
      </c>
      <c r="C165" s="23"/>
      <c r="F165" s="19"/>
      <c r="G165" s="20"/>
      <c r="H165" s="20"/>
    </row>
    <row r="166" ht="15.75" customHeight="1">
      <c r="A166" s="8">
        <v>46251</v>
      </c>
      <c r="B166" s="8">
        <v>46253</v>
      </c>
      <c r="C166" s="23"/>
      <c r="F166" s="19"/>
      <c r="G166" s="20"/>
      <c r="H166" s="20"/>
    </row>
    <row r="167" ht="15.75" customHeight="1">
      <c r="A167" s="8">
        <v>46252</v>
      </c>
      <c r="B167" s="8">
        <v>46254</v>
      </c>
      <c r="C167" s="23"/>
      <c r="F167" s="19"/>
      <c r="G167" s="20"/>
      <c r="H167" s="20"/>
    </row>
    <row r="168" ht="15.75" customHeight="1">
      <c r="A168" s="8">
        <v>46253</v>
      </c>
      <c r="B168" s="8">
        <v>46255</v>
      </c>
      <c r="C168" s="23"/>
      <c r="F168" s="19"/>
      <c r="G168" s="20"/>
      <c r="H168" s="20"/>
    </row>
    <row r="169" ht="15.75" customHeight="1">
      <c r="A169" s="8">
        <v>46254</v>
      </c>
      <c r="B169" s="21">
        <v>46258</v>
      </c>
      <c r="C169" s="23"/>
      <c r="F169" s="19"/>
      <c r="G169" s="20"/>
      <c r="H169" s="20"/>
    </row>
    <row r="170" ht="15.75" customHeight="1">
      <c r="A170" s="8">
        <v>46255</v>
      </c>
      <c r="B170" s="8">
        <v>46259</v>
      </c>
      <c r="C170" s="23"/>
      <c r="F170" s="19"/>
      <c r="G170" s="20"/>
      <c r="H170" s="20"/>
    </row>
    <row r="171" ht="15.75" customHeight="1">
      <c r="A171" s="8">
        <v>46258</v>
      </c>
      <c r="B171" s="8">
        <v>46260</v>
      </c>
      <c r="C171" s="23"/>
      <c r="F171" s="19"/>
      <c r="G171" s="20"/>
      <c r="H171" s="20"/>
    </row>
    <row r="172" ht="15.75" customHeight="1">
      <c r="A172" s="8">
        <v>46259</v>
      </c>
      <c r="B172" s="8">
        <v>46261</v>
      </c>
      <c r="C172" s="23"/>
      <c r="F172" s="19"/>
      <c r="G172" s="20"/>
      <c r="H172" s="20"/>
    </row>
    <row r="173" ht="15.75" customHeight="1">
      <c r="A173" s="8">
        <v>46260</v>
      </c>
      <c r="B173" s="8">
        <v>46262</v>
      </c>
      <c r="C173" s="23"/>
      <c r="F173" s="19"/>
      <c r="G173" s="20"/>
      <c r="H173" s="20"/>
    </row>
    <row r="174" ht="15.75" customHeight="1">
      <c r="A174" s="8">
        <v>46261</v>
      </c>
      <c r="B174" s="8">
        <v>46265</v>
      </c>
      <c r="C174" s="23"/>
      <c r="F174" s="19"/>
      <c r="G174" s="20"/>
      <c r="H174" s="20"/>
    </row>
    <row r="175" ht="15.75" customHeight="1">
      <c r="A175" s="8">
        <v>46262</v>
      </c>
      <c r="B175" s="8">
        <v>46266</v>
      </c>
      <c r="C175" s="23"/>
      <c r="F175" s="19"/>
      <c r="G175" s="20"/>
      <c r="H175" s="20"/>
    </row>
    <row r="176" ht="15.75" customHeight="1">
      <c r="A176" s="8">
        <v>46265</v>
      </c>
      <c r="B176" s="21">
        <v>46267</v>
      </c>
      <c r="C176" s="23"/>
      <c r="F176" s="19"/>
      <c r="G176" s="20"/>
      <c r="H176" s="20"/>
    </row>
    <row r="177" ht="15.75" customHeight="1">
      <c r="A177" s="48" t="s">
        <v>139</v>
      </c>
      <c r="B177" s="49"/>
      <c r="C177" s="50">
        <f>SUM(C156:C176)</f>
        <v>0</v>
      </c>
      <c r="F177" s="19"/>
      <c r="G177" s="20"/>
      <c r="H177" s="20"/>
    </row>
    <row r="178" ht="15.75" customHeight="1">
      <c r="A178" s="8">
        <v>46266</v>
      </c>
      <c r="B178" s="8">
        <v>46268</v>
      </c>
      <c r="C178" s="23"/>
      <c r="F178" s="19"/>
      <c r="G178" s="20"/>
      <c r="H178" s="20"/>
    </row>
    <row r="179" ht="15.75" customHeight="1">
      <c r="A179" s="8">
        <v>46267</v>
      </c>
      <c r="B179" s="8">
        <v>46269</v>
      </c>
      <c r="C179" s="23"/>
      <c r="F179" s="19"/>
      <c r="G179" s="20"/>
      <c r="H179" s="20"/>
    </row>
    <row r="180" ht="15.75" customHeight="1">
      <c r="A180" s="8">
        <v>46268</v>
      </c>
      <c r="B180" s="8">
        <v>46273</v>
      </c>
      <c r="C180" s="23"/>
      <c r="F180" s="19"/>
      <c r="G180" s="20"/>
      <c r="H180" s="20"/>
    </row>
    <row r="181" ht="15.75" customHeight="1">
      <c r="A181" s="8">
        <v>46269</v>
      </c>
      <c r="B181" s="8">
        <v>46274</v>
      </c>
      <c r="C181" s="23"/>
      <c r="F181" s="19"/>
      <c r="G181" s="20"/>
      <c r="H181" s="20"/>
    </row>
    <row r="182" ht="15.75" customHeight="1">
      <c r="A182" s="8">
        <v>46273</v>
      </c>
      <c r="B182" s="8">
        <v>46275</v>
      </c>
      <c r="C182" s="23"/>
      <c r="F182" s="19"/>
      <c r="G182" s="20"/>
      <c r="H182" s="20"/>
    </row>
    <row r="183" ht="15.75" customHeight="1">
      <c r="A183" s="8">
        <v>46274</v>
      </c>
      <c r="B183" s="21">
        <v>46276</v>
      </c>
      <c r="C183" s="23"/>
      <c r="F183" s="19"/>
      <c r="G183" s="20"/>
      <c r="H183" s="20"/>
    </row>
    <row r="184" ht="15.75" customHeight="1">
      <c r="A184" s="8">
        <v>46275</v>
      </c>
      <c r="B184" s="8">
        <v>46279</v>
      </c>
      <c r="C184" s="23"/>
      <c r="F184" s="19"/>
      <c r="G184" s="20"/>
      <c r="H184" s="20"/>
    </row>
    <row r="185" ht="15.75" customHeight="1">
      <c r="A185" s="8">
        <v>46276</v>
      </c>
      <c r="B185" s="8">
        <v>46280</v>
      </c>
      <c r="C185" s="23"/>
      <c r="F185" s="19"/>
      <c r="G185" s="20"/>
      <c r="H185" s="20"/>
    </row>
    <row r="186" ht="15.75" customHeight="1">
      <c r="A186" s="8">
        <v>46279</v>
      </c>
      <c r="B186" s="8">
        <v>46281</v>
      </c>
      <c r="C186" s="23"/>
      <c r="F186" s="19"/>
      <c r="G186" s="20"/>
      <c r="H186" s="20"/>
    </row>
    <row r="187" ht="15.75" customHeight="1">
      <c r="A187" s="8">
        <v>46280</v>
      </c>
      <c r="B187" s="8">
        <v>46282</v>
      </c>
      <c r="C187" s="23"/>
      <c r="F187" s="19"/>
      <c r="G187" s="20"/>
      <c r="H187" s="20"/>
    </row>
    <row r="188" ht="15.75" customHeight="1">
      <c r="A188" s="8">
        <v>46281</v>
      </c>
      <c r="B188" s="8">
        <v>46283</v>
      </c>
      <c r="C188" s="23"/>
      <c r="F188" s="19"/>
      <c r="G188" s="20"/>
      <c r="H188" s="20"/>
    </row>
    <row r="189" ht="15.75" customHeight="1">
      <c r="A189" s="8">
        <v>46282</v>
      </c>
      <c r="B189" s="8">
        <v>46286</v>
      </c>
      <c r="C189" s="23"/>
      <c r="F189" s="19"/>
      <c r="G189" s="20"/>
      <c r="H189" s="20"/>
    </row>
    <row r="190" ht="15.75" customHeight="1">
      <c r="A190" s="8">
        <v>46283</v>
      </c>
      <c r="B190" s="21">
        <v>46287</v>
      </c>
      <c r="C190" s="23"/>
      <c r="F190" s="19"/>
      <c r="G190" s="20"/>
      <c r="H190" s="20"/>
    </row>
    <row r="191" ht="15.75" customHeight="1">
      <c r="A191" s="8">
        <v>46286</v>
      </c>
      <c r="B191" s="8">
        <v>46288</v>
      </c>
      <c r="C191" s="23"/>
      <c r="F191" s="19"/>
      <c r="G191" s="20"/>
      <c r="H191" s="20"/>
    </row>
    <row r="192" ht="15.75" customHeight="1">
      <c r="A192" s="8">
        <v>46287</v>
      </c>
      <c r="B192" s="8">
        <v>46289</v>
      </c>
      <c r="C192" s="23"/>
      <c r="F192" s="19"/>
      <c r="G192" s="20"/>
      <c r="H192" s="20"/>
    </row>
    <row r="193" ht="15.75" customHeight="1">
      <c r="A193" s="8">
        <v>46288</v>
      </c>
      <c r="B193" s="8">
        <v>46290</v>
      </c>
      <c r="C193" s="23"/>
      <c r="F193" s="19"/>
      <c r="G193" s="20"/>
      <c r="H193" s="20"/>
    </row>
    <row r="194" ht="15.75" customHeight="1">
      <c r="A194" s="8">
        <v>46289</v>
      </c>
      <c r="B194" s="8">
        <v>46293</v>
      </c>
      <c r="C194" s="23"/>
      <c r="F194" s="19"/>
      <c r="G194" s="20"/>
      <c r="H194" s="20"/>
    </row>
    <row r="195" ht="15.75" customHeight="1">
      <c r="A195" s="8">
        <v>46290</v>
      </c>
      <c r="B195" s="8">
        <v>46294</v>
      </c>
      <c r="C195" s="23"/>
      <c r="F195" s="19"/>
      <c r="G195" s="20"/>
      <c r="H195" s="20"/>
    </row>
    <row r="196" ht="15.75" customHeight="1">
      <c r="A196" s="8">
        <v>46293</v>
      </c>
      <c r="B196" s="8">
        <v>46295</v>
      </c>
      <c r="C196" s="23"/>
      <c r="F196" s="19"/>
      <c r="G196" s="20"/>
      <c r="H196" s="20"/>
    </row>
    <row r="197" ht="15.75" customHeight="1">
      <c r="A197" s="8">
        <v>46294</v>
      </c>
      <c r="B197" s="21">
        <v>46296</v>
      </c>
      <c r="C197" s="23"/>
      <c r="F197" s="19"/>
      <c r="G197" s="20"/>
      <c r="H197" s="20"/>
    </row>
    <row r="198" ht="15.75" customHeight="1">
      <c r="A198" s="8">
        <v>46295</v>
      </c>
      <c r="B198" s="8">
        <v>46297</v>
      </c>
      <c r="C198" s="23"/>
      <c r="F198" s="19"/>
      <c r="G198" s="20"/>
      <c r="H198" s="20"/>
    </row>
    <row r="199" ht="15.75" customHeight="1">
      <c r="A199" s="48" t="s">
        <v>139</v>
      </c>
      <c r="B199" s="49"/>
      <c r="C199" s="50">
        <f>SUM(C178:C198)</f>
        <v>0</v>
      </c>
      <c r="F199" s="19"/>
      <c r="G199" s="20"/>
      <c r="H199" s="20"/>
    </row>
    <row r="200" ht="15.75" customHeight="1">
      <c r="A200" s="8">
        <v>46296</v>
      </c>
      <c r="B200" s="8">
        <v>46300</v>
      </c>
      <c r="C200" s="23"/>
      <c r="F200" s="19"/>
      <c r="G200" s="20"/>
      <c r="H200" s="20"/>
    </row>
    <row r="201" ht="15.75" customHeight="1">
      <c r="A201" s="8">
        <v>46297</v>
      </c>
      <c r="B201" s="8">
        <v>46301</v>
      </c>
      <c r="C201" s="23"/>
      <c r="F201" s="19"/>
      <c r="G201" s="20"/>
      <c r="H201" s="20"/>
    </row>
    <row r="202" ht="15.75" customHeight="1">
      <c r="A202" s="8">
        <v>46300</v>
      </c>
      <c r="B202" s="8">
        <v>46302</v>
      </c>
      <c r="C202" s="23"/>
      <c r="F202" s="19"/>
      <c r="G202" s="20"/>
      <c r="H202" s="20"/>
    </row>
    <row r="203" ht="15.75" customHeight="1">
      <c r="A203" s="8">
        <v>46301</v>
      </c>
      <c r="B203" s="8">
        <v>46303</v>
      </c>
      <c r="C203" s="23"/>
      <c r="F203" s="19"/>
      <c r="G203" s="20"/>
      <c r="H203" s="20"/>
    </row>
    <row r="204" ht="15.75" customHeight="1">
      <c r="A204" s="8">
        <v>46302</v>
      </c>
      <c r="B204" s="8">
        <v>46304</v>
      </c>
      <c r="C204" s="23"/>
      <c r="F204" s="19"/>
      <c r="G204" s="20"/>
      <c r="H204" s="20"/>
    </row>
    <row r="205" ht="15.75" customHeight="1">
      <c r="A205" s="8">
        <v>46303</v>
      </c>
      <c r="B205" s="21">
        <v>46308</v>
      </c>
      <c r="C205" s="23"/>
      <c r="F205" s="19"/>
      <c r="G205" s="20"/>
      <c r="H205" s="20"/>
    </row>
    <row r="206" ht="15.75" customHeight="1">
      <c r="A206" s="8">
        <v>46304</v>
      </c>
      <c r="B206" s="8">
        <v>46309</v>
      </c>
      <c r="C206" s="23"/>
      <c r="F206" s="19"/>
      <c r="G206" s="20"/>
      <c r="H206" s="20"/>
    </row>
    <row r="207" ht="15.75" customHeight="1">
      <c r="A207" s="8">
        <v>46308</v>
      </c>
      <c r="B207" s="8">
        <v>46310</v>
      </c>
      <c r="C207" s="23"/>
      <c r="F207" s="19"/>
      <c r="G207" s="20"/>
      <c r="H207" s="20"/>
    </row>
    <row r="208" ht="15.75" customHeight="1">
      <c r="A208" s="8">
        <v>46309</v>
      </c>
      <c r="B208" s="8">
        <v>46311</v>
      </c>
      <c r="C208" s="23"/>
      <c r="F208" s="19"/>
      <c r="G208" s="20"/>
      <c r="H208" s="20"/>
    </row>
    <row r="209" ht="15.75" customHeight="1">
      <c r="A209" s="8">
        <v>46310</v>
      </c>
      <c r="B209" s="8">
        <v>46314</v>
      </c>
      <c r="C209" s="23"/>
      <c r="F209" s="19"/>
      <c r="G209" s="20"/>
      <c r="H209" s="20"/>
    </row>
    <row r="210" ht="15.75" customHeight="1">
      <c r="A210" s="8">
        <v>46311</v>
      </c>
      <c r="B210" s="8">
        <v>46315</v>
      </c>
      <c r="C210" s="23"/>
      <c r="F210" s="19"/>
      <c r="G210" s="20"/>
      <c r="H210" s="20"/>
    </row>
    <row r="211" ht="15.75" customHeight="1">
      <c r="A211" s="8">
        <v>46314</v>
      </c>
      <c r="B211" s="8">
        <v>46316</v>
      </c>
      <c r="C211" s="23"/>
      <c r="F211" s="19"/>
      <c r="G211" s="20"/>
      <c r="H211" s="20"/>
    </row>
    <row r="212" ht="15.75" customHeight="1">
      <c r="A212" s="8">
        <v>46315</v>
      </c>
      <c r="B212" s="21">
        <v>46317</v>
      </c>
      <c r="C212" s="23"/>
      <c r="F212" s="19"/>
      <c r="G212" s="20"/>
      <c r="H212" s="20"/>
    </row>
    <row r="213" ht="15.75" customHeight="1">
      <c r="A213" s="8">
        <v>46316</v>
      </c>
      <c r="B213" s="8">
        <v>46318</v>
      </c>
      <c r="C213" s="23"/>
      <c r="F213" s="19"/>
      <c r="G213" s="20"/>
      <c r="H213" s="20"/>
    </row>
    <row r="214" ht="15.75" customHeight="1">
      <c r="A214" s="8">
        <v>46317</v>
      </c>
      <c r="B214" s="8">
        <v>46321</v>
      </c>
      <c r="C214" s="23"/>
      <c r="F214" s="19"/>
      <c r="G214" s="20"/>
      <c r="H214" s="20"/>
    </row>
    <row r="215" ht="15.75" customHeight="1">
      <c r="A215" s="8">
        <v>46318</v>
      </c>
      <c r="B215" s="8">
        <v>46322</v>
      </c>
      <c r="C215" s="23"/>
      <c r="F215" s="19"/>
      <c r="G215" s="20"/>
      <c r="H215" s="20"/>
    </row>
    <row r="216" ht="15.75" customHeight="1">
      <c r="A216" s="8">
        <v>46321</v>
      </c>
      <c r="B216" s="8">
        <v>46323</v>
      </c>
      <c r="C216" s="23"/>
      <c r="F216" s="19"/>
      <c r="G216" s="20"/>
      <c r="H216" s="20"/>
    </row>
    <row r="217" ht="15.75" customHeight="1">
      <c r="A217" s="8">
        <v>46322</v>
      </c>
      <c r="B217" s="8">
        <v>46324</v>
      </c>
      <c r="C217" s="23"/>
      <c r="F217" s="19"/>
      <c r="G217" s="20"/>
      <c r="H217" s="20"/>
    </row>
    <row r="218" ht="15.75" customHeight="1">
      <c r="A218" s="8">
        <v>46323</v>
      </c>
      <c r="B218" s="8">
        <v>46325</v>
      </c>
      <c r="C218" s="23"/>
      <c r="F218" s="19"/>
      <c r="G218" s="20"/>
      <c r="H218" s="20"/>
    </row>
    <row r="219" ht="15.75" customHeight="1">
      <c r="A219" s="8">
        <v>46324</v>
      </c>
      <c r="B219" s="21">
        <v>46328</v>
      </c>
      <c r="C219" s="23"/>
      <c r="F219" s="19"/>
      <c r="G219" s="20"/>
      <c r="H219" s="20"/>
    </row>
    <row r="220" ht="15.75" customHeight="1">
      <c r="A220" s="8">
        <v>46325</v>
      </c>
      <c r="B220" s="8">
        <v>46329</v>
      </c>
      <c r="C220" s="23"/>
      <c r="F220" s="19"/>
      <c r="G220" s="20"/>
      <c r="H220" s="20"/>
    </row>
    <row r="221" ht="15.75" customHeight="1">
      <c r="A221" s="48" t="s">
        <v>139</v>
      </c>
      <c r="B221" s="49"/>
      <c r="C221" s="50">
        <f>SUM(C200:C220)</f>
        <v>0</v>
      </c>
      <c r="F221" s="19"/>
      <c r="G221" s="20"/>
      <c r="H221" s="20"/>
    </row>
    <row r="222" ht="15.75" customHeight="1">
      <c r="A222" s="8">
        <v>46328</v>
      </c>
      <c r="B222" s="8">
        <v>46330</v>
      </c>
      <c r="C222" s="23"/>
      <c r="F222" s="19"/>
      <c r="G222" s="20"/>
      <c r="H222" s="20"/>
    </row>
    <row r="223" ht="15.75" customHeight="1">
      <c r="A223" s="8">
        <v>46329</v>
      </c>
      <c r="B223" s="8">
        <v>46331</v>
      </c>
      <c r="C223" s="23"/>
      <c r="F223" s="19"/>
      <c r="G223" s="20"/>
      <c r="H223" s="20"/>
    </row>
    <row r="224" ht="15.75" customHeight="1">
      <c r="A224" s="8">
        <v>46330</v>
      </c>
      <c r="B224" s="8">
        <v>46332</v>
      </c>
      <c r="C224" s="23"/>
      <c r="F224" s="19"/>
      <c r="G224" s="20"/>
      <c r="H224" s="20"/>
    </row>
    <row r="225" ht="15.75" customHeight="1">
      <c r="A225" s="8">
        <v>46331</v>
      </c>
      <c r="B225" s="21">
        <v>46335</v>
      </c>
      <c r="C225" s="23"/>
      <c r="F225" s="19"/>
      <c r="G225" s="20"/>
      <c r="H225" s="20"/>
    </row>
    <row r="226" ht="15.75" customHeight="1">
      <c r="A226" s="8">
        <v>46332</v>
      </c>
      <c r="B226" s="8">
        <v>46336</v>
      </c>
      <c r="C226" s="23"/>
      <c r="F226" s="19"/>
      <c r="G226" s="20"/>
      <c r="H226" s="20"/>
    </row>
    <row r="227" ht="15.75" customHeight="1">
      <c r="A227" s="8">
        <v>46335</v>
      </c>
      <c r="B227" s="8">
        <v>46338</v>
      </c>
      <c r="C227" s="23"/>
      <c r="F227" s="19"/>
      <c r="G227" s="20"/>
      <c r="H227" s="20"/>
    </row>
    <row r="228" ht="15.75" customHeight="1">
      <c r="A228" s="8">
        <v>46336</v>
      </c>
      <c r="B228" s="8">
        <v>46339</v>
      </c>
      <c r="C228" s="23"/>
      <c r="F228" s="19"/>
      <c r="G228" s="20"/>
      <c r="H228" s="20"/>
    </row>
    <row r="229" ht="15.75" customHeight="1">
      <c r="A229" s="8">
        <v>46338</v>
      </c>
      <c r="B229" s="8">
        <v>46342</v>
      </c>
      <c r="C229" s="23"/>
      <c r="F229" s="19"/>
      <c r="G229" s="20"/>
      <c r="H229" s="20"/>
    </row>
    <row r="230" ht="15.75" customHeight="1">
      <c r="A230" s="8">
        <v>46339</v>
      </c>
      <c r="B230" s="8">
        <v>46343</v>
      </c>
      <c r="C230" s="23"/>
      <c r="F230" s="19"/>
      <c r="G230" s="20"/>
      <c r="H230" s="20"/>
    </row>
    <row r="231" ht="15.75" customHeight="1">
      <c r="A231" s="8">
        <v>46342</v>
      </c>
      <c r="B231" s="8">
        <v>46344</v>
      </c>
      <c r="C231" s="23"/>
      <c r="F231" s="19"/>
      <c r="G231" s="20"/>
      <c r="H231" s="20"/>
    </row>
    <row r="232" ht="15.75" customHeight="1">
      <c r="A232" s="8">
        <v>46343</v>
      </c>
      <c r="B232" s="21">
        <v>46345</v>
      </c>
      <c r="C232" s="23"/>
      <c r="F232" s="19"/>
      <c r="G232" s="20"/>
      <c r="H232" s="20"/>
    </row>
    <row r="233" ht="15.75" customHeight="1">
      <c r="A233" s="8">
        <v>46344</v>
      </c>
      <c r="B233" s="8">
        <v>46346</v>
      </c>
      <c r="C233" s="23"/>
      <c r="F233" s="19"/>
      <c r="G233" s="20"/>
      <c r="H233" s="20"/>
    </row>
    <row r="234" ht="15.75" customHeight="1">
      <c r="A234" s="8">
        <v>46345</v>
      </c>
      <c r="B234" s="8">
        <v>46349</v>
      </c>
      <c r="C234" s="23"/>
      <c r="F234" s="19"/>
      <c r="G234" s="20"/>
      <c r="H234" s="20"/>
    </row>
    <row r="235" ht="15.75" customHeight="1">
      <c r="A235" s="8">
        <v>46346</v>
      </c>
      <c r="B235" s="8">
        <v>46350</v>
      </c>
      <c r="C235" s="23"/>
      <c r="F235" s="19"/>
      <c r="G235" s="20"/>
      <c r="H235" s="20"/>
    </row>
    <row r="236" ht="15.75" customHeight="1">
      <c r="A236" s="8">
        <v>46349</v>
      </c>
      <c r="B236" s="8">
        <v>46351</v>
      </c>
      <c r="C236" s="23"/>
      <c r="F236" s="19"/>
      <c r="G236" s="20"/>
      <c r="H236" s="20"/>
    </row>
    <row r="237" ht="15.75" customHeight="1">
      <c r="A237" s="8">
        <v>46350</v>
      </c>
      <c r="B237" s="8">
        <v>46356</v>
      </c>
      <c r="C237" s="23"/>
      <c r="F237" s="19"/>
      <c r="G237" s="20"/>
      <c r="H237" s="20"/>
    </row>
    <row r="238" ht="15.75" customHeight="1">
      <c r="A238" s="8">
        <v>46351</v>
      </c>
      <c r="B238" s="8">
        <v>46357</v>
      </c>
      <c r="C238" s="23"/>
      <c r="F238" s="19"/>
      <c r="G238" s="20"/>
      <c r="H238" s="20"/>
    </row>
    <row r="239" ht="15.75" customHeight="1">
      <c r="A239" s="8">
        <v>46356</v>
      </c>
      <c r="B239" s="21">
        <v>46358</v>
      </c>
      <c r="C239" s="23"/>
      <c r="F239" s="19"/>
      <c r="G239" s="20"/>
      <c r="H239" s="20"/>
    </row>
    <row r="240" ht="15.75" customHeight="1">
      <c r="A240" s="48" t="s">
        <v>139</v>
      </c>
      <c r="B240" s="49"/>
      <c r="C240" s="50">
        <f>SUM(C222:C239)</f>
        <v>0</v>
      </c>
      <c r="F240" s="19"/>
      <c r="G240" s="20"/>
      <c r="H240" s="20"/>
    </row>
    <row r="241" ht="15.75" customHeight="1">
      <c r="A241" s="8">
        <v>46357</v>
      </c>
      <c r="B241" s="8">
        <v>46359</v>
      </c>
      <c r="C241" s="23"/>
      <c r="F241" s="19"/>
      <c r="G241" s="20"/>
      <c r="H241" s="20"/>
    </row>
    <row r="242" ht="15.75" customHeight="1">
      <c r="A242" s="8">
        <v>46358</v>
      </c>
      <c r="B242" s="8">
        <v>46360</v>
      </c>
      <c r="C242" s="23"/>
      <c r="F242" s="19"/>
      <c r="G242" s="20"/>
      <c r="H242" s="20"/>
    </row>
    <row r="243" ht="15.75" customHeight="1">
      <c r="A243" s="8">
        <v>46359</v>
      </c>
      <c r="B243" s="8">
        <v>46363</v>
      </c>
      <c r="C243" s="23"/>
      <c r="F243" s="19"/>
      <c r="G243" s="20"/>
      <c r="H243" s="20"/>
    </row>
    <row r="244" ht="15.75" customHeight="1">
      <c r="A244" s="8">
        <v>46360</v>
      </c>
      <c r="B244" s="8">
        <v>46364</v>
      </c>
      <c r="C244" s="23"/>
      <c r="F244" s="19"/>
      <c r="G244" s="20"/>
      <c r="H244" s="20"/>
    </row>
    <row r="245" ht="15.75" customHeight="1">
      <c r="A245" s="8">
        <v>46363</v>
      </c>
      <c r="B245" s="21">
        <v>46365</v>
      </c>
      <c r="C245" s="23"/>
      <c r="F245" s="19"/>
      <c r="G245" s="20"/>
      <c r="H245" s="20"/>
    </row>
    <row r="246" ht="15.75" customHeight="1">
      <c r="A246" s="8">
        <v>46364</v>
      </c>
      <c r="B246" s="8">
        <v>46366</v>
      </c>
      <c r="C246" s="23"/>
      <c r="F246" s="19"/>
      <c r="G246" s="20"/>
      <c r="H246" s="20"/>
    </row>
    <row r="247" ht="15.75" customHeight="1">
      <c r="A247" s="8">
        <v>46365</v>
      </c>
      <c r="B247" s="8">
        <v>46367</v>
      </c>
      <c r="C247" s="23"/>
      <c r="F247" s="19"/>
      <c r="G247" s="20"/>
      <c r="H247" s="20"/>
    </row>
    <row r="248" ht="15.75" customHeight="1">
      <c r="A248" s="8">
        <v>46366</v>
      </c>
      <c r="B248" s="8">
        <v>46370</v>
      </c>
      <c r="C248" s="23"/>
      <c r="F248" s="19"/>
      <c r="G248" s="20"/>
      <c r="H248" s="20"/>
    </row>
    <row r="249" ht="15.75" customHeight="1">
      <c r="A249" s="8">
        <v>46367</v>
      </c>
      <c r="B249" s="8">
        <v>46371</v>
      </c>
      <c r="C249" s="23"/>
      <c r="F249" s="19"/>
      <c r="G249" s="20"/>
      <c r="H249" s="20"/>
    </row>
    <row r="250" ht="15.75" customHeight="1">
      <c r="A250" s="8">
        <v>46370</v>
      </c>
      <c r="B250" s="8">
        <v>46372</v>
      </c>
      <c r="C250" s="23"/>
      <c r="F250" s="19"/>
      <c r="G250" s="20"/>
      <c r="H250" s="20"/>
    </row>
    <row r="251" ht="15.75" customHeight="1">
      <c r="A251" s="8">
        <v>46371</v>
      </c>
      <c r="B251" s="8">
        <v>46373</v>
      </c>
      <c r="C251" s="23"/>
      <c r="F251" s="19"/>
      <c r="G251" s="20"/>
      <c r="H251" s="20"/>
    </row>
    <row r="252" ht="15.75" customHeight="1">
      <c r="A252" s="8">
        <v>46372</v>
      </c>
      <c r="B252" s="21">
        <v>46374</v>
      </c>
      <c r="C252" s="23"/>
      <c r="F252" s="19"/>
      <c r="G252" s="20"/>
      <c r="H252" s="20"/>
    </row>
    <row r="253" ht="15.75" customHeight="1">
      <c r="A253" s="8">
        <v>46373</v>
      </c>
      <c r="B253" s="8">
        <v>46377</v>
      </c>
      <c r="C253" s="23"/>
      <c r="F253" s="19"/>
      <c r="G253" s="20"/>
      <c r="H253" s="20"/>
    </row>
    <row r="254" ht="15.75" customHeight="1">
      <c r="A254" s="8">
        <v>46374</v>
      </c>
      <c r="B254" s="8">
        <v>46378</v>
      </c>
      <c r="C254" s="23"/>
      <c r="F254" s="19"/>
      <c r="G254" s="20"/>
      <c r="H254" s="20"/>
    </row>
    <row r="255" ht="15.75" customHeight="1">
      <c r="A255" s="8">
        <v>46377</v>
      </c>
      <c r="B255" s="8">
        <v>46379</v>
      </c>
      <c r="C255" s="23"/>
      <c r="F255" s="19"/>
      <c r="G255" s="20"/>
      <c r="H255" s="20"/>
    </row>
    <row r="256" ht="15.75" customHeight="1">
      <c r="A256" s="8">
        <v>46378</v>
      </c>
      <c r="B256" s="8">
        <v>46384</v>
      </c>
      <c r="C256" s="23"/>
      <c r="F256" s="19"/>
      <c r="G256" s="20"/>
      <c r="H256" s="20"/>
    </row>
    <row r="257" ht="15.75" customHeight="1">
      <c r="A257" s="8">
        <v>46379</v>
      </c>
      <c r="B257" s="8">
        <v>46385</v>
      </c>
      <c r="C257" s="23"/>
      <c r="F257" s="19"/>
      <c r="G257" s="20"/>
      <c r="H257" s="20"/>
    </row>
    <row r="258" ht="15.75" customHeight="1">
      <c r="A258" s="8">
        <v>46384</v>
      </c>
      <c r="B258" s="8">
        <v>46386</v>
      </c>
      <c r="C258" s="23"/>
      <c r="F258" s="19"/>
      <c r="G258" s="20"/>
      <c r="H258" s="20"/>
    </row>
    <row r="259" ht="15.75" customHeight="1">
      <c r="A259" s="8">
        <v>46385</v>
      </c>
      <c r="B259" s="24">
        <v>46391</v>
      </c>
      <c r="C259" s="23"/>
      <c r="F259" s="19"/>
      <c r="G259" s="20"/>
      <c r="H259" s="20"/>
    </row>
    <row r="260" ht="15.75" customHeight="1">
      <c r="A260" s="8">
        <v>46386</v>
      </c>
      <c r="B260" s="24">
        <v>46392</v>
      </c>
      <c r="C260" s="23"/>
      <c r="F260" s="19"/>
      <c r="G260" s="20"/>
      <c r="H260" s="20"/>
    </row>
    <row r="261" ht="15.75" customHeight="1">
      <c r="A261" s="48" t="s">
        <v>139</v>
      </c>
      <c r="B261" s="49"/>
      <c r="C261" s="50">
        <f>SUM(C241:C260)</f>
        <v>0</v>
      </c>
      <c r="F261" s="19"/>
      <c r="G261" s="20"/>
      <c r="H261" s="20"/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637"/>
  <sheetViews>
    <sheetView workbookViewId="0">
      <selection activeCell="K26" sqref="K26"/>
    </sheetView>
  </sheetViews>
  <sheetFormatPr defaultRowHeight="12.75"/>
  <cols>
    <col min="1" max="1" bestFit="1" width="20.5703125" customWidth="1"/>
    <col min="2" max="2" bestFit="1" width="10.140625" customWidth="1" style="13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>
      <c r="A2" s="0" t="s">
        <v>147</v>
      </c>
      <c r="B2" s="13" t="s">
        <v>148</v>
      </c>
      <c r="C2" s="1">
        <v>239.41</v>
      </c>
      <c r="D2" s="3">
        <v>46134</v>
      </c>
      <c r="F2" s="0" t="s">
        <v>149</v>
      </c>
    </row>
    <row r="3">
      <c r="A3" s="0" t="s">
        <v>150</v>
      </c>
      <c r="B3" s="13" t="s">
        <v>151</v>
      </c>
      <c r="C3" s="1">
        <v>3830.58</v>
      </c>
      <c r="D3" s="3">
        <v>46134</v>
      </c>
      <c r="F3" s="0" t="s">
        <v>152</v>
      </c>
    </row>
    <row r="4">
      <c r="A4" s="0" t="s">
        <v>153</v>
      </c>
      <c r="B4" s="13" t="s">
        <v>154</v>
      </c>
      <c r="C4" s="1">
        <v>718.23</v>
      </c>
      <c r="D4" s="3">
        <v>46134</v>
      </c>
      <c r="F4" s="0" t="s">
        <v>155</v>
      </c>
    </row>
    <row r="5">
      <c r="A5" s="0" t="s">
        <v>156</v>
      </c>
      <c r="B5" s="13" t="s">
        <v>151</v>
      </c>
      <c r="C5" s="1">
        <v>4548.83</v>
      </c>
      <c r="D5" s="3">
        <v>46134</v>
      </c>
      <c r="F5" s="0" t="s">
        <v>157</v>
      </c>
    </row>
    <row r="6">
      <c r="A6" s="0" t="s">
        <v>158</v>
      </c>
      <c r="B6" s="13" t="s">
        <v>151</v>
      </c>
      <c r="C6" s="1">
        <v>1197.06</v>
      </c>
      <c r="D6" s="3">
        <v>46134</v>
      </c>
      <c r="F6" s="0" t="s">
        <v>159</v>
      </c>
    </row>
    <row r="7">
      <c r="A7" s="0" t="s">
        <v>160</v>
      </c>
      <c r="B7" s="13" t="s">
        <v>161</v>
      </c>
      <c r="C7" s="1">
        <v>1197.06</v>
      </c>
      <c r="D7" s="3">
        <v>46132</v>
      </c>
      <c r="F7" s="0" t="s">
        <v>162</v>
      </c>
    </row>
    <row r="8">
      <c r="A8" s="0" t="s">
        <v>163</v>
      </c>
      <c r="B8" s="13" t="s">
        <v>164</v>
      </c>
      <c r="C8" s="1">
        <v>2641.85</v>
      </c>
      <c r="D8" s="3">
        <v>46129</v>
      </c>
      <c r="F8" s="0" t="s">
        <v>165</v>
      </c>
    </row>
    <row r="9">
      <c r="A9" s="0" t="s">
        <v>166</v>
      </c>
      <c r="B9" s="13" t="s">
        <v>167</v>
      </c>
      <c r="C9" s="1">
        <v>3585.38</v>
      </c>
      <c r="D9" s="3">
        <v>46129</v>
      </c>
      <c r="F9" s="0" t="s">
        <v>168</v>
      </c>
    </row>
    <row r="10">
      <c r="A10" s="0" t="s">
        <v>169</v>
      </c>
      <c r="B10" s="13" t="s">
        <v>170</v>
      </c>
      <c r="C10" s="1">
        <v>2264.45</v>
      </c>
      <c r="D10" s="3">
        <v>46129</v>
      </c>
      <c r="F10" s="0" t="s">
        <v>171</v>
      </c>
    </row>
    <row r="11">
      <c r="A11" s="0" t="s">
        <v>172</v>
      </c>
      <c r="B11" s="13" t="s">
        <v>164</v>
      </c>
      <c r="C11" s="1">
        <v>2946.11</v>
      </c>
      <c r="D11" s="3">
        <v>46129</v>
      </c>
      <c r="F11" s="0" t="s">
        <v>173</v>
      </c>
    </row>
    <row r="12">
      <c r="A12" s="0" t="s">
        <v>174</v>
      </c>
      <c r="B12" s="13" t="s">
        <v>175</v>
      </c>
      <c r="C12" s="1">
        <v>3774.08</v>
      </c>
      <c r="D12" s="3">
        <v>46129</v>
      </c>
      <c r="F12" s="0" t="s">
        <v>176</v>
      </c>
    </row>
    <row r="13">
      <c r="A13" s="0" t="s">
        <v>177</v>
      </c>
      <c r="B13" s="13" t="s">
        <v>151</v>
      </c>
      <c r="C13" s="1">
        <v>5922.74</v>
      </c>
      <c r="D13" s="3">
        <v>46129</v>
      </c>
      <c r="F13" s="0" t="s">
        <v>178</v>
      </c>
    </row>
    <row r="14">
      <c r="A14" s="0" t="s">
        <v>179</v>
      </c>
      <c r="B14" s="13" t="s">
        <v>175</v>
      </c>
      <c r="C14" s="1">
        <v>4788.23</v>
      </c>
      <c r="D14" s="3">
        <v>46129</v>
      </c>
      <c r="F14" s="0" t="s">
        <v>180</v>
      </c>
    </row>
    <row r="15">
      <c r="A15" s="0" t="s">
        <v>181</v>
      </c>
      <c r="B15" s="13" t="s">
        <v>151</v>
      </c>
      <c r="C15" s="1">
        <v>5849.82</v>
      </c>
      <c r="D15" s="3">
        <v>46129</v>
      </c>
      <c r="F15" s="0" t="s">
        <v>182</v>
      </c>
    </row>
    <row r="16">
      <c r="A16" s="0" t="s">
        <v>183</v>
      </c>
      <c r="B16" s="13" t="s">
        <v>184</v>
      </c>
      <c r="C16" s="1">
        <v>1306.43</v>
      </c>
      <c r="D16" s="3">
        <v>46129</v>
      </c>
      <c r="F16" s="0" t="s">
        <v>185</v>
      </c>
    </row>
    <row r="17">
      <c r="A17" s="0" t="s">
        <v>186</v>
      </c>
      <c r="B17" s="13" t="s">
        <v>187</v>
      </c>
      <c r="C17" s="1">
        <v>3112.35</v>
      </c>
      <c r="D17" s="3">
        <v>46129</v>
      </c>
      <c r="F17" s="0" t="s">
        <v>188</v>
      </c>
    </row>
    <row r="18">
      <c r="A18" s="0" t="s">
        <v>189</v>
      </c>
      <c r="B18" s="13" t="s">
        <v>184</v>
      </c>
      <c r="C18" s="1">
        <v>2633.53</v>
      </c>
      <c r="D18" s="3">
        <v>46129</v>
      </c>
      <c r="F18" s="0" t="s">
        <v>190</v>
      </c>
    </row>
    <row r="19">
      <c r="A19" s="0" t="s">
        <v>191</v>
      </c>
      <c r="B19" s="13" t="s">
        <v>151</v>
      </c>
      <c r="C19" s="1">
        <v>7421.77</v>
      </c>
      <c r="D19" s="3">
        <v>46128</v>
      </c>
      <c r="F19" s="0" t="s">
        <v>192</v>
      </c>
    </row>
    <row r="20">
      <c r="A20" s="0" t="s">
        <v>193</v>
      </c>
      <c r="B20" s="13" t="s">
        <v>151</v>
      </c>
      <c r="C20" s="1">
        <v>7421.77</v>
      </c>
      <c r="D20" s="3">
        <v>46128</v>
      </c>
      <c r="F20" s="0" t="s">
        <v>194</v>
      </c>
    </row>
    <row r="21">
      <c r="A21" s="0" t="s">
        <v>195</v>
      </c>
      <c r="B21" s="13" t="s">
        <v>151</v>
      </c>
      <c r="C21" s="1">
        <v>5849.83</v>
      </c>
      <c r="D21" s="3">
        <v>46128</v>
      </c>
      <c r="F21" s="0" t="s">
        <v>196</v>
      </c>
    </row>
    <row r="22">
      <c r="A22" s="0" t="s">
        <v>197</v>
      </c>
      <c r="B22" s="13" t="s">
        <v>151</v>
      </c>
      <c r="C22" s="1">
        <v>1545.84</v>
      </c>
      <c r="D22" s="3">
        <v>46128</v>
      </c>
      <c r="F22" s="0" t="s">
        <v>198</v>
      </c>
    </row>
    <row r="23">
      <c r="A23" s="0" t="s">
        <v>199</v>
      </c>
      <c r="B23" s="13" t="s">
        <v>151</v>
      </c>
      <c r="C23" s="1">
        <v>1905.27</v>
      </c>
      <c r="D23" s="3">
        <v>46128</v>
      </c>
      <c r="F23" s="0" t="s">
        <v>200</v>
      </c>
    </row>
    <row r="24">
      <c r="A24" s="0" t="s">
        <v>201</v>
      </c>
      <c r="B24" s="13" t="s">
        <v>175</v>
      </c>
      <c r="C24" s="1">
        <v>4788.23</v>
      </c>
      <c r="D24" s="3">
        <v>46128</v>
      </c>
      <c r="F24" s="0" t="s">
        <v>202</v>
      </c>
    </row>
    <row r="25">
      <c r="A25" s="0" t="s">
        <v>203</v>
      </c>
      <c r="B25" s="13" t="s">
        <v>151</v>
      </c>
      <c r="C25" s="1">
        <v>5849.83</v>
      </c>
      <c r="D25" s="3">
        <v>46128</v>
      </c>
      <c r="F25" s="0" t="s">
        <v>204</v>
      </c>
    </row>
    <row r="26">
      <c r="A26" s="0" t="s">
        <v>205</v>
      </c>
      <c r="B26" s="13" t="s">
        <v>151</v>
      </c>
      <c r="C26" s="1">
        <v>5849.83</v>
      </c>
      <c r="D26" s="3">
        <v>46128</v>
      </c>
      <c r="F26" s="0" t="s">
        <v>206</v>
      </c>
    </row>
    <row r="27">
      <c r="A27" s="0" t="s">
        <v>207</v>
      </c>
      <c r="B27" s="13" t="s">
        <v>151</v>
      </c>
      <c r="C27" s="1">
        <v>5849.83</v>
      </c>
      <c r="D27" s="3">
        <v>46128</v>
      </c>
      <c r="F27" s="0" t="s">
        <v>208</v>
      </c>
    </row>
    <row r="28">
      <c r="A28" s="0" t="s">
        <v>209</v>
      </c>
      <c r="B28" s="13" t="s">
        <v>151</v>
      </c>
      <c r="C28" s="1">
        <v>5849.83</v>
      </c>
      <c r="D28" s="3">
        <v>46128</v>
      </c>
      <c r="F28" s="0" t="s">
        <v>210</v>
      </c>
    </row>
    <row r="29">
      <c r="A29" s="0" t="s">
        <v>211</v>
      </c>
      <c r="B29" s="13" t="s">
        <v>151</v>
      </c>
      <c r="C29" s="1">
        <v>515.29</v>
      </c>
      <c r="D29" s="3">
        <v>46128</v>
      </c>
      <c r="F29" s="0" t="s">
        <v>212</v>
      </c>
    </row>
    <row r="30">
      <c r="A30" s="0" t="s">
        <v>213</v>
      </c>
      <c r="B30" s="13" t="s">
        <v>151</v>
      </c>
      <c r="C30" s="1">
        <v>7421.77</v>
      </c>
      <c r="D30" s="3">
        <v>46128</v>
      </c>
      <c r="F30" s="0" t="s">
        <v>214</v>
      </c>
    </row>
    <row r="31">
      <c r="A31" s="0" t="s">
        <v>215</v>
      </c>
      <c r="B31" s="13" t="s">
        <v>151</v>
      </c>
      <c r="C31" s="1">
        <v>5849.83</v>
      </c>
      <c r="D31" s="3">
        <v>46128</v>
      </c>
      <c r="F31" s="0" t="s">
        <v>216</v>
      </c>
    </row>
    <row r="32">
      <c r="A32" s="0" t="s">
        <v>217</v>
      </c>
      <c r="B32" s="13" t="s">
        <v>151</v>
      </c>
      <c r="C32" s="1">
        <v>5849.83</v>
      </c>
      <c r="D32" s="3">
        <v>46128</v>
      </c>
      <c r="F32" s="0" t="s">
        <v>218</v>
      </c>
    </row>
    <row r="33">
      <c r="A33" s="0" t="s">
        <v>219</v>
      </c>
      <c r="B33" s="13" t="s">
        <v>151</v>
      </c>
      <c r="C33" s="1">
        <v>7066.82</v>
      </c>
      <c r="D33" s="3">
        <v>46128</v>
      </c>
      <c r="F33" s="0" t="s">
        <v>220</v>
      </c>
    </row>
    <row r="34">
      <c r="A34" s="0" t="s">
        <v>221</v>
      </c>
      <c r="B34" s="13" t="s">
        <v>151</v>
      </c>
      <c r="C34" s="1">
        <v>5849.83</v>
      </c>
      <c r="D34" s="3">
        <v>46128</v>
      </c>
      <c r="F34" s="0" t="s">
        <v>222</v>
      </c>
    </row>
    <row r="35">
      <c r="A35" s="0" t="s">
        <v>223</v>
      </c>
      <c r="B35" s="13" t="s">
        <v>151</v>
      </c>
      <c r="C35" s="1">
        <v>5849.83</v>
      </c>
      <c r="D35" s="3">
        <v>46128</v>
      </c>
      <c r="F35" s="0" t="s">
        <v>224</v>
      </c>
    </row>
    <row r="36">
      <c r="A36" s="0" t="s">
        <v>225</v>
      </c>
      <c r="B36" s="13" t="s">
        <v>151</v>
      </c>
      <c r="C36" s="1">
        <v>5849.83</v>
      </c>
      <c r="D36" s="3">
        <v>46128</v>
      </c>
      <c r="F36" s="0" t="s">
        <v>226</v>
      </c>
    </row>
    <row r="37">
      <c r="A37" s="0" t="s">
        <v>227</v>
      </c>
      <c r="B37" s="13" t="s">
        <v>151</v>
      </c>
      <c r="C37" s="1">
        <v>5849.83</v>
      </c>
      <c r="D37" s="3">
        <v>46128</v>
      </c>
      <c r="F37" s="0" t="s">
        <v>228</v>
      </c>
    </row>
    <row r="38">
      <c r="A38" s="0" t="s">
        <v>229</v>
      </c>
      <c r="B38" s="13" t="s">
        <v>230</v>
      </c>
      <c r="C38" s="1">
        <v>6224.71</v>
      </c>
      <c r="D38" s="3">
        <v>46128</v>
      </c>
      <c r="F38" s="0" t="s">
        <v>231</v>
      </c>
    </row>
    <row r="39">
      <c r="A39" s="0" t="s">
        <v>232</v>
      </c>
      <c r="B39" s="13" t="s">
        <v>151</v>
      </c>
      <c r="C39" s="1">
        <v>5849.83</v>
      </c>
      <c r="D39" s="3">
        <v>46128</v>
      </c>
      <c r="F39" s="0" t="s">
        <v>233</v>
      </c>
    </row>
    <row r="40">
      <c r="A40" s="0" t="s">
        <v>234</v>
      </c>
      <c r="B40" s="13" t="s">
        <v>235</v>
      </c>
      <c r="C40" s="1">
        <v>7182.35</v>
      </c>
      <c r="D40" s="3">
        <v>46128</v>
      </c>
      <c r="F40" s="0" t="s">
        <v>236</v>
      </c>
    </row>
    <row r="41">
      <c r="A41" s="0" t="s">
        <v>237</v>
      </c>
      <c r="B41" s="13" t="s">
        <v>151</v>
      </c>
      <c r="C41" s="1">
        <v>7421.77</v>
      </c>
      <c r="D41" s="3">
        <v>46128</v>
      </c>
      <c r="F41" s="0" t="s">
        <v>238</v>
      </c>
    </row>
    <row r="42">
      <c r="A42" s="0" t="s">
        <v>239</v>
      </c>
      <c r="B42" s="13" t="s">
        <v>230</v>
      </c>
      <c r="C42" s="1">
        <v>4382.32</v>
      </c>
      <c r="D42" s="3">
        <v>46128</v>
      </c>
      <c r="F42" s="0" t="s">
        <v>240</v>
      </c>
    </row>
    <row r="43">
      <c r="A43" s="0" t="s">
        <v>241</v>
      </c>
      <c r="B43" s="13" t="s">
        <v>154</v>
      </c>
      <c r="C43" s="1">
        <v>4151.49</v>
      </c>
      <c r="D43" s="3">
        <v>46128</v>
      </c>
      <c r="F43" s="0" t="s">
        <v>242</v>
      </c>
    </row>
    <row r="44">
      <c r="A44" s="0" t="s">
        <v>243</v>
      </c>
      <c r="B44" s="13" t="s">
        <v>151</v>
      </c>
      <c r="C44" s="1">
        <v>5849.83</v>
      </c>
      <c r="D44" s="3">
        <v>46128</v>
      </c>
      <c r="F44" s="0" t="s">
        <v>244</v>
      </c>
    </row>
    <row r="45">
      <c r="A45" s="0" t="s">
        <v>245</v>
      </c>
      <c r="B45" s="13" t="s">
        <v>230</v>
      </c>
      <c r="C45" s="1">
        <v>4906.3</v>
      </c>
      <c r="D45" s="3">
        <v>46128</v>
      </c>
      <c r="F45" s="0" t="s">
        <v>246</v>
      </c>
    </row>
    <row r="46">
      <c r="A46" s="0" t="s">
        <v>247</v>
      </c>
      <c r="B46" s="13" t="s">
        <v>151</v>
      </c>
      <c r="C46" s="1">
        <v>7117.51</v>
      </c>
      <c r="D46" s="3">
        <v>46128</v>
      </c>
      <c r="F46" s="0" t="s">
        <v>248</v>
      </c>
    </row>
    <row r="47">
      <c r="A47" s="0" t="s">
        <v>249</v>
      </c>
      <c r="B47" s="13" t="s">
        <v>151</v>
      </c>
      <c r="C47" s="1">
        <v>5849.83</v>
      </c>
      <c r="D47" s="3">
        <v>46128</v>
      </c>
      <c r="F47" s="0" t="s">
        <v>250</v>
      </c>
    </row>
    <row r="48">
      <c r="A48" s="0" t="s">
        <v>251</v>
      </c>
      <c r="B48" s="13" t="s">
        <v>151</v>
      </c>
      <c r="C48" s="1">
        <v>6559.74</v>
      </c>
      <c r="D48" s="3">
        <v>46128</v>
      </c>
      <c r="F48" s="0" t="s">
        <v>252</v>
      </c>
    </row>
    <row r="49">
      <c r="A49" s="0" t="s">
        <v>253</v>
      </c>
      <c r="B49" s="13" t="s">
        <v>254</v>
      </c>
      <c r="C49" s="1">
        <v>5334.42</v>
      </c>
      <c r="D49" s="3">
        <v>46128</v>
      </c>
      <c r="F49" s="0" t="s">
        <v>255</v>
      </c>
    </row>
    <row r="50">
      <c r="A50" s="0" t="s">
        <v>256</v>
      </c>
      <c r="B50" s="13" t="s">
        <v>257</v>
      </c>
      <c r="C50" s="1">
        <v>5095.01</v>
      </c>
      <c r="D50" s="3">
        <v>46128</v>
      </c>
      <c r="F50" s="0" t="s">
        <v>258</v>
      </c>
    </row>
    <row r="51">
      <c r="A51" s="0" t="s">
        <v>211</v>
      </c>
      <c r="B51" s="13" t="s">
        <v>259</v>
      </c>
      <c r="C51" s="1">
        <v>-8545.91</v>
      </c>
      <c r="D51" s="3">
        <v>46127</v>
      </c>
      <c r="E51" s="0" t="s">
        <v>260</v>
      </c>
      <c r="F51" s="0" t="s">
        <v>212</v>
      </c>
    </row>
    <row r="52">
      <c r="A52" s="0" t="s">
        <v>261</v>
      </c>
      <c r="B52" s="13" t="s">
        <v>262</v>
      </c>
      <c r="C52" s="1">
        <v>6224.71</v>
      </c>
      <c r="D52" s="3">
        <v>46107</v>
      </c>
      <c r="F52" s="0" t="s">
        <v>263</v>
      </c>
    </row>
    <row r="53">
      <c r="A53" s="0" t="s">
        <v>249</v>
      </c>
      <c r="B53" s="13" t="s">
        <v>262</v>
      </c>
      <c r="C53" s="1">
        <v>5283.71</v>
      </c>
      <c r="D53" s="3">
        <v>46106</v>
      </c>
      <c r="F53" s="0" t="s">
        <v>250</v>
      </c>
    </row>
    <row r="54">
      <c r="A54" s="0" t="s">
        <v>203</v>
      </c>
      <c r="B54" s="13" t="s">
        <v>262</v>
      </c>
      <c r="C54" s="1">
        <v>5283.71</v>
      </c>
      <c r="D54" s="3">
        <v>46104</v>
      </c>
      <c r="F54" s="0" t="s">
        <v>204</v>
      </c>
    </row>
    <row r="55">
      <c r="A55" s="0" t="s">
        <v>193</v>
      </c>
      <c r="B55" s="13" t="s">
        <v>264</v>
      </c>
      <c r="C55" s="1">
        <v>478.83</v>
      </c>
      <c r="D55" s="3">
        <v>46104</v>
      </c>
      <c r="F55" s="0" t="s">
        <v>194</v>
      </c>
    </row>
    <row r="56">
      <c r="A56" s="0" t="s">
        <v>265</v>
      </c>
      <c r="B56" s="13" t="s">
        <v>262</v>
      </c>
      <c r="C56" s="1">
        <v>2453.16</v>
      </c>
      <c r="D56" s="3">
        <v>46104</v>
      </c>
      <c r="F56" s="0" t="s">
        <v>266</v>
      </c>
    </row>
    <row r="57">
      <c r="A57" s="0" t="s">
        <v>237</v>
      </c>
      <c r="B57" s="16" t="s">
        <v>267</v>
      </c>
      <c r="C57" s="6">
        <v>2311.51</v>
      </c>
      <c r="D57" s="7">
        <v>46101</v>
      </c>
      <c r="F57" s="0" t="s">
        <v>238</v>
      </c>
    </row>
    <row r="58">
      <c r="A58" s="0" t="s">
        <v>181</v>
      </c>
      <c r="B58" s="16" t="s">
        <v>262</v>
      </c>
      <c r="C58" s="6">
        <v>5283.71</v>
      </c>
      <c r="D58" s="7">
        <v>46099</v>
      </c>
      <c r="F58" s="0" t="s">
        <v>182</v>
      </c>
    </row>
    <row r="59">
      <c r="A59" s="0" t="s">
        <v>251</v>
      </c>
      <c r="B59" s="16" t="s">
        <v>268</v>
      </c>
      <c r="C59" s="6">
        <v>957.65</v>
      </c>
      <c r="D59" s="7">
        <v>46099</v>
      </c>
      <c r="F59" s="0" t="s">
        <v>252</v>
      </c>
    </row>
    <row r="60">
      <c r="A60" s="0" t="s">
        <v>223</v>
      </c>
      <c r="B60" s="16" t="s">
        <v>262</v>
      </c>
      <c r="C60" s="6">
        <v>5283.71</v>
      </c>
      <c r="D60" s="7">
        <v>46099</v>
      </c>
      <c r="F60" s="0" t="s">
        <v>224</v>
      </c>
    </row>
    <row r="61">
      <c r="A61" s="0" t="s">
        <v>247</v>
      </c>
      <c r="B61" s="16" t="s">
        <v>264</v>
      </c>
      <c r="C61" s="6">
        <v>478.83</v>
      </c>
      <c r="D61" s="7">
        <v>46099</v>
      </c>
      <c r="F61" s="0" t="s">
        <v>248</v>
      </c>
    </row>
    <row r="62">
      <c r="A62" s="0" t="s">
        <v>215</v>
      </c>
      <c r="B62" s="16" t="s">
        <v>262</v>
      </c>
      <c r="C62" s="6">
        <v>5283.71</v>
      </c>
      <c r="D62" s="7">
        <v>46099</v>
      </c>
      <c r="F62" s="0" t="s">
        <v>216</v>
      </c>
    </row>
    <row r="63">
      <c r="A63" s="0" t="s">
        <v>243</v>
      </c>
      <c r="B63" s="16" t="s">
        <v>264</v>
      </c>
      <c r="C63" s="6">
        <v>377.41</v>
      </c>
      <c r="D63" s="7">
        <v>46099</v>
      </c>
      <c r="F63" s="0" t="s">
        <v>244</v>
      </c>
    </row>
    <row r="64">
      <c r="A64" s="0" t="s">
        <v>197</v>
      </c>
      <c r="B64" s="16" t="s">
        <v>269</v>
      </c>
      <c r="C64" s="6">
        <v>3591.18</v>
      </c>
      <c r="D64" s="7">
        <v>46099</v>
      </c>
      <c r="F64" s="0" t="s">
        <v>198</v>
      </c>
    </row>
    <row r="65">
      <c r="A65" s="0" t="s">
        <v>158</v>
      </c>
      <c r="B65" s="16" t="s">
        <v>267</v>
      </c>
      <c r="C65" s="6">
        <v>2154.71</v>
      </c>
      <c r="D65" s="7">
        <v>46099</v>
      </c>
      <c r="F65" s="0" t="s">
        <v>159</v>
      </c>
    </row>
    <row r="66">
      <c r="A66" s="0" t="s">
        <v>156</v>
      </c>
      <c r="B66" s="16" t="s">
        <v>270</v>
      </c>
      <c r="C66" s="6">
        <v>2633.53</v>
      </c>
      <c r="D66" s="7">
        <v>46098</v>
      </c>
      <c r="F66" s="0" t="s">
        <v>157</v>
      </c>
    </row>
    <row r="67">
      <c r="A67" s="0" t="s">
        <v>207</v>
      </c>
      <c r="B67" s="16" t="s">
        <v>262</v>
      </c>
      <c r="C67" s="6">
        <v>5283.71</v>
      </c>
      <c r="D67" s="7">
        <v>46098</v>
      </c>
      <c r="F67" s="0" t="s">
        <v>208</v>
      </c>
    </row>
    <row r="68">
      <c r="A68" s="0" t="s">
        <v>191</v>
      </c>
      <c r="B68" s="16" t="s">
        <v>271</v>
      </c>
      <c r="C68" s="6">
        <v>2394.12</v>
      </c>
      <c r="D68" s="7">
        <v>46098</v>
      </c>
      <c r="F68" s="0" t="s">
        <v>192</v>
      </c>
    </row>
    <row r="69">
      <c r="A69" s="0" t="s">
        <v>225</v>
      </c>
      <c r="B69" s="16" t="s">
        <v>262</v>
      </c>
      <c r="C69" s="6">
        <v>5283.71</v>
      </c>
      <c r="D69" s="7">
        <v>46098</v>
      </c>
      <c r="F69" s="0" t="s">
        <v>226</v>
      </c>
    </row>
    <row r="70">
      <c r="A70" s="0" t="s">
        <v>221</v>
      </c>
      <c r="B70" s="16" t="s">
        <v>262</v>
      </c>
      <c r="C70" s="6">
        <v>5283.71</v>
      </c>
      <c r="D70" s="7">
        <v>46098</v>
      </c>
      <c r="F70" s="0" t="s">
        <v>222</v>
      </c>
    </row>
    <row r="71">
      <c r="A71" s="0" t="s">
        <v>150</v>
      </c>
      <c r="B71" s="16" t="s">
        <v>272</v>
      </c>
      <c r="C71" s="6">
        <v>4309.41</v>
      </c>
      <c r="D71" s="7">
        <v>46098</v>
      </c>
      <c r="F71" s="0" t="s">
        <v>152</v>
      </c>
    </row>
    <row r="72">
      <c r="A72" s="0" t="s">
        <v>273</v>
      </c>
      <c r="B72" s="16" t="s">
        <v>262</v>
      </c>
      <c r="C72" s="6">
        <v>1996.42</v>
      </c>
      <c r="D72" s="7">
        <v>46098</v>
      </c>
      <c r="F72" s="0" t="s">
        <v>274</v>
      </c>
    </row>
    <row r="73">
      <c r="A73" s="0" t="s">
        <v>199</v>
      </c>
      <c r="B73" s="16" t="s">
        <v>262</v>
      </c>
      <c r="C73" s="6">
        <v>5283.71</v>
      </c>
      <c r="D73" s="7">
        <v>46098</v>
      </c>
      <c r="F73" s="0" t="s">
        <v>200</v>
      </c>
    </row>
    <row r="74">
      <c r="A74" s="0" t="s">
        <v>211</v>
      </c>
      <c r="B74" s="16" t="s">
        <v>259</v>
      </c>
      <c r="C74" s="6">
        <v>2872.94</v>
      </c>
      <c r="D74" s="7">
        <v>46098</v>
      </c>
      <c r="F74" s="0" t="s">
        <v>212</v>
      </c>
    </row>
    <row r="75">
      <c r="A75" s="0" t="s">
        <v>227</v>
      </c>
      <c r="B75" s="16" t="s">
        <v>262</v>
      </c>
      <c r="C75" s="6">
        <v>5283.71</v>
      </c>
      <c r="D75" s="7">
        <v>46098</v>
      </c>
      <c r="F75" s="0" t="s">
        <v>228</v>
      </c>
    </row>
    <row r="76">
      <c r="A76" s="0" t="s">
        <v>209</v>
      </c>
      <c r="B76" s="16" t="s">
        <v>262</v>
      </c>
      <c r="C76" s="6">
        <v>5283.71</v>
      </c>
      <c r="D76" s="7">
        <v>46098</v>
      </c>
      <c r="F76" s="0" t="s">
        <v>210</v>
      </c>
    </row>
    <row r="77">
      <c r="A77" s="0" t="s">
        <v>275</v>
      </c>
      <c r="B77" s="16" t="s">
        <v>262</v>
      </c>
      <c r="C77" s="6">
        <v>2576.4</v>
      </c>
      <c r="D77" s="7">
        <v>46098</v>
      </c>
      <c r="F77" s="0" t="s">
        <v>276</v>
      </c>
    </row>
    <row r="78">
      <c r="A78" s="0" t="s">
        <v>219</v>
      </c>
      <c r="B78" s="16" t="s">
        <v>262</v>
      </c>
      <c r="C78" s="6">
        <v>6703.53</v>
      </c>
      <c r="D78" s="7">
        <v>46098</v>
      </c>
      <c r="F78" s="0" t="s">
        <v>220</v>
      </c>
    </row>
    <row r="79">
      <c r="A79" s="0" t="s">
        <v>232</v>
      </c>
      <c r="B79" s="16" t="s">
        <v>262</v>
      </c>
      <c r="C79" s="6">
        <v>5283.71</v>
      </c>
      <c r="D79" s="7">
        <v>46098</v>
      </c>
      <c r="F79" s="0" t="s">
        <v>233</v>
      </c>
    </row>
    <row r="80">
      <c r="A80" s="0" t="s">
        <v>213</v>
      </c>
      <c r="B80" s="16" t="s">
        <v>277</v>
      </c>
      <c r="C80" s="6">
        <v>1915.29</v>
      </c>
      <c r="D80" s="7">
        <v>46098</v>
      </c>
      <c r="F80" s="0" t="s">
        <v>214</v>
      </c>
    </row>
    <row r="81">
      <c r="A81" s="0" t="s">
        <v>195</v>
      </c>
      <c r="B81" s="16" t="s">
        <v>262</v>
      </c>
      <c r="C81" s="6">
        <v>5283.71</v>
      </c>
      <c r="D81" s="7">
        <v>46098</v>
      </c>
      <c r="F81" s="0" t="s">
        <v>196</v>
      </c>
    </row>
    <row r="82">
      <c r="A82" s="0" t="s">
        <v>217</v>
      </c>
      <c r="B82" s="16" t="s">
        <v>262</v>
      </c>
      <c r="C82" s="6">
        <v>5283.71</v>
      </c>
      <c r="D82" s="7">
        <v>46098</v>
      </c>
      <c r="F82" s="0" t="s">
        <v>218</v>
      </c>
    </row>
    <row r="83">
      <c r="A83" s="0" t="s">
        <v>205</v>
      </c>
      <c r="B83" s="16" t="s">
        <v>262</v>
      </c>
      <c r="C83" s="6">
        <v>5283.71</v>
      </c>
      <c r="D83" s="7">
        <v>46098</v>
      </c>
      <c r="F83" s="0" t="s">
        <v>206</v>
      </c>
    </row>
    <row r="84">
      <c r="A84" s="0" t="s">
        <v>177</v>
      </c>
      <c r="B84" s="16" t="s">
        <v>262</v>
      </c>
      <c r="C84" s="6">
        <v>6602.11</v>
      </c>
      <c r="D84" s="7">
        <v>46098</v>
      </c>
      <c r="F84" s="0" t="s">
        <v>178</v>
      </c>
    </row>
    <row r="85">
      <c r="A85" s="0" t="s">
        <v>249</v>
      </c>
      <c r="B85" s="16" t="s">
        <v>278</v>
      </c>
      <c r="C85" s="6">
        <v>2264.45</v>
      </c>
      <c r="D85" s="7">
        <v>46091</v>
      </c>
      <c r="F85" s="0" t="s">
        <v>250</v>
      </c>
    </row>
    <row r="86">
      <c r="A86" s="0" t="s">
        <v>261</v>
      </c>
      <c r="B86" s="16" t="s">
        <v>279</v>
      </c>
      <c r="C86" s="6">
        <v>478.83</v>
      </c>
      <c r="D86" s="7">
        <v>46087</v>
      </c>
      <c r="F86" s="0" t="s">
        <v>263</v>
      </c>
    </row>
    <row r="87">
      <c r="A87" s="0" t="s">
        <v>249</v>
      </c>
      <c r="B87" s="16" t="s">
        <v>280</v>
      </c>
      <c r="C87" s="6">
        <v>3585.38</v>
      </c>
      <c r="D87" s="7">
        <v>46073</v>
      </c>
      <c r="F87" s="0" t="s">
        <v>250</v>
      </c>
    </row>
    <row r="88">
      <c r="A88" s="0" t="s">
        <v>281</v>
      </c>
      <c r="B88" s="16" t="s">
        <v>280</v>
      </c>
      <c r="C88" s="6">
        <v>377.41</v>
      </c>
      <c r="D88" s="7">
        <v>46073</v>
      </c>
      <c r="F88" s="0" t="s">
        <v>282</v>
      </c>
    </row>
    <row r="89">
      <c r="A89" s="0" t="s">
        <v>275</v>
      </c>
      <c r="B89" s="16" t="s">
        <v>279</v>
      </c>
      <c r="C89" s="6">
        <v>478.83</v>
      </c>
      <c r="D89" s="7">
        <v>46072</v>
      </c>
      <c r="F89" s="0" t="s">
        <v>276</v>
      </c>
    </row>
    <row r="90">
      <c r="A90" s="0" t="s">
        <v>232</v>
      </c>
      <c r="B90" s="16" t="s">
        <v>280</v>
      </c>
      <c r="C90" s="6">
        <v>5849.83</v>
      </c>
      <c r="D90" s="7">
        <v>46071</v>
      </c>
      <c r="F90" s="0" t="s">
        <v>233</v>
      </c>
    </row>
    <row r="91">
      <c r="A91" s="0" t="s">
        <v>223</v>
      </c>
      <c r="B91" s="16" t="s">
        <v>280</v>
      </c>
      <c r="C91" s="6">
        <v>5849.83</v>
      </c>
      <c r="D91" s="7">
        <v>46070</v>
      </c>
      <c r="F91" s="0" t="s">
        <v>224</v>
      </c>
    </row>
    <row r="92">
      <c r="A92" s="0" t="s">
        <v>195</v>
      </c>
      <c r="B92" s="16" t="s">
        <v>280</v>
      </c>
      <c r="C92" s="6">
        <v>5849.83</v>
      </c>
      <c r="D92" s="7">
        <v>46070</v>
      </c>
      <c r="F92" s="0" t="s">
        <v>196</v>
      </c>
    </row>
    <row r="93">
      <c r="A93" s="0" t="s">
        <v>265</v>
      </c>
      <c r="B93" s="16" t="s">
        <v>280</v>
      </c>
      <c r="C93" s="6">
        <v>6052.66</v>
      </c>
      <c r="D93" s="7">
        <v>46070</v>
      </c>
      <c r="F93" s="0" t="s">
        <v>266</v>
      </c>
    </row>
    <row r="94">
      <c r="A94" s="0" t="s">
        <v>217</v>
      </c>
      <c r="B94" s="16" t="s">
        <v>280</v>
      </c>
      <c r="C94" s="6">
        <v>5849.83</v>
      </c>
      <c r="D94" s="7">
        <v>46070</v>
      </c>
      <c r="F94" s="0" t="s">
        <v>218</v>
      </c>
    </row>
    <row r="95">
      <c r="A95" s="0" t="s">
        <v>209</v>
      </c>
      <c r="B95" s="16" t="s">
        <v>280</v>
      </c>
      <c r="C95" s="6">
        <v>5849.83</v>
      </c>
      <c r="D95" s="7">
        <v>46070</v>
      </c>
      <c r="F95" s="0" t="s">
        <v>210</v>
      </c>
    </row>
    <row r="96">
      <c r="A96" s="0" t="s">
        <v>177</v>
      </c>
      <c r="B96" s="16" t="s">
        <v>280</v>
      </c>
      <c r="C96" s="6">
        <v>7421.77</v>
      </c>
      <c r="D96" s="7">
        <v>46070</v>
      </c>
      <c r="F96" s="0" t="s">
        <v>178</v>
      </c>
    </row>
    <row r="97">
      <c r="A97" s="0" t="s">
        <v>273</v>
      </c>
      <c r="B97" s="16" t="s">
        <v>280</v>
      </c>
      <c r="C97" s="6">
        <v>5849.83</v>
      </c>
      <c r="D97" s="7">
        <v>46070</v>
      </c>
      <c r="F97" s="0" t="s">
        <v>274</v>
      </c>
    </row>
    <row r="98">
      <c r="A98" s="0" t="s">
        <v>199</v>
      </c>
      <c r="B98" s="16" t="s">
        <v>280</v>
      </c>
      <c r="C98" s="6">
        <v>5849.83</v>
      </c>
      <c r="D98" s="7">
        <v>46070</v>
      </c>
      <c r="F98" s="0" t="s">
        <v>200</v>
      </c>
    </row>
    <row r="99">
      <c r="A99" s="0" t="s">
        <v>203</v>
      </c>
      <c r="B99" s="16" t="s">
        <v>280</v>
      </c>
      <c r="C99" s="6">
        <v>5849.83</v>
      </c>
      <c r="D99" s="7">
        <v>46070</v>
      </c>
      <c r="F99" s="0" t="s">
        <v>204</v>
      </c>
    </row>
    <row r="100">
      <c r="A100" s="0" t="s">
        <v>221</v>
      </c>
      <c r="B100" s="16" t="s">
        <v>280</v>
      </c>
      <c r="C100" s="6">
        <v>5849.83</v>
      </c>
      <c r="D100" s="7">
        <v>46070</v>
      </c>
      <c r="F100" s="0" t="s">
        <v>222</v>
      </c>
    </row>
    <row r="101">
      <c r="A101" s="0" t="s">
        <v>205</v>
      </c>
      <c r="B101" s="16" t="s">
        <v>280</v>
      </c>
      <c r="C101" s="6">
        <v>5849.83</v>
      </c>
      <c r="D101" s="7">
        <v>46070</v>
      </c>
      <c r="F101" s="0" t="s">
        <v>206</v>
      </c>
    </row>
    <row r="102">
      <c r="A102" s="0" t="s">
        <v>225</v>
      </c>
      <c r="B102" s="16" t="s">
        <v>280</v>
      </c>
      <c r="C102" s="6">
        <v>5849.83</v>
      </c>
      <c r="D102" s="7">
        <v>46070</v>
      </c>
      <c r="F102" s="0" t="s">
        <v>226</v>
      </c>
    </row>
    <row r="103">
      <c r="A103" s="0" t="s">
        <v>219</v>
      </c>
      <c r="B103" s="16" t="s">
        <v>283</v>
      </c>
      <c r="C103" s="6">
        <v>1915.29</v>
      </c>
      <c r="D103" s="7">
        <v>46070</v>
      </c>
      <c r="F103" s="0" t="s">
        <v>220</v>
      </c>
    </row>
    <row r="104">
      <c r="A104" s="0" t="s">
        <v>215</v>
      </c>
      <c r="B104" s="16" t="s">
        <v>280</v>
      </c>
      <c r="C104" s="6">
        <v>5849.83</v>
      </c>
      <c r="D104" s="7">
        <v>46070</v>
      </c>
      <c r="F104" s="0" t="s">
        <v>216</v>
      </c>
    </row>
    <row r="105">
      <c r="A105" s="0" t="s">
        <v>207</v>
      </c>
      <c r="B105" s="16" t="s">
        <v>280</v>
      </c>
      <c r="C105" s="6">
        <v>5849.83</v>
      </c>
      <c r="D105" s="7">
        <v>46070</v>
      </c>
      <c r="F105" s="0" t="s">
        <v>208</v>
      </c>
    </row>
    <row r="106">
      <c r="A106" s="0" t="s">
        <v>181</v>
      </c>
      <c r="B106" s="16" t="s">
        <v>280</v>
      </c>
      <c r="C106" s="6">
        <v>5849.83</v>
      </c>
      <c r="D106" s="7">
        <v>46070</v>
      </c>
      <c r="F106" s="0" t="s">
        <v>182</v>
      </c>
    </row>
    <row r="107">
      <c r="A107" s="0" t="s">
        <v>284</v>
      </c>
      <c r="B107" s="16" t="s">
        <v>280</v>
      </c>
      <c r="C107" s="6">
        <v>2751.22</v>
      </c>
      <c r="D107" s="7">
        <v>46070</v>
      </c>
      <c r="F107" s="0" t="s">
        <v>285</v>
      </c>
    </row>
    <row r="108">
      <c r="A108" s="0" t="s">
        <v>227</v>
      </c>
      <c r="B108" s="16" t="s">
        <v>280</v>
      </c>
      <c r="C108" s="6">
        <v>5849.83</v>
      </c>
      <c r="D108" s="7">
        <v>46070</v>
      </c>
      <c r="F108" s="0" t="s">
        <v>228</v>
      </c>
    </row>
    <row r="109">
      <c r="A109" s="0" t="s">
        <v>177</v>
      </c>
      <c r="B109" s="16" t="s">
        <v>286</v>
      </c>
      <c r="C109" s="6">
        <v>718.23</v>
      </c>
      <c r="D109" s="7">
        <v>46042</v>
      </c>
      <c r="F109" s="0" t="s">
        <v>178</v>
      </c>
    </row>
    <row r="110">
      <c r="A110" s="0" t="s">
        <v>203</v>
      </c>
      <c r="B110" s="16" t="s">
        <v>287</v>
      </c>
      <c r="C110" s="6">
        <v>5849.83</v>
      </c>
      <c r="D110" s="7">
        <v>46042</v>
      </c>
      <c r="F110" s="0" t="s">
        <v>204</v>
      </c>
    </row>
    <row r="111">
      <c r="A111" s="0" t="s">
        <v>205</v>
      </c>
      <c r="B111" s="16" t="s">
        <v>287</v>
      </c>
      <c r="C111" s="6">
        <v>5849.83</v>
      </c>
      <c r="D111" s="7">
        <v>46042</v>
      </c>
      <c r="F111" s="0" t="s">
        <v>206</v>
      </c>
    </row>
    <row r="112">
      <c r="A112" s="0" t="s">
        <v>221</v>
      </c>
      <c r="B112" s="16" t="s">
        <v>287</v>
      </c>
      <c r="C112" s="6">
        <v>5849.83</v>
      </c>
      <c r="D112" s="7">
        <v>46042</v>
      </c>
      <c r="F112" s="0" t="s">
        <v>222</v>
      </c>
    </row>
    <row r="113">
      <c r="A113" s="0" t="s">
        <v>232</v>
      </c>
      <c r="B113" s="16" t="s">
        <v>287</v>
      </c>
      <c r="C113" s="6">
        <v>7269.65</v>
      </c>
      <c r="D113" s="7">
        <v>46042</v>
      </c>
      <c r="F113" s="0" t="s">
        <v>233</v>
      </c>
    </row>
    <row r="114">
      <c r="A114" s="0" t="s">
        <v>223</v>
      </c>
      <c r="B114" s="16" t="s">
        <v>287</v>
      </c>
      <c r="C114" s="6">
        <v>5849.83</v>
      </c>
      <c r="D114" s="7">
        <v>46042</v>
      </c>
      <c r="F114" s="0" t="s">
        <v>224</v>
      </c>
    </row>
    <row r="115">
      <c r="A115" s="0" t="s">
        <v>207</v>
      </c>
      <c r="B115" s="16" t="s">
        <v>287</v>
      </c>
      <c r="C115" s="6">
        <v>5849.83</v>
      </c>
      <c r="D115" s="7">
        <v>46042</v>
      </c>
      <c r="F115" s="0" t="s">
        <v>208</v>
      </c>
    </row>
    <row r="116">
      <c r="A116" s="0" t="s">
        <v>265</v>
      </c>
      <c r="B116" s="16" t="s">
        <v>287</v>
      </c>
      <c r="C116" s="6">
        <v>7421.77</v>
      </c>
      <c r="D116" s="7">
        <v>46042</v>
      </c>
      <c r="F116" s="0" t="s">
        <v>266</v>
      </c>
    </row>
    <row r="117">
      <c r="A117" s="0" t="s">
        <v>195</v>
      </c>
      <c r="B117" s="16" t="s">
        <v>287</v>
      </c>
      <c r="C117" s="6">
        <v>6103.36</v>
      </c>
      <c r="D117" s="7">
        <v>46042</v>
      </c>
      <c r="F117" s="0" t="s">
        <v>196</v>
      </c>
    </row>
    <row r="118">
      <c r="A118" s="0" t="s">
        <v>225</v>
      </c>
      <c r="B118" s="16" t="s">
        <v>287</v>
      </c>
      <c r="C118" s="6">
        <v>5849.83</v>
      </c>
      <c r="D118" s="7">
        <v>46042</v>
      </c>
      <c r="F118" s="0" t="s">
        <v>226</v>
      </c>
    </row>
    <row r="119">
      <c r="A119" s="0" t="s">
        <v>288</v>
      </c>
      <c r="B119" s="16" t="s">
        <v>287</v>
      </c>
      <c r="C119" s="6">
        <v>5358.2</v>
      </c>
      <c r="D119" s="7">
        <v>46042</v>
      </c>
      <c r="F119" s="0" t="s">
        <v>289</v>
      </c>
    </row>
    <row r="120">
      <c r="A120" s="0" t="s">
        <v>199</v>
      </c>
      <c r="B120" s="16" t="s">
        <v>287</v>
      </c>
      <c r="C120" s="6">
        <v>5849.83</v>
      </c>
      <c r="D120" s="7">
        <v>46042</v>
      </c>
      <c r="F120" s="0" t="s">
        <v>200</v>
      </c>
    </row>
    <row r="121">
      <c r="A121" s="0" t="s">
        <v>217</v>
      </c>
      <c r="B121" s="16" t="s">
        <v>287</v>
      </c>
      <c r="C121" s="6">
        <v>5849.83</v>
      </c>
      <c r="D121" s="7">
        <v>46042</v>
      </c>
      <c r="F121" s="0" t="s">
        <v>218</v>
      </c>
    </row>
    <row r="122">
      <c r="A122" s="0" t="s">
        <v>227</v>
      </c>
      <c r="B122" s="16" t="s">
        <v>287</v>
      </c>
      <c r="C122" s="6">
        <v>5849.83</v>
      </c>
      <c r="D122" s="7">
        <v>46042</v>
      </c>
      <c r="F122" s="0" t="s">
        <v>228</v>
      </c>
    </row>
    <row r="123">
      <c r="A123" s="0" t="s">
        <v>281</v>
      </c>
      <c r="B123" s="16" t="s">
        <v>287</v>
      </c>
      <c r="C123" s="6">
        <v>5849.83</v>
      </c>
      <c r="D123" s="7">
        <v>46042</v>
      </c>
      <c r="F123" s="0" t="s">
        <v>282</v>
      </c>
    </row>
    <row r="124">
      <c r="A124" s="0" t="s">
        <v>215</v>
      </c>
      <c r="B124" s="16" t="s">
        <v>287</v>
      </c>
      <c r="C124" s="6">
        <v>5849.83</v>
      </c>
      <c r="D124" s="7">
        <v>46042</v>
      </c>
      <c r="F124" s="0" t="s">
        <v>216</v>
      </c>
    </row>
    <row r="125">
      <c r="A125" s="0" t="s">
        <v>209</v>
      </c>
      <c r="B125" s="16" t="s">
        <v>287</v>
      </c>
      <c r="C125" s="6">
        <v>5849.83</v>
      </c>
      <c r="D125" s="7">
        <v>46042</v>
      </c>
      <c r="F125" s="0" t="s">
        <v>210</v>
      </c>
    </row>
    <row r="126">
      <c r="A126" s="0" t="s">
        <v>249</v>
      </c>
      <c r="B126" s="16" t="s">
        <v>287</v>
      </c>
      <c r="C126" s="6">
        <v>5849.83</v>
      </c>
      <c r="D126" s="7">
        <v>46042</v>
      </c>
      <c r="F126" s="0" t="s">
        <v>250</v>
      </c>
    </row>
    <row r="127">
      <c r="A127" s="0" t="s">
        <v>273</v>
      </c>
      <c r="B127" s="16" t="s">
        <v>287</v>
      </c>
      <c r="C127" s="6">
        <v>6204.77</v>
      </c>
      <c r="D127" s="7">
        <v>46042</v>
      </c>
      <c r="F127" s="0" t="s">
        <v>274</v>
      </c>
    </row>
    <row r="128">
      <c r="A128" s="0" t="s">
        <v>284</v>
      </c>
      <c r="B128" s="16" t="s">
        <v>287</v>
      </c>
      <c r="C128" s="6">
        <v>5849.83</v>
      </c>
      <c r="D128" s="7">
        <v>46042</v>
      </c>
      <c r="F128" s="0" t="s">
        <v>285</v>
      </c>
    </row>
    <row r="129">
      <c r="A129" s="0" t="s">
        <v>181</v>
      </c>
      <c r="B129" s="16" t="s">
        <v>287</v>
      </c>
      <c r="C129" s="6">
        <v>5849.83</v>
      </c>
      <c r="D129" s="7">
        <v>46042</v>
      </c>
      <c r="F129" s="0" t="s">
        <v>182</v>
      </c>
    </row>
    <row r="130">
      <c r="A130" s="0" t="s">
        <v>225</v>
      </c>
      <c r="B130" s="16" t="s">
        <v>290</v>
      </c>
      <c r="C130" s="6">
        <v>5661.12</v>
      </c>
      <c r="D130" s="7">
        <v>46020</v>
      </c>
      <c r="F130" s="0" t="s">
        <v>226</v>
      </c>
    </row>
    <row r="131">
      <c r="A131" s="0" t="s">
        <v>291</v>
      </c>
      <c r="B131" s="16" t="s">
        <v>292</v>
      </c>
      <c r="C131" s="6">
        <v>1379.34</v>
      </c>
      <c r="D131" s="7">
        <v>46020</v>
      </c>
      <c r="F131" s="0" t="s">
        <v>293</v>
      </c>
    </row>
    <row r="132">
      <c r="A132" s="0" t="s">
        <v>288</v>
      </c>
      <c r="B132" s="16" t="s">
        <v>294</v>
      </c>
      <c r="C132" s="6">
        <v>1675.88</v>
      </c>
      <c r="D132" s="7">
        <v>46020</v>
      </c>
      <c r="F132" s="0" t="s">
        <v>289</v>
      </c>
    </row>
    <row r="133">
      <c r="A133" s="0" t="s">
        <v>227</v>
      </c>
      <c r="B133" s="16" t="s">
        <v>290</v>
      </c>
      <c r="C133" s="6">
        <v>5661.12</v>
      </c>
      <c r="D133" s="7">
        <v>46008</v>
      </c>
      <c r="F133" s="0" t="s">
        <v>228</v>
      </c>
    </row>
    <row r="134">
      <c r="A134" s="0" t="s">
        <v>215</v>
      </c>
      <c r="B134" s="16" t="s">
        <v>290</v>
      </c>
      <c r="C134" s="6">
        <v>5661.12</v>
      </c>
      <c r="D134" s="7">
        <v>46008</v>
      </c>
      <c r="F134" s="0" t="s">
        <v>216</v>
      </c>
    </row>
    <row r="135">
      <c r="A135" s="0" t="s">
        <v>284</v>
      </c>
      <c r="B135" s="16" t="s">
        <v>290</v>
      </c>
      <c r="C135" s="6">
        <v>5661.12</v>
      </c>
      <c r="D135" s="7">
        <v>46007</v>
      </c>
      <c r="F135" s="0" t="s">
        <v>285</v>
      </c>
    </row>
    <row r="136">
      <c r="A136" s="0" t="s">
        <v>209</v>
      </c>
      <c r="B136" s="16" t="s">
        <v>290</v>
      </c>
      <c r="C136" s="6">
        <v>5661.12</v>
      </c>
      <c r="D136" s="7">
        <v>46007</v>
      </c>
      <c r="F136" s="0" t="s">
        <v>210</v>
      </c>
    </row>
    <row r="137">
      <c r="A137" s="0" t="s">
        <v>195</v>
      </c>
      <c r="B137" s="16" t="s">
        <v>290</v>
      </c>
      <c r="C137" s="6">
        <v>7182.35</v>
      </c>
      <c r="D137" s="7">
        <v>46007</v>
      </c>
      <c r="F137" s="0" t="s">
        <v>196</v>
      </c>
    </row>
    <row r="138">
      <c r="A138" s="0" t="s">
        <v>273</v>
      </c>
      <c r="B138" s="16" t="s">
        <v>290</v>
      </c>
      <c r="C138" s="6">
        <v>7182.35</v>
      </c>
      <c r="D138" s="7">
        <v>46007</v>
      </c>
      <c r="F138" s="0" t="s">
        <v>274</v>
      </c>
    </row>
    <row r="139">
      <c r="A139" s="0" t="s">
        <v>181</v>
      </c>
      <c r="B139" s="16" t="s">
        <v>290</v>
      </c>
      <c r="C139" s="6">
        <v>5661.12</v>
      </c>
      <c r="D139" s="7">
        <v>46007</v>
      </c>
      <c r="F139" s="0" t="s">
        <v>182</v>
      </c>
    </row>
    <row r="140">
      <c r="A140" s="0" t="s">
        <v>281</v>
      </c>
      <c r="B140" s="16" t="s">
        <v>290</v>
      </c>
      <c r="C140" s="6">
        <v>5661.12</v>
      </c>
      <c r="D140" s="7">
        <v>46007</v>
      </c>
      <c r="F140" s="0" t="s">
        <v>282</v>
      </c>
    </row>
    <row r="141">
      <c r="A141" s="0" t="s">
        <v>232</v>
      </c>
      <c r="B141" s="16" t="s">
        <v>290</v>
      </c>
      <c r="C141" s="6">
        <v>7182.35</v>
      </c>
      <c r="D141" s="7">
        <v>46007</v>
      </c>
      <c r="F141" s="0" t="s">
        <v>233</v>
      </c>
    </row>
    <row r="142">
      <c r="A142" s="0" t="s">
        <v>207</v>
      </c>
      <c r="B142" s="16" t="s">
        <v>290</v>
      </c>
      <c r="C142" s="6">
        <v>5762.54</v>
      </c>
      <c r="D142" s="7">
        <v>46007</v>
      </c>
      <c r="F142" s="0" t="s">
        <v>208</v>
      </c>
    </row>
    <row r="143">
      <c r="A143" s="0" t="s">
        <v>203</v>
      </c>
      <c r="B143" s="16" t="s">
        <v>290</v>
      </c>
      <c r="C143" s="6">
        <v>5661.12</v>
      </c>
      <c r="D143" s="7">
        <v>46007</v>
      </c>
      <c r="F143" s="0" t="s">
        <v>204</v>
      </c>
    </row>
    <row r="144">
      <c r="A144" s="0" t="s">
        <v>217</v>
      </c>
      <c r="B144" s="16" t="s">
        <v>290</v>
      </c>
      <c r="C144" s="6">
        <v>5661.12</v>
      </c>
      <c r="D144" s="7">
        <v>46007</v>
      </c>
      <c r="F144" s="0" t="s">
        <v>218</v>
      </c>
    </row>
    <row r="145">
      <c r="A145" s="0" t="s">
        <v>199</v>
      </c>
      <c r="B145" s="16" t="s">
        <v>290</v>
      </c>
      <c r="C145" s="6">
        <v>5661.12</v>
      </c>
      <c r="D145" s="7">
        <v>46007</v>
      </c>
      <c r="F145" s="0" t="s">
        <v>200</v>
      </c>
    </row>
    <row r="146">
      <c r="A146" s="0" t="s">
        <v>249</v>
      </c>
      <c r="B146" s="16" t="s">
        <v>290</v>
      </c>
      <c r="C146" s="6">
        <v>5661.12</v>
      </c>
      <c r="D146" s="7">
        <v>46007</v>
      </c>
      <c r="F146" s="0" t="s">
        <v>250</v>
      </c>
    </row>
    <row r="147">
      <c r="A147" s="0" t="s">
        <v>223</v>
      </c>
      <c r="B147" s="16" t="s">
        <v>290</v>
      </c>
      <c r="C147" s="6">
        <v>5661.12</v>
      </c>
      <c r="D147" s="7">
        <v>46007</v>
      </c>
      <c r="F147" s="0" t="s">
        <v>224</v>
      </c>
    </row>
    <row r="148">
      <c r="A148" s="0" t="s">
        <v>205</v>
      </c>
      <c r="B148" s="16" t="s">
        <v>290</v>
      </c>
      <c r="C148" s="6">
        <v>5661.12</v>
      </c>
      <c r="D148" s="7">
        <v>46007</v>
      </c>
      <c r="F148" s="0" t="s">
        <v>206</v>
      </c>
    </row>
    <row r="149">
      <c r="A149" s="0" t="s">
        <v>265</v>
      </c>
      <c r="B149" s="16" t="s">
        <v>295</v>
      </c>
      <c r="C149" s="6">
        <v>5985.29</v>
      </c>
      <c r="D149" s="7">
        <v>46007</v>
      </c>
      <c r="F149" s="0" t="s">
        <v>266</v>
      </c>
    </row>
    <row r="150">
      <c r="A150" s="0" t="s">
        <v>221</v>
      </c>
      <c r="B150" s="16" t="s">
        <v>290</v>
      </c>
      <c r="C150" s="6">
        <v>5661.12</v>
      </c>
      <c r="D150" s="7">
        <v>46007</v>
      </c>
      <c r="F150" s="0" t="s">
        <v>222</v>
      </c>
    </row>
    <row r="151">
      <c r="A151" s="0" t="s">
        <v>296</v>
      </c>
      <c r="B151" s="16" t="s">
        <v>290</v>
      </c>
      <c r="C151" s="6">
        <v>2264.08</v>
      </c>
      <c r="D151" s="7">
        <v>46000</v>
      </c>
      <c r="F151" s="0" t="s">
        <v>297</v>
      </c>
    </row>
    <row r="152">
      <c r="A152" s="0" t="s">
        <v>298</v>
      </c>
      <c r="B152" s="16" t="s">
        <v>290</v>
      </c>
      <c r="C152" s="6">
        <v>1320.93</v>
      </c>
      <c r="D152" s="7">
        <v>46000</v>
      </c>
      <c r="F152" s="0" t="s">
        <v>299</v>
      </c>
    </row>
    <row r="153">
      <c r="A153" s="0" t="s">
        <v>232</v>
      </c>
      <c r="B153" s="16" t="s">
        <v>300</v>
      </c>
      <c r="C153" s="6">
        <v>478.83</v>
      </c>
      <c r="D153" s="7">
        <v>45992</v>
      </c>
      <c r="F153" s="0" t="s">
        <v>233</v>
      </c>
    </row>
    <row r="154">
      <c r="A154" s="0" t="s">
        <v>195</v>
      </c>
      <c r="B154" s="16" t="s">
        <v>301</v>
      </c>
      <c r="C154" s="6">
        <v>5985.29</v>
      </c>
      <c r="D154" s="7">
        <v>45980</v>
      </c>
      <c r="F154" s="0" t="s">
        <v>196</v>
      </c>
    </row>
    <row r="155">
      <c r="A155" s="0" t="s">
        <v>181</v>
      </c>
      <c r="B155" s="16" t="s">
        <v>302</v>
      </c>
      <c r="C155" s="6">
        <v>5849.83</v>
      </c>
      <c r="D155" s="7">
        <v>45979</v>
      </c>
      <c r="F155" s="0" t="s">
        <v>182</v>
      </c>
    </row>
    <row r="156">
      <c r="A156" s="0" t="s">
        <v>284</v>
      </c>
      <c r="B156" s="16" t="s">
        <v>302</v>
      </c>
      <c r="C156" s="6">
        <v>5849.83</v>
      </c>
      <c r="D156" s="7">
        <v>45979</v>
      </c>
      <c r="F156" s="0" t="s">
        <v>285</v>
      </c>
    </row>
    <row r="157">
      <c r="A157" s="0" t="s">
        <v>217</v>
      </c>
      <c r="B157" s="16" t="s">
        <v>302</v>
      </c>
      <c r="C157" s="6">
        <v>5849.83</v>
      </c>
      <c r="D157" s="7">
        <v>45979</v>
      </c>
      <c r="F157" s="0" t="s">
        <v>218</v>
      </c>
    </row>
    <row r="158">
      <c r="A158" s="0" t="s">
        <v>249</v>
      </c>
      <c r="B158" s="16" t="s">
        <v>302</v>
      </c>
      <c r="C158" s="6">
        <v>6863.99</v>
      </c>
      <c r="D158" s="7">
        <v>45979</v>
      </c>
      <c r="F158" s="0" t="s">
        <v>250</v>
      </c>
    </row>
    <row r="159">
      <c r="A159" s="0" t="s">
        <v>209</v>
      </c>
      <c r="B159" s="16" t="s">
        <v>302</v>
      </c>
      <c r="C159" s="6">
        <v>5849.83</v>
      </c>
      <c r="D159" s="7">
        <v>45979</v>
      </c>
      <c r="F159" s="0" t="s">
        <v>210</v>
      </c>
    </row>
    <row r="160">
      <c r="A160" s="0" t="s">
        <v>199</v>
      </c>
      <c r="B160" s="16" t="s">
        <v>302</v>
      </c>
      <c r="C160" s="6">
        <v>5849.83</v>
      </c>
      <c r="D160" s="7">
        <v>45979</v>
      </c>
      <c r="F160" s="0" t="s">
        <v>200</v>
      </c>
    </row>
    <row r="161">
      <c r="A161" s="0" t="s">
        <v>203</v>
      </c>
      <c r="B161" s="16" t="s">
        <v>302</v>
      </c>
      <c r="C161" s="6">
        <v>5849.83</v>
      </c>
      <c r="D161" s="7">
        <v>45979</v>
      </c>
      <c r="F161" s="0" t="s">
        <v>204</v>
      </c>
    </row>
    <row r="162">
      <c r="A162" s="0" t="s">
        <v>273</v>
      </c>
      <c r="B162" s="16" t="s">
        <v>303</v>
      </c>
      <c r="C162" s="6">
        <v>5506.47</v>
      </c>
      <c r="D162" s="7">
        <v>45979</v>
      </c>
      <c r="F162" s="0" t="s">
        <v>274</v>
      </c>
    </row>
    <row r="163">
      <c r="A163" s="0" t="s">
        <v>304</v>
      </c>
      <c r="B163" s="16" t="s">
        <v>302</v>
      </c>
      <c r="C163" s="6">
        <v>1821.7</v>
      </c>
      <c r="D163" s="7">
        <v>45979</v>
      </c>
      <c r="F163" s="0" t="s">
        <v>305</v>
      </c>
    </row>
    <row r="164">
      <c r="A164" s="0" t="s">
        <v>281</v>
      </c>
      <c r="B164" s="16" t="s">
        <v>302</v>
      </c>
      <c r="C164" s="6">
        <v>6458.32</v>
      </c>
      <c r="D164" s="7">
        <v>45979</v>
      </c>
      <c r="F164" s="0" t="s">
        <v>282</v>
      </c>
    </row>
    <row r="165">
      <c r="A165" s="0" t="s">
        <v>207</v>
      </c>
      <c r="B165" s="16" t="s">
        <v>302</v>
      </c>
      <c r="C165" s="6">
        <v>7421.77</v>
      </c>
      <c r="D165" s="7">
        <v>45979</v>
      </c>
      <c r="F165" s="0" t="s">
        <v>208</v>
      </c>
    </row>
    <row r="166">
      <c r="A166" s="0" t="s">
        <v>227</v>
      </c>
      <c r="B166" s="16" t="s">
        <v>302</v>
      </c>
      <c r="C166" s="6">
        <v>5849.83</v>
      </c>
      <c r="D166" s="7">
        <v>45979</v>
      </c>
      <c r="F166" s="0" t="s">
        <v>228</v>
      </c>
    </row>
    <row r="167">
      <c r="A167" s="0" t="s">
        <v>215</v>
      </c>
      <c r="B167" s="16" t="s">
        <v>302</v>
      </c>
      <c r="C167" s="6">
        <v>5849.83</v>
      </c>
      <c r="D167" s="7">
        <v>45979</v>
      </c>
      <c r="F167" s="0" t="s">
        <v>216</v>
      </c>
    </row>
    <row r="168">
      <c r="A168" s="0" t="s">
        <v>223</v>
      </c>
      <c r="B168" s="16" t="s">
        <v>302</v>
      </c>
      <c r="C168" s="6">
        <v>5849.83</v>
      </c>
      <c r="D168" s="7">
        <v>45979</v>
      </c>
      <c r="F168" s="0" t="s">
        <v>224</v>
      </c>
    </row>
    <row r="169">
      <c r="A169" s="0" t="s">
        <v>296</v>
      </c>
      <c r="B169" s="16" t="s">
        <v>302</v>
      </c>
      <c r="C169" s="6">
        <v>7421.77</v>
      </c>
      <c r="D169" s="7">
        <v>45979</v>
      </c>
      <c r="F169" s="0" t="s">
        <v>297</v>
      </c>
    </row>
    <row r="170">
      <c r="A170" s="0" t="s">
        <v>225</v>
      </c>
      <c r="B170" s="16" t="s">
        <v>302</v>
      </c>
      <c r="C170" s="6">
        <v>5849.83</v>
      </c>
      <c r="D170" s="7">
        <v>45979</v>
      </c>
      <c r="F170" s="0" t="s">
        <v>226</v>
      </c>
    </row>
    <row r="171">
      <c r="A171" s="0" t="s">
        <v>306</v>
      </c>
      <c r="B171" s="16" t="s">
        <v>307</v>
      </c>
      <c r="C171" s="6">
        <v>2576.4</v>
      </c>
      <c r="D171" s="7">
        <v>45979</v>
      </c>
      <c r="F171" s="0" t="s">
        <v>308</v>
      </c>
    </row>
    <row r="172">
      <c r="A172" s="0" t="s">
        <v>298</v>
      </c>
      <c r="B172" s="16" t="s">
        <v>302</v>
      </c>
      <c r="C172" s="6">
        <v>5849.83</v>
      </c>
      <c r="D172" s="7">
        <v>45979</v>
      </c>
      <c r="F172" s="0" t="s">
        <v>299</v>
      </c>
    </row>
    <row r="173">
      <c r="A173" s="0" t="s">
        <v>309</v>
      </c>
      <c r="B173" s="16" t="s">
        <v>302</v>
      </c>
      <c r="C173" s="6">
        <v>6094.66</v>
      </c>
      <c r="D173" s="7">
        <v>45979</v>
      </c>
      <c r="F173" s="0" t="s">
        <v>310</v>
      </c>
    </row>
    <row r="174">
      <c r="A174" s="0" t="s">
        <v>205</v>
      </c>
      <c r="B174" s="16" t="s">
        <v>302</v>
      </c>
      <c r="C174" s="6">
        <v>5849.83</v>
      </c>
      <c r="D174" s="7">
        <v>45979</v>
      </c>
      <c r="F174" s="0" t="s">
        <v>206</v>
      </c>
    </row>
    <row r="175">
      <c r="A175" s="0" t="s">
        <v>221</v>
      </c>
      <c r="B175" s="16" t="s">
        <v>302</v>
      </c>
      <c r="C175" s="6">
        <v>5849.83</v>
      </c>
      <c r="D175" s="7">
        <v>45979</v>
      </c>
      <c r="F175" s="0" t="s">
        <v>222</v>
      </c>
    </row>
    <row r="176">
      <c r="A176" s="0" t="s">
        <v>304</v>
      </c>
      <c r="B176" s="16" t="s">
        <v>311</v>
      </c>
      <c r="C176" s="6">
        <v>471.72</v>
      </c>
      <c r="D176" s="7">
        <v>45953</v>
      </c>
      <c r="F176" s="0" t="s">
        <v>305</v>
      </c>
    </row>
    <row r="177">
      <c r="A177" s="0" t="s">
        <v>225</v>
      </c>
      <c r="B177" s="16" t="s">
        <v>312</v>
      </c>
      <c r="C177" s="6">
        <v>5573.25</v>
      </c>
      <c r="D177" s="7">
        <v>45951</v>
      </c>
      <c r="F177" s="0" t="s">
        <v>226</v>
      </c>
    </row>
    <row r="178">
      <c r="A178" s="0" t="s">
        <v>313</v>
      </c>
      <c r="B178" s="16" t="s">
        <v>312</v>
      </c>
      <c r="C178" s="6">
        <v>2830.35</v>
      </c>
      <c r="D178" s="7">
        <v>45951</v>
      </c>
      <c r="F178" s="0" t="s">
        <v>314</v>
      </c>
    </row>
    <row r="179">
      <c r="A179" s="0" t="s">
        <v>315</v>
      </c>
      <c r="B179" s="16" t="s">
        <v>312</v>
      </c>
      <c r="C179" s="6">
        <v>1740.38</v>
      </c>
      <c r="D179" s="7">
        <v>45946</v>
      </c>
      <c r="F179" s="0" t="s">
        <v>316</v>
      </c>
    </row>
    <row r="180">
      <c r="A180" s="0" t="s">
        <v>205</v>
      </c>
      <c r="B180" s="16" t="s">
        <v>312</v>
      </c>
      <c r="C180" s="6">
        <v>5573.25</v>
      </c>
      <c r="D180" s="7">
        <v>45946</v>
      </c>
      <c r="F180" s="0" t="s">
        <v>206</v>
      </c>
    </row>
    <row r="181">
      <c r="A181" s="0" t="s">
        <v>209</v>
      </c>
      <c r="B181" s="16" t="s">
        <v>312</v>
      </c>
      <c r="C181" s="6">
        <v>5573.25</v>
      </c>
      <c r="D181" s="7">
        <v>45946</v>
      </c>
      <c r="F181" s="0" t="s">
        <v>210</v>
      </c>
    </row>
    <row r="182">
      <c r="A182" s="0" t="s">
        <v>215</v>
      </c>
      <c r="B182" s="16" t="s">
        <v>312</v>
      </c>
      <c r="C182" s="6">
        <v>5573.25</v>
      </c>
      <c r="D182" s="7">
        <v>45946</v>
      </c>
      <c r="F182" s="0" t="s">
        <v>216</v>
      </c>
    </row>
    <row r="183">
      <c r="A183" s="0" t="s">
        <v>298</v>
      </c>
      <c r="B183" s="16" t="s">
        <v>312</v>
      </c>
      <c r="C183" s="6">
        <v>5573.25</v>
      </c>
      <c r="D183" s="7">
        <v>45946</v>
      </c>
      <c r="F183" s="0" t="s">
        <v>299</v>
      </c>
    </row>
    <row r="184">
      <c r="A184" s="0" t="s">
        <v>181</v>
      </c>
      <c r="B184" s="16" t="s">
        <v>312</v>
      </c>
      <c r="C184" s="6">
        <v>5573.25</v>
      </c>
      <c r="D184" s="7">
        <v>45946</v>
      </c>
      <c r="F184" s="0" t="s">
        <v>182</v>
      </c>
    </row>
    <row r="185">
      <c r="A185" s="0" t="s">
        <v>296</v>
      </c>
      <c r="B185" s="16" t="s">
        <v>317</v>
      </c>
      <c r="C185" s="6">
        <v>4717.24</v>
      </c>
      <c r="D185" s="7">
        <v>45946</v>
      </c>
      <c r="F185" s="0" t="s">
        <v>297</v>
      </c>
    </row>
    <row r="186">
      <c r="A186" s="0" t="s">
        <v>309</v>
      </c>
      <c r="B186" s="16" t="s">
        <v>318</v>
      </c>
      <c r="C186" s="6">
        <v>5424.83</v>
      </c>
      <c r="D186" s="7">
        <v>45946</v>
      </c>
      <c r="F186" s="0" t="s">
        <v>310</v>
      </c>
    </row>
    <row r="187">
      <c r="A187" s="0" t="s">
        <v>221</v>
      </c>
      <c r="B187" s="16" t="s">
        <v>312</v>
      </c>
      <c r="C187" s="6">
        <v>5573.25</v>
      </c>
      <c r="D187" s="7">
        <v>45946</v>
      </c>
      <c r="F187" s="0" t="s">
        <v>222</v>
      </c>
    </row>
    <row r="188">
      <c r="A188" s="0" t="s">
        <v>249</v>
      </c>
      <c r="B188" s="16" t="s">
        <v>312</v>
      </c>
      <c r="C188" s="6">
        <v>7075.85</v>
      </c>
      <c r="D188" s="7">
        <v>45946</v>
      </c>
      <c r="F188" s="0" t="s">
        <v>250</v>
      </c>
    </row>
    <row r="189">
      <c r="A189" s="0" t="s">
        <v>217</v>
      </c>
      <c r="B189" s="16" t="s">
        <v>312</v>
      </c>
      <c r="C189" s="6">
        <v>5573.25</v>
      </c>
      <c r="D189" s="7">
        <v>45946</v>
      </c>
      <c r="F189" s="0" t="s">
        <v>218</v>
      </c>
    </row>
    <row r="190">
      <c r="A190" s="0" t="s">
        <v>284</v>
      </c>
      <c r="B190" s="16" t="s">
        <v>312</v>
      </c>
      <c r="C190" s="6">
        <v>6825.43</v>
      </c>
      <c r="D190" s="7">
        <v>45946</v>
      </c>
      <c r="F190" s="0" t="s">
        <v>285</v>
      </c>
    </row>
    <row r="191">
      <c r="A191" s="0" t="s">
        <v>199</v>
      </c>
      <c r="B191" s="16" t="s">
        <v>312</v>
      </c>
      <c r="C191" s="6">
        <v>5573.25</v>
      </c>
      <c r="D191" s="7">
        <v>45946</v>
      </c>
      <c r="F191" s="0" t="s">
        <v>200</v>
      </c>
    </row>
    <row r="192">
      <c r="A192" s="0" t="s">
        <v>227</v>
      </c>
      <c r="B192" s="16" t="s">
        <v>312</v>
      </c>
      <c r="C192" s="6">
        <v>5573.25</v>
      </c>
      <c r="D192" s="7">
        <v>45946</v>
      </c>
      <c r="F192" s="0" t="s">
        <v>228</v>
      </c>
    </row>
    <row r="193">
      <c r="A193" s="0" t="s">
        <v>207</v>
      </c>
      <c r="B193" s="16" t="s">
        <v>319</v>
      </c>
      <c r="C193" s="6">
        <v>6368.28</v>
      </c>
      <c r="D193" s="7">
        <v>45946</v>
      </c>
      <c r="F193" s="0" t="s">
        <v>208</v>
      </c>
    </row>
    <row r="194">
      <c r="A194" s="0" t="s">
        <v>223</v>
      </c>
      <c r="B194" s="16" t="s">
        <v>312</v>
      </c>
      <c r="C194" s="6">
        <v>5573.25</v>
      </c>
      <c r="D194" s="7">
        <v>45946</v>
      </c>
      <c r="F194" s="0" t="s">
        <v>224</v>
      </c>
    </row>
    <row r="195">
      <c r="A195" s="0" t="s">
        <v>203</v>
      </c>
      <c r="B195" s="16" t="s">
        <v>312</v>
      </c>
      <c r="C195" s="6">
        <v>5573.25</v>
      </c>
      <c r="D195" s="7">
        <v>45946</v>
      </c>
      <c r="F195" s="0" t="s">
        <v>204</v>
      </c>
    </row>
    <row r="196">
      <c r="A196" s="0" t="s">
        <v>281</v>
      </c>
      <c r="B196" s="16" t="s">
        <v>312</v>
      </c>
      <c r="C196" s="6">
        <v>7075.85</v>
      </c>
      <c r="D196" s="7">
        <v>45946</v>
      </c>
      <c r="F196" s="0" t="s">
        <v>282</v>
      </c>
    </row>
    <row r="197">
      <c r="A197" s="0" t="s">
        <v>320</v>
      </c>
      <c r="B197" s="16" t="s">
        <v>312</v>
      </c>
      <c r="C197" s="6">
        <v>2447.95</v>
      </c>
      <c r="D197" s="7">
        <v>45946</v>
      </c>
      <c r="F197" s="0" t="s">
        <v>321</v>
      </c>
    </row>
    <row r="198">
      <c r="A198" s="0" t="s">
        <v>225</v>
      </c>
      <c r="B198" s="16" t="s">
        <v>322</v>
      </c>
      <c r="C198" s="6">
        <v>1300.42</v>
      </c>
      <c r="D198" s="7">
        <v>45937</v>
      </c>
      <c r="F198" s="0" t="s">
        <v>226</v>
      </c>
    </row>
    <row r="199">
      <c r="A199" s="0" t="s">
        <v>225</v>
      </c>
      <c r="B199" s="16" t="s">
        <v>323</v>
      </c>
      <c r="C199" s="6">
        <v>4466.8</v>
      </c>
      <c r="D199" s="7">
        <v>45923</v>
      </c>
      <c r="F199" s="0" t="s">
        <v>226</v>
      </c>
    </row>
    <row r="200">
      <c r="A200" s="0" t="s">
        <v>315</v>
      </c>
      <c r="B200" s="16" t="s">
        <v>324</v>
      </c>
      <c r="C200" s="6">
        <v>4717.24</v>
      </c>
      <c r="D200" s="7">
        <v>45919</v>
      </c>
      <c r="F200" s="0" t="s">
        <v>316</v>
      </c>
    </row>
    <row r="201">
      <c r="A201" s="0" t="s">
        <v>313</v>
      </c>
      <c r="B201" s="16" t="s">
        <v>325</v>
      </c>
      <c r="C201" s="6">
        <v>943.45</v>
      </c>
      <c r="D201" s="7">
        <v>45919</v>
      </c>
      <c r="F201" s="0" t="s">
        <v>314</v>
      </c>
    </row>
    <row r="202">
      <c r="A202" s="0" t="s">
        <v>320</v>
      </c>
      <c r="B202" s="16" t="s">
        <v>325</v>
      </c>
      <c r="C202" s="6">
        <v>943.45</v>
      </c>
      <c r="D202" s="7">
        <v>45919</v>
      </c>
      <c r="F202" s="0" t="s">
        <v>321</v>
      </c>
    </row>
    <row r="203">
      <c r="A203" s="0" t="s">
        <v>326</v>
      </c>
      <c r="B203" s="16" t="s">
        <v>325</v>
      </c>
      <c r="C203" s="6">
        <v>796.93</v>
      </c>
      <c r="D203" s="7">
        <v>45918</v>
      </c>
      <c r="F203" s="0" t="s">
        <v>327</v>
      </c>
    </row>
    <row r="204">
      <c r="A204" s="0" t="s">
        <v>209</v>
      </c>
      <c r="B204" s="16" t="s">
        <v>323</v>
      </c>
      <c r="C204" s="6">
        <v>5759.02</v>
      </c>
      <c r="D204" s="7">
        <v>45917</v>
      </c>
      <c r="F204" s="0" t="s">
        <v>210</v>
      </c>
    </row>
    <row r="205">
      <c r="A205" s="0" t="s">
        <v>298</v>
      </c>
      <c r="B205" s="16" t="s">
        <v>323</v>
      </c>
      <c r="C205" s="6">
        <v>5759.02</v>
      </c>
      <c r="D205" s="7">
        <v>45917</v>
      </c>
      <c r="F205" s="0" t="s">
        <v>299</v>
      </c>
    </row>
    <row r="206">
      <c r="A206" s="0" t="s">
        <v>199</v>
      </c>
      <c r="B206" s="16" t="s">
        <v>323</v>
      </c>
      <c r="C206" s="6">
        <v>5759.02</v>
      </c>
      <c r="D206" s="7">
        <v>45917</v>
      </c>
      <c r="F206" s="0" t="s">
        <v>200</v>
      </c>
    </row>
    <row r="207">
      <c r="A207" s="0" t="s">
        <v>217</v>
      </c>
      <c r="B207" s="16" t="s">
        <v>323</v>
      </c>
      <c r="C207" s="6">
        <v>5859.19</v>
      </c>
      <c r="D207" s="7">
        <v>45917</v>
      </c>
      <c r="F207" s="0" t="s">
        <v>218</v>
      </c>
    </row>
    <row r="208">
      <c r="A208" s="0" t="s">
        <v>284</v>
      </c>
      <c r="B208" s="16" t="s">
        <v>323</v>
      </c>
      <c r="C208" s="6">
        <v>7311.72</v>
      </c>
      <c r="D208" s="7">
        <v>45917</v>
      </c>
      <c r="F208" s="0" t="s">
        <v>285</v>
      </c>
    </row>
    <row r="209">
      <c r="A209" s="0" t="s">
        <v>281</v>
      </c>
      <c r="B209" s="16" t="s">
        <v>328</v>
      </c>
      <c r="C209" s="6">
        <v>4245.52</v>
      </c>
      <c r="D209" s="7">
        <v>45917</v>
      </c>
      <c r="F209" s="0" t="s">
        <v>282</v>
      </c>
    </row>
    <row r="210">
      <c r="A210" s="0" t="s">
        <v>221</v>
      </c>
      <c r="B210" s="16" t="s">
        <v>323</v>
      </c>
      <c r="C210" s="6">
        <v>5759.02</v>
      </c>
      <c r="D210" s="7">
        <v>45917</v>
      </c>
      <c r="F210" s="0" t="s">
        <v>222</v>
      </c>
    </row>
    <row r="211">
      <c r="A211" s="0" t="s">
        <v>329</v>
      </c>
      <c r="B211" s="16" t="s">
        <v>323</v>
      </c>
      <c r="C211" s="6">
        <v>760.96</v>
      </c>
      <c r="D211" s="7">
        <v>45917</v>
      </c>
      <c r="F211" s="0" t="s">
        <v>330</v>
      </c>
    </row>
    <row r="212">
      <c r="A212" s="0" t="s">
        <v>203</v>
      </c>
      <c r="B212" s="16" t="s">
        <v>323</v>
      </c>
      <c r="C212" s="6">
        <v>5759.02</v>
      </c>
      <c r="D212" s="7">
        <v>45917</v>
      </c>
      <c r="F212" s="0" t="s">
        <v>204</v>
      </c>
    </row>
    <row r="213">
      <c r="A213" s="0" t="s">
        <v>331</v>
      </c>
      <c r="B213" s="16" t="s">
        <v>323</v>
      </c>
      <c r="C213" s="6">
        <v>2415.07</v>
      </c>
      <c r="D213" s="7">
        <v>45917</v>
      </c>
      <c r="F213" s="0" t="s">
        <v>332</v>
      </c>
    </row>
    <row r="214">
      <c r="A214" s="0" t="s">
        <v>205</v>
      </c>
      <c r="B214" s="16" t="s">
        <v>323</v>
      </c>
      <c r="C214" s="6">
        <v>5759.02</v>
      </c>
      <c r="D214" s="7">
        <v>45917</v>
      </c>
      <c r="F214" s="0" t="s">
        <v>206</v>
      </c>
    </row>
    <row r="215">
      <c r="A215" s="0" t="s">
        <v>227</v>
      </c>
      <c r="B215" s="16" t="s">
        <v>323</v>
      </c>
      <c r="C215" s="6">
        <v>5759.02</v>
      </c>
      <c r="D215" s="7">
        <v>45917</v>
      </c>
      <c r="F215" s="0" t="s">
        <v>228</v>
      </c>
    </row>
    <row r="216">
      <c r="A216" s="0" t="s">
        <v>181</v>
      </c>
      <c r="B216" s="16" t="s">
        <v>323</v>
      </c>
      <c r="C216" s="6">
        <v>5759.02</v>
      </c>
      <c r="D216" s="7">
        <v>45917</v>
      </c>
      <c r="F216" s="0" t="s">
        <v>182</v>
      </c>
    </row>
    <row r="217">
      <c r="A217" s="0" t="s">
        <v>249</v>
      </c>
      <c r="B217" s="16" t="s">
        <v>333</v>
      </c>
      <c r="C217" s="6">
        <v>2358.61</v>
      </c>
      <c r="D217" s="7">
        <v>45917</v>
      </c>
      <c r="F217" s="0" t="s">
        <v>250</v>
      </c>
    </row>
    <row r="218">
      <c r="A218" s="0" t="s">
        <v>223</v>
      </c>
      <c r="B218" s="16" t="s">
        <v>323</v>
      </c>
      <c r="C218" s="6">
        <v>6560.41</v>
      </c>
      <c r="D218" s="7">
        <v>45917</v>
      </c>
      <c r="F218" s="0" t="s">
        <v>224</v>
      </c>
    </row>
    <row r="219">
      <c r="A219" s="0" t="s">
        <v>215</v>
      </c>
      <c r="B219" s="16" t="s">
        <v>323</v>
      </c>
      <c r="C219" s="6">
        <v>5759.02</v>
      </c>
      <c r="D219" s="7">
        <v>45917</v>
      </c>
      <c r="F219" s="0" t="s">
        <v>216</v>
      </c>
    </row>
    <row r="220">
      <c r="A220" s="0" t="s">
        <v>329</v>
      </c>
      <c r="B220" s="16" t="s">
        <v>334</v>
      </c>
      <c r="C220" s="6">
        <v>5848.36</v>
      </c>
      <c r="D220" s="7">
        <v>45915</v>
      </c>
      <c r="E220" s="0" t="s">
        <v>260</v>
      </c>
      <c r="F220" s="0" t="s">
        <v>330</v>
      </c>
    </row>
    <row r="221">
      <c r="A221" s="0" t="s">
        <v>199</v>
      </c>
      <c r="B221" s="16" t="s">
        <v>334</v>
      </c>
      <c r="C221" s="6">
        <v>5759.02</v>
      </c>
      <c r="D221" s="7">
        <v>45889</v>
      </c>
      <c r="F221" s="0" t="s">
        <v>200</v>
      </c>
    </row>
    <row r="222">
      <c r="A222" s="0" t="s">
        <v>215</v>
      </c>
      <c r="B222" s="16" t="s">
        <v>334</v>
      </c>
      <c r="C222" s="6">
        <v>5759.02</v>
      </c>
      <c r="D222" s="7">
        <v>45889</v>
      </c>
      <c r="F222" s="0" t="s">
        <v>216</v>
      </c>
    </row>
    <row r="223">
      <c r="A223" s="0" t="s">
        <v>284</v>
      </c>
      <c r="B223" s="16" t="s">
        <v>335</v>
      </c>
      <c r="C223" s="6">
        <v>943.45</v>
      </c>
      <c r="D223" s="7">
        <v>45888</v>
      </c>
      <c r="F223" s="0" t="s">
        <v>285</v>
      </c>
    </row>
    <row r="224">
      <c r="A224" s="0" t="s">
        <v>217</v>
      </c>
      <c r="B224" s="16" t="s">
        <v>334</v>
      </c>
      <c r="C224" s="6">
        <v>7311.72</v>
      </c>
      <c r="D224" s="7">
        <v>45887</v>
      </c>
      <c r="F224" s="0" t="s">
        <v>218</v>
      </c>
    </row>
    <row r="225">
      <c r="A225" s="0" t="s">
        <v>223</v>
      </c>
      <c r="B225" s="16" t="s">
        <v>334</v>
      </c>
      <c r="C225" s="6">
        <v>7311.72</v>
      </c>
      <c r="D225" s="7">
        <v>45884</v>
      </c>
      <c r="F225" s="0" t="s">
        <v>224</v>
      </c>
    </row>
    <row r="226">
      <c r="A226" s="0" t="s">
        <v>181</v>
      </c>
      <c r="B226" s="16" t="s">
        <v>334</v>
      </c>
      <c r="C226" s="6">
        <v>5759.02</v>
      </c>
      <c r="D226" s="7">
        <v>45884</v>
      </c>
      <c r="F226" s="0" t="s">
        <v>182</v>
      </c>
    </row>
    <row r="227">
      <c r="A227" s="0" t="s">
        <v>227</v>
      </c>
      <c r="B227" s="16" t="s">
        <v>334</v>
      </c>
      <c r="C227" s="6">
        <v>5759.02</v>
      </c>
      <c r="D227" s="7">
        <v>45884</v>
      </c>
      <c r="F227" s="0" t="s">
        <v>228</v>
      </c>
    </row>
    <row r="228">
      <c r="A228" s="0" t="s">
        <v>209</v>
      </c>
      <c r="B228" s="16" t="s">
        <v>334</v>
      </c>
      <c r="C228" s="6">
        <v>5759.02</v>
      </c>
      <c r="D228" s="7">
        <v>45884</v>
      </c>
      <c r="F228" s="0" t="s">
        <v>210</v>
      </c>
    </row>
    <row r="229">
      <c r="A229" s="0" t="s">
        <v>203</v>
      </c>
      <c r="B229" s="16" t="s">
        <v>334</v>
      </c>
      <c r="C229" s="6">
        <v>5759.02</v>
      </c>
      <c r="D229" s="7">
        <v>45884</v>
      </c>
      <c r="F229" s="0" t="s">
        <v>204</v>
      </c>
    </row>
    <row r="230">
      <c r="A230" s="0" t="s">
        <v>221</v>
      </c>
      <c r="B230" s="16" t="s">
        <v>334</v>
      </c>
      <c r="C230" s="6">
        <v>5759.02</v>
      </c>
      <c r="D230" s="7">
        <v>45884</v>
      </c>
      <c r="F230" s="0" t="s">
        <v>222</v>
      </c>
    </row>
    <row r="231">
      <c r="A231" s="0" t="s">
        <v>298</v>
      </c>
      <c r="B231" s="16" t="s">
        <v>334</v>
      </c>
      <c r="C231" s="6">
        <v>6259.89</v>
      </c>
      <c r="D231" s="7">
        <v>45884</v>
      </c>
      <c r="F231" s="0" t="s">
        <v>299</v>
      </c>
    </row>
    <row r="232">
      <c r="A232" s="0" t="s">
        <v>331</v>
      </c>
      <c r="B232" s="16" t="s">
        <v>334</v>
      </c>
      <c r="C232" s="6">
        <v>5759.02</v>
      </c>
      <c r="D232" s="7">
        <v>45884</v>
      </c>
      <c r="F232" s="0" t="s">
        <v>332</v>
      </c>
    </row>
    <row r="233">
      <c r="A233" s="0" t="s">
        <v>205</v>
      </c>
      <c r="B233" s="16" t="s">
        <v>334</v>
      </c>
      <c r="C233" s="6">
        <v>5759.02</v>
      </c>
      <c r="D233" s="7">
        <v>45884</v>
      </c>
      <c r="F233" s="0" t="s">
        <v>206</v>
      </c>
    </row>
    <row r="234">
      <c r="A234" s="0" t="s">
        <v>225</v>
      </c>
      <c r="B234" s="16" t="s">
        <v>334</v>
      </c>
      <c r="C234" s="6">
        <v>7311.72</v>
      </c>
      <c r="D234" s="7">
        <v>45884</v>
      </c>
      <c r="F234" s="0" t="s">
        <v>226</v>
      </c>
    </row>
    <row r="235">
      <c r="A235" s="0" t="s">
        <v>336</v>
      </c>
      <c r="B235" s="16" t="s">
        <v>337</v>
      </c>
      <c r="C235" s="6">
        <v>471.72</v>
      </c>
      <c r="D235" s="7">
        <v>45861</v>
      </c>
      <c r="F235" s="0" t="s">
        <v>338</v>
      </c>
    </row>
    <row r="236">
      <c r="A236" s="0" t="s">
        <v>225</v>
      </c>
      <c r="B236" s="16" t="s">
        <v>339</v>
      </c>
      <c r="C236" s="6">
        <v>3302.07</v>
      </c>
      <c r="D236" s="7">
        <v>45859</v>
      </c>
      <c r="F236" s="0" t="s">
        <v>226</v>
      </c>
    </row>
    <row r="237">
      <c r="A237" s="0" t="s">
        <v>227</v>
      </c>
      <c r="B237" s="16" t="s">
        <v>337</v>
      </c>
      <c r="C237" s="6">
        <v>5573.25</v>
      </c>
      <c r="D237" s="7">
        <v>45855</v>
      </c>
      <c r="F237" s="0" t="s">
        <v>228</v>
      </c>
    </row>
    <row r="238">
      <c r="A238" s="0" t="s">
        <v>329</v>
      </c>
      <c r="B238" s="16" t="s">
        <v>337</v>
      </c>
      <c r="C238" s="6">
        <v>6625.07</v>
      </c>
      <c r="D238" s="7">
        <v>45855</v>
      </c>
      <c r="F238" s="0" t="s">
        <v>330</v>
      </c>
    </row>
    <row r="239">
      <c r="A239" s="0" t="s">
        <v>181</v>
      </c>
      <c r="B239" s="16" t="s">
        <v>337</v>
      </c>
      <c r="C239" s="6">
        <v>5573.25</v>
      </c>
      <c r="D239" s="7">
        <v>45855</v>
      </c>
      <c r="F239" s="0" t="s">
        <v>182</v>
      </c>
    </row>
    <row r="240">
      <c r="A240" s="0" t="s">
        <v>205</v>
      </c>
      <c r="B240" s="16" t="s">
        <v>337</v>
      </c>
      <c r="C240" s="6">
        <v>5573.25</v>
      </c>
      <c r="D240" s="7">
        <v>45854</v>
      </c>
      <c r="F240" s="0" t="s">
        <v>206</v>
      </c>
    </row>
    <row r="241">
      <c r="A241" s="0" t="s">
        <v>221</v>
      </c>
      <c r="B241" s="16" t="s">
        <v>337</v>
      </c>
      <c r="C241" s="6">
        <v>5573.25</v>
      </c>
      <c r="D241" s="7">
        <v>45854</v>
      </c>
      <c r="F241" s="0" t="s">
        <v>222</v>
      </c>
    </row>
    <row r="242">
      <c r="A242" s="0" t="s">
        <v>209</v>
      </c>
      <c r="B242" s="16" t="s">
        <v>337</v>
      </c>
      <c r="C242" s="6">
        <v>5573.25</v>
      </c>
      <c r="D242" s="7">
        <v>45854</v>
      </c>
      <c r="F242" s="0" t="s">
        <v>210</v>
      </c>
    </row>
    <row r="243">
      <c r="A243" s="0" t="s">
        <v>298</v>
      </c>
      <c r="B243" s="16" t="s">
        <v>337</v>
      </c>
      <c r="C243" s="6">
        <v>7075.85</v>
      </c>
      <c r="D243" s="7">
        <v>45854</v>
      </c>
      <c r="F243" s="0" t="s">
        <v>299</v>
      </c>
    </row>
    <row r="244">
      <c r="A244" s="0" t="s">
        <v>340</v>
      </c>
      <c r="B244" s="16" t="s">
        <v>337</v>
      </c>
      <c r="C244" s="6">
        <v>2755.29</v>
      </c>
      <c r="D244" s="7">
        <v>45854</v>
      </c>
      <c r="F244" s="0" t="s">
        <v>341</v>
      </c>
    </row>
    <row r="245">
      <c r="A245" s="0" t="s">
        <v>331</v>
      </c>
      <c r="B245" s="16" t="s">
        <v>337</v>
      </c>
      <c r="C245" s="6">
        <v>5573.25</v>
      </c>
      <c r="D245" s="7">
        <v>45854</v>
      </c>
      <c r="F245" s="0" t="s">
        <v>332</v>
      </c>
    </row>
    <row r="246">
      <c r="A246" s="0" t="s">
        <v>215</v>
      </c>
      <c r="B246" s="16" t="s">
        <v>337</v>
      </c>
      <c r="C246" s="6">
        <v>5573.25</v>
      </c>
      <c r="D246" s="7">
        <v>45854</v>
      </c>
      <c r="F246" s="0" t="s">
        <v>216</v>
      </c>
    </row>
    <row r="247">
      <c r="A247" s="0" t="s">
        <v>342</v>
      </c>
      <c r="B247" s="16" t="s">
        <v>337</v>
      </c>
      <c r="C247" s="6">
        <v>4542.01</v>
      </c>
      <c r="D247" s="7">
        <v>45854</v>
      </c>
      <c r="F247" s="0" t="s">
        <v>343</v>
      </c>
    </row>
    <row r="248">
      <c r="A248" s="0" t="s">
        <v>217</v>
      </c>
      <c r="B248" s="16" t="s">
        <v>344</v>
      </c>
      <c r="C248" s="6">
        <v>6368.28</v>
      </c>
      <c r="D248" s="7">
        <v>45854</v>
      </c>
      <c r="F248" s="0" t="s">
        <v>218</v>
      </c>
    </row>
    <row r="249">
      <c r="A249" s="0" t="s">
        <v>203</v>
      </c>
      <c r="B249" s="16" t="s">
        <v>337</v>
      </c>
      <c r="C249" s="6">
        <v>5573.25</v>
      </c>
      <c r="D249" s="7">
        <v>45854</v>
      </c>
      <c r="F249" s="0" t="s">
        <v>204</v>
      </c>
    </row>
    <row r="250">
      <c r="A250" s="0" t="s">
        <v>345</v>
      </c>
      <c r="B250" s="16" t="s">
        <v>337</v>
      </c>
      <c r="C250" s="6">
        <v>5573.25</v>
      </c>
      <c r="D250" s="7">
        <v>45854</v>
      </c>
      <c r="F250" s="0" t="s">
        <v>346</v>
      </c>
    </row>
    <row r="251">
      <c r="A251" s="0" t="s">
        <v>347</v>
      </c>
      <c r="B251" s="16" t="s">
        <v>337</v>
      </c>
      <c r="C251" s="6">
        <v>253.74</v>
      </c>
      <c r="D251" s="7">
        <v>45854</v>
      </c>
      <c r="F251" s="0" t="s">
        <v>348</v>
      </c>
    </row>
    <row r="252">
      <c r="A252" s="0" t="s">
        <v>199</v>
      </c>
      <c r="B252" s="16" t="s">
        <v>337</v>
      </c>
      <c r="C252" s="6">
        <v>5573.24</v>
      </c>
      <c r="D252" s="7">
        <v>45854</v>
      </c>
      <c r="F252" s="0" t="s">
        <v>200</v>
      </c>
    </row>
    <row r="253">
      <c r="A253" s="0" t="s">
        <v>223</v>
      </c>
      <c r="B253" s="16" t="s">
        <v>349</v>
      </c>
      <c r="C253" s="6">
        <v>3066.2</v>
      </c>
      <c r="D253" s="7">
        <v>45854</v>
      </c>
      <c r="F253" s="0" t="s">
        <v>224</v>
      </c>
    </row>
    <row r="254">
      <c r="A254" s="0" t="s">
        <v>347</v>
      </c>
      <c r="B254" s="16" t="s">
        <v>350</v>
      </c>
      <c r="C254" s="6">
        <v>7383.19</v>
      </c>
      <c r="D254" s="7">
        <v>45853</v>
      </c>
      <c r="E254" s="0" t="s">
        <v>260</v>
      </c>
      <c r="F254" s="0" t="s">
        <v>348</v>
      </c>
    </row>
    <row r="255">
      <c r="A255" s="0" t="s">
        <v>351</v>
      </c>
      <c r="B255" s="16" t="s">
        <v>352</v>
      </c>
      <c r="C255" s="6">
        <v>4570.71</v>
      </c>
      <c r="D255" s="7">
        <v>45831</v>
      </c>
      <c r="F255" s="0" t="s">
        <v>353</v>
      </c>
    </row>
    <row r="256">
      <c r="A256" s="0" t="s">
        <v>354</v>
      </c>
      <c r="B256" s="16" t="s">
        <v>355</v>
      </c>
      <c r="C256" s="6">
        <v>3773.79</v>
      </c>
      <c r="D256" s="7">
        <v>45831</v>
      </c>
      <c r="F256" s="0" t="s">
        <v>356</v>
      </c>
    </row>
    <row r="257">
      <c r="A257" s="0" t="s">
        <v>357</v>
      </c>
      <c r="B257" s="16" t="s">
        <v>358</v>
      </c>
      <c r="C257" s="6">
        <v>1447.33</v>
      </c>
      <c r="D257" s="7">
        <v>45825</v>
      </c>
      <c r="F257" s="0" t="s">
        <v>359</v>
      </c>
    </row>
    <row r="258">
      <c r="A258" s="0" t="s">
        <v>329</v>
      </c>
      <c r="B258" s="16" t="s">
        <v>350</v>
      </c>
      <c r="C258" s="6">
        <v>7311.72</v>
      </c>
      <c r="D258" s="7">
        <v>45825</v>
      </c>
      <c r="F258" s="0" t="s">
        <v>330</v>
      </c>
    </row>
    <row r="259">
      <c r="A259" s="0" t="s">
        <v>203</v>
      </c>
      <c r="B259" s="16" t="s">
        <v>350</v>
      </c>
      <c r="C259" s="6">
        <v>5759.02</v>
      </c>
      <c r="D259" s="7">
        <v>45825</v>
      </c>
      <c r="F259" s="0" t="s">
        <v>204</v>
      </c>
    </row>
    <row r="260">
      <c r="A260" s="0" t="s">
        <v>360</v>
      </c>
      <c r="B260" s="16" t="s">
        <v>350</v>
      </c>
      <c r="C260" s="6">
        <v>253.74</v>
      </c>
      <c r="D260" s="7">
        <v>45825</v>
      </c>
      <c r="F260" s="0" t="s">
        <v>361</v>
      </c>
    </row>
    <row r="261">
      <c r="A261" s="0" t="s">
        <v>342</v>
      </c>
      <c r="B261" s="16" t="s">
        <v>350</v>
      </c>
      <c r="C261" s="6">
        <v>7311.72</v>
      </c>
      <c r="D261" s="7">
        <v>45825</v>
      </c>
      <c r="F261" s="0" t="s">
        <v>343</v>
      </c>
    </row>
    <row r="262">
      <c r="A262" s="0" t="s">
        <v>227</v>
      </c>
      <c r="B262" s="16" t="s">
        <v>350</v>
      </c>
      <c r="C262" s="6">
        <v>5759.02</v>
      </c>
      <c r="D262" s="7">
        <v>45825</v>
      </c>
      <c r="F262" s="0" t="s">
        <v>228</v>
      </c>
    </row>
    <row r="263">
      <c r="A263" s="0" t="s">
        <v>209</v>
      </c>
      <c r="B263" s="16" t="s">
        <v>350</v>
      </c>
      <c r="C263" s="6">
        <v>5759.02</v>
      </c>
      <c r="D263" s="7">
        <v>45825</v>
      </c>
      <c r="F263" s="0" t="s">
        <v>210</v>
      </c>
    </row>
    <row r="264">
      <c r="A264" s="0" t="s">
        <v>199</v>
      </c>
      <c r="B264" s="16" t="s">
        <v>350</v>
      </c>
      <c r="C264" s="6">
        <v>5759.02</v>
      </c>
      <c r="D264" s="7">
        <v>45825</v>
      </c>
      <c r="F264" s="0" t="s">
        <v>200</v>
      </c>
    </row>
    <row r="265">
      <c r="A265" s="0" t="s">
        <v>336</v>
      </c>
      <c r="B265" s="16" t="s">
        <v>362</v>
      </c>
      <c r="C265" s="6">
        <v>4245.52</v>
      </c>
      <c r="D265" s="7">
        <v>45825</v>
      </c>
      <c r="F265" s="0" t="s">
        <v>338</v>
      </c>
    </row>
    <row r="266">
      <c r="A266" s="0" t="s">
        <v>340</v>
      </c>
      <c r="B266" s="16" t="s">
        <v>363</v>
      </c>
      <c r="C266" s="6">
        <v>707.59</v>
      </c>
      <c r="D266" s="7">
        <v>45825</v>
      </c>
      <c r="F266" s="0" t="s">
        <v>341</v>
      </c>
    </row>
    <row r="267">
      <c r="A267" s="0" t="s">
        <v>205</v>
      </c>
      <c r="B267" s="16" t="s">
        <v>350</v>
      </c>
      <c r="C267" s="6">
        <v>6860.94</v>
      </c>
      <c r="D267" s="7">
        <v>45825</v>
      </c>
      <c r="F267" s="0" t="s">
        <v>206</v>
      </c>
    </row>
    <row r="268">
      <c r="A268" s="0" t="s">
        <v>331</v>
      </c>
      <c r="B268" s="16" t="s">
        <v>350</v>
      </c>
      <c r="C268" s="6">
        <v>6209.81</v>
      </c>
      <c r="D268" s="7">
        <v>45825</v>
      </c>
      <c r="F268" s="0" t="s">
        <v>332</v>
      </c>
    </row>
    <row r="269">
      <c r="A269" s="0" t="s">
        <v>364</v>
      </c>
      <c r="B269" s="16" t="s">
        <v>350</v>
      </c>
      <c r="C269" s="6">
        <v>4272.82</v>
      </c>
      <c r="D269" s="7">
        <v>45825</v>
      </c>
      <c r="F269" s="0" t="s">
        <v>365</v>
      </c>
    </row>
    <row r="270">
      <c r="A270" s="0" t="s">
        <v>181</v>
      </c>
      <c r="B270" s="16" t="s">
        <v>350</v>
      </c>
      <c r="C270" s="6">
        <v>5759.02</v>
      </c>
      <c r="D270" s="7">
        <v>45825</v>
      </c>
      <c r="F270" s="0" t="s">
        <v>182</v>
      </c>
    </row>
    <row r="271">
      <c r="A271" s="0" t="s">
        <v>298</v>
      </c>
      <c r="B271" s="16" t="s">
        <v>366</v>
      </c>
      <c r="C271" s="6">
        <v>4717.24</v>
      </c>
      <c r="D271" s="7">
        <v>45825</v>
      </c>
      <c r="F271" s="0" t="s">
        <v>299</v>
      </c>
    </row>
    <row r="272">
      <c r="A272" s="0" t="s">
        <v>215</v>
      </c>
      <c r="B272" s="16" t="s">
        <v>350</v>
      </c>
      <c r="C272" s="6">
        <v>5759.02</v>
      </c>
      <c r="D272" s="7">
        <v>45825</v>
      </c>
      <c r="F272" s="0" t="s">
        <v>216</v>
      </c>
    </row>
    <row r="273">
      <c r="A273" s="0" t="s">
        <v>345</v>
      </c>
      <c r="B273" s="16" t="s">
        <v>350</v>
      </c>
      <c r="C273" s="6">
        <v>6259.89</v>
      </c>
      <c r="D273" s="7">
        <v>45825</v>
      </c>
      <c r="F273" s="0" t="s">
        <v>346</v>
      </c>
    </row>
    <row r="274">
      <c r="A274" s="0" t="s">
        <v>221</v>
      </c>
      <c r="B274" s="16" t="s">
        <v>350</v>
      </c>
      <c r="C274" s="6">
        <v>5909.28</v>
      </c>
      <c r="D274" s="7">
        <v>45825</v>
      </c>
      <c r="F274" s="0" t="s">
        <v>222</v>
      </c>
    </row>
    <row r="275">
      <c r="A275" s="0" t="s">
        <v>351</v>
      </c>
      <c r="B275" s="16" t="s">
        <v>367</v>
      </c>
      <c r="C275" s="6">
        <v>1415.17</v>
      </c>
      <c r="D275" s="7">
        <v>45817</v>
      </c>
      <c r="F275" s="0" t="s">
        <v>353</v>
      </c>
    </row>
    <row r="276">
      <c r="A276" s="0" t="s">
        <v>203</v>
      </c>
      <c r="B276" s="16" t="s">
        <v>352</v>
      </c>
      <c r="C276" s="6">
        <v>5573.25</v>
      </c>
      <c r="D276" s="7">
        <v>45804</v>
      </c>
      <c r="F276" s="0" t="s">
        <v>204</v>
      </c>
    </row>
    <row r="277">
      <c r="A277" s="0" t="s">
        <v>329</v>
      </c>
      <c r="B277" s="16" t="s">
        <v>368</v>
      </c>
      <c r="C277" s="6">
        <v>1886.89</v>
      </c>
      <c r="D277" s="7">
        <v>45799</v>
      </c>
      <c r="F277" s="0" t="s">
        <v>330</v>
      </c>
    </row>
    <row r="278">
      <c r="A278" s="0" t="s">
        <v>347</v>
      </c>
      <c r="B278" s="16" t="s">
        <v>369</v>
      </c>
      <c r="C278" s="6">
        <v>3066.2</v>
      </c>
      <c r="D278" s="7">
        <v>45793</v>
      </c>
      <c r="F278" s="0" t="s">
        <v>348</v>
      </c>
    </row>
    <row r="279">
      <c r="A279" s="0" t="s">
        <v>209</v>
      </c>
      <c r="B279" s="16" t="s">
        <v>352</v>
      </c>
      <c r="C279" s="6">
        <v>5573.25</v>
      </c>
      <c r="D279" s="7">
        <v>45793</v>
      </c>
      <c r="F279" s="0" t="s">
        <v>210</v>
      </c>
    </row>
    <row r="280">
      <c r="A280" s="0" t="s">
        <v>215</v>
      </c>
      <c r="B280" s="16" t="s">
        <v>352</v>
      </c>
      <c r="C280" s="6">
        <v>5573.25</v>
      </c>
      <c r="D280" s="7">
        <v>45793</v>
      </c>
      <c r="F280" s="0" t="s">
        <v>216</v>
      </c>
    </row>
    <row r="281">
      <c r="A281" s="0" t="s">
        <v>205</v>
      </c>
      <c r="B281" s="16" t="s">
        <v>352</v>
      </c>
      <c r="C281" s="6">
        <v>7075.85</v>
      </c>
      <c r="D281" s="7">
        <v>45793</v>
      </c>
      <c r="F281" s="0" t="s">
        <v>206</v>
      </c>
    </row>
    <row r="282">
      <c r="A282" s="0" t="s">
        <v>331</v>
      </c>
      <c r="B282" s="16" t="s">
        <v>352</v>
      </c>
      <c r="C282" s="6">
        <v>7075.85</v>
      </c>
      <c r="D282" s="7">
        <v>45793</v>
      </c>
      <c r="F282" s="0" t="s">
        <v>332</v>
      </c>
    </row>
    <row r="283">
      <c r="A283" s="0" t="s">
        <v>342</v>
      </c>
      <c r="B283" s="16" t="s">
        <v>370</v>
      </c>
      <c r="C283" s="6">
        <v>2830.35</v>
      </c>
      <c r="D283" s="7">
        <v>45793</v>
      </c>
      <c r="F283" s="0" t="s">
        <v>343</v>
      </c>
    </row>
    <row r="284">
      <c r="A284" s="0" t="s">
        <v>371</v>
      </c>
      <c r="B284" s="16" t="s">
        <v>352</v>
      </c>
      <c r="C284" s="6">
        <v>203.65</v>
      </c>
      <c r="D284" s="7">
        <v>45793</v>
      </c>
      <c r="F284" s="0" t="s">
        <v>372</v>
      </c>
    </row>
    <row r="285">
      <c r="A285" s="0" t="s">
        <v>345</v>
      </c>
      <c r="B285" s="16" t="s">
        <v>352</v>
      </c>
      <c r="C285" s="6">
        <v>7075.85</v>
      </c>
      <c r="D285" s="7">
        <v>45793</v>
      </c>
      <c r="F285" s="0" t="s">
        <v>346</v>
      </c>
    </row>
    <row r="286">
      <c r="A286" s="0" t="s">
        <v>199</v>
      </c>
      <c r="B286" s="16" t="s">
        <v>352</v>
      </c>
      <c r="C286" s="6">
        <v>5573.25</v>
      </c>
      <c r="D286" s="7">
        <v>45793</v>
      </c>
      <c r="F286" s="0" t="s">
        <v>200</v>
      </c>
    </row>
    <row r="287">
      <c r="A287" s="0" t="s">
        <v>181</v>
      </c>
      <c r="B287" s="16" t="s">
        <v>352</v>
      </c>
      <c r="C287" s="6">
        <v>5573.25</v>
      </c>
      <c r="D287" s="7">
        <v>45793</v>
      </c>
      <c r="F287" s="0" t="s">
        <v>182</v>
      </c>
    </row>
    <row r="288">
      <c r="A288" s="0" t="s">
        <v>227</v>
      </c>
      <c r="B288" s="16" t="s">
        <v>352</v>
      </c>
      <c r="C288" s="6">
        <v>5573.25</v>
      </c>
      <c r="D288" s="7">
        <v>45793</v>
      </c>
      <c r="F288" s="0" t="s">
        <v>228</v>
      </c>
    </row>
    <row r="289">
      <c r="A289" s="0" t="s">
        <v>360</v>
      </c>
      <c r="B289" s="16" t="s">
        <v>352</v>
      </c>
      <c r="C289" s="6">
        <v>7075.85</v>
      </c>
      <c r="D289" s="7">
        <v>45793</v>
      </c>
      <c r="F289" s="0" t="s">
        <v>361</v>
      </c>
    </row>
    <row r="290">
      <c r="A290" s="0" t="s">
        <v>373</v>
      </c>
      <c r="B290" s="16" t="s">
        <v>352</v>
      </c>
      <c r="C290" s="6">
        <v>1268.65</v>
      </c>
      <c r="D290" s="7">
        <v>45793</v>
      </c>
      <c r="F290" s="0" t="s">
        <v>374</v>
      </c>
    </row>
    <row r="291">
      <c r="A291" s="0" t="s">
        <v>375</v>
      </c>
      <c r="B291" s="16" t="s">
        <v>352</v>
      </c>
      <c r="C291" s="6">
        <v>5206.83</v>
      </c>
      <c r="D291" s="7">
        <v>45793</v>
      </c>
      <c r="F291" s="0" t="s">
        <v>376</v>
      </c>
    </row>
    <row r="292">
      <c r="A292" s="0" t="s">
        <v>364</v>
      </c>
      <c r="B292" s="16" t="s">
        <v>352</v>
      </c>
      <c r="C292" s="6">
        <v>5573.25</v>
      </c>
      <c r="D292" s="7">
        <v>45793</v>
      </c>
      <c r="F292" s="0" t="s">
        <v>365</v>
      </c>
    </row>
    <row r="293">
      <c r="A293" s="0" t="s">
        <v>221</v>
      </c>
      <c r="B293" s="16" t="s">
        <v>352</v>
      </c>
      <c r="C293" s="6">
        <v>7075.85</v>
      </c>
      <c r="D293" s="7">
        <v>45793</v>
      </c>
      <c r="F293" s="0" t="s">
        <v>222</v>
      </c>
    </row>
    <row r="294">
      <c r="A294" s="0" t="s">
        <v>371</v>
      </c>
      <c r="B294" s="16" t="s">
        <v>377</v>
      </c>
      <c r="C294" s="6">
        <v>5830.49</v>
      </c>
      <c r="D294" s="7">
        <v>45791</v>
      </c>
      <c r="E294" s="0" t="s">
        <v>260</v>
      </c>
      <c r="F294" s="0" t="s">
        <v>372</v>
      </c>
    </row>
    <row r="295">
      <c r="A295" s="0" t="s">
        <v>378</v>
      </c>
      <c r="B295" s="16" t="s">
        <v>377</v>
      </c>
      <c r="C295" s="6">
        <v>4644.37</v>
      </c>
      <c r="D295" s="7">
        <v>45768</v>
      </c>
      <c r="F295" s="0" t="s">
        <v>379</v>
      </c>
    </row>
    <row r="296">
      <c r="A296" s="0" t="s">
        <v>199</v>
      </c>
      <c r="B296" s="16" t="s">
        <v>377</v>
      </c>
      <c r="C296" s="6">
        <v>5759.02</v>
      </c>
      <c r="D296" s="7">
        <v>45765</v>
      </c>
      <c r="F296" s="0" t="s">
        <v>200</v>
      </c>
    </row>
    <row r="297">
      <c r="A297" s="0" t="s">
        <v>375</v>
      </c>
      <c r="B297" s="16" t="s">
        <v>380</v>
      </c>
      <c r="C297" s="6">
        <v>1886.89</v>
      </c>
      <c r="D297" s="7">
        <v>45764</v>
      </c>
      <c r="F297" s="0" t="s">
        <v>376</v>
      </c>
    </row>
    <row r="298">
      <c r="A298" s="0" t="s">
        <v>203</v>
      </c>
      <c r="B298" s="16" t="s">
        <v>377</v>
      </c>
      <c r="C298" s="6">
        <v>5759.02</v>
      </c>
      <c r="D298" s="7">
        <v>45763</v>
      </c>
      <c r="F298" s="0" t="s">
        <v>204</v>
      </c>
    </row>
    <row r="299">
      <c r="A299" s="0" t="s">
        <v>345</v>
      </c>
      <c r="B299" s="16" t="s">
        <v>381</v>
      </c>
      <c r="C299" s="6">
        <v>4717.24</v>
      </c>
      <c r="D299" s="7">
        <v>45763</v>
      </c>
      <c r="F299" s="0" t="s">
        <v>346</v>
      </c>
    </row>
    <row r="300">
      <c r="A300" s="0" t="s">
        <v>331</v>
      </c>
      <c r="B300" s="16" t="s">
        <v>382</v>
      </c>
      <c r="C300" s="6">
        <v>4953.1</v>
      </c>
      <c r="D300" s="7">
        <v>45763</v>
      </c>
      <c r="F300" s="0" t="s">
        <v>332</v>
      </c>
    </row>
    <row r="301">
      <c r="A301" s="0" t="s">
        <v>360</v>
      </c>
      <c r="B301" s="16" t="s">
        <v>383</v>
      </c>
      <c r="C301" s="6">
        <v>2594.48</v>
      </c>
      <c r="D301" s="7">
        <v>45763</v>
      </c>
      <c r="F301" s="0" t="s">
        <v>361</v>
      </c>
    </row>
    <row r="302">
      <c r="A302" s="0" t="s">
        <v>215</v>
      </c>
      <c r="B302" s="16" t="s">
        <v>377</v>
      </c>
      <c r="C302" s="6">
        <v>7311.72</v>
      </c>
      <c r="D302" s="7">
        <v>45763</v>
      </c>
      <c r="F302" s="0" t="s">
        <v>216</v>
      </c>
    </row>
    <row r="303">
      <c r="A303" s="0" t="s">
        <v>364</v>
      </c>
      <c r="B303" s="16" t="s">
        <v>377</v>
      </c>
      <c r="C303" s="6">
        <v>7261.63</v>
      </c>
      <c r="D303" s="7">
        <v>45763</v>
      </c>
      <c r="F303" s="0" t="s">
        <v>365</v>
      </c>
    </row>
    <row r="304">
      <c r="A304" s="0" t="s">
        <v>373</v>
      </c>
      <c r="B304" s="16" t="s">
        <v>384</v>
      </c>
      <c r="C304" s="6">
        <v>1179.31</v>
      </c>
      <c r="D304" s="7">
        <v>45763</v>
      </c>
      <c r="F304" s="0" t="s">
        <v>374</v>
      </c>
    </row>
    <row r="305">
      <c r="A305" s="0" t="s">
        <v>181</v>
      </c>
      <c r="B305" s="16" t="s">
        <v>377</v>
      </c>
      <c r="C305" s="6">
        <v>5759.02</v>
      </c>
      <c r="D305" s="7">
        <v>45763</v>
      </c>
      <c r="F305" s="0" t="s">
        <v>182</v>
      </c>
    </row>
    <row r="306">
      <c r="A306" s="0" t="s">
        <v>227</v>
      </c>
      <c r="B306" s="16" t="s">
        <v>377</v>
      </c>
      <c r="C306" s="6">
        <v>5759.02</v>
      </c>
      <c r="D306" s="7">
        <v>45763</v>
      </c>
      <c r="F306" s="0" t="s">
        <v>228</v>
      </c>
    </row>
    <row r="307">
      <c r="A307" s="0" t="s">
        <v>221</v>
      </c>
      <c r="B307" s="16" t="s">
        <v>385</v>
      </c>
      <c r="C307" s="6">
        <v>6368.28</v>
      </c>
      <c r="D307" s="7">
        <v>45763</v>
      </c>
      <c r="F307" s="0" t="s">
        <v>222</v>
      </c>
    </row>
    <row r="308">
      <c r="A308" s="0" t="s">
        <v>209</v>
      </c>
      <c r="B308" s="16" t="s">
        <v>377</v>
      </c>
      <c r="C308" s="6">
        <v>5759.02</v>
      </c>
      <c r="D308" s="7">
        <v>45763</v>
      </c>
      <c r="F308" s="0" t="s">
        <v>210</v>
      </c>
    </row>
    <row r="309">
      <c r="A309" s="0" t="s">
        <v>205</v>
      </c>
      <c r="B309" s="16" t="s">
        <v>380</v>
      </c>
      <c r="C309" s="6">
        <v>1886.89</v>
      </c>
      <c r="D309" s="7">
        <v>45763</v>
      </c>
      <c r="F309" s="0" t="s">
        <v>206</v>
      </c>
    </row>
    <row r="310">
      <c r="A310" s="0" t="s">
        <v>378</v>
      </c>
      <c r="B310" s="16" t="s">
        <v>386</v>
      </c>
      <c r="C310" s="6">
        <v>5201.69</v>
      </c>
      <c r="D310" s="7">
        <v>45733</v>
      </c>
      <c r="F310" s="0" t="s">
        <v>379</v>
      </c>
    </row>
    <row r="311">
      <c r="A311" s="0" t="s">
        <v>215</v>
      </c>
      <c r="B311" s="16" t="s">
        <v>386</v>
      </c>
      <c r="C311" s="6">
        <v>6604.13</v>
      </c>
      <c r="D311" s="7">
        <v>45733</v>
      </c>
      <c r="F311" s="0" t="s">
        <v>216</v>
      </c>
    </row>
    <row r="312">
      <c r="A312" s="0" t="s">
        <v>387</v>
      </c>
      <c r="B312" s="16" t="s">
        <v>386</v>
      </c>
      <c r="C312" s="6">
        <v>2737.43</v>
      </c>
      <c r="D312" s="7">
        <v>45733</v>
      </c>
      <c r="F312" s="0" t="s">
        <v>388</v>
      </c>
    </row>
    <row r="313">
      <c r="A313" s="0" t="s">
        <v>371</v>
      </c>
      <c r="B313" s="16" t="s">
        <v>386</v>
      </c>
      <c r="C313" s="6">
        <v>5201.69</v>
      </c>
      <c r="D313" s="7">
        <v>45733</v>
      </c>
      <c r="F313" s="0" t="s">
        <v>372</v>
      </c>
    </row>
    <row r="314">
      <c r="A314" s="0" t="s">
        <v>203</v>
      </c>
      <c r="B314" s="16" t="s">
        <v>386</v>
      </c>
      <c r="C314" s="6">
        <v>5201.69</v>
      </c>
      <c r="D314" s="7">
        <v>45733</v>
      </c>
      <c r="F314" s="0" t="s">
        <v>204</v>
      </c>
    </row>
    <row r="315">
      <c r="A315" s="0" t="s">
        <v>199</v>
      </c>
      <c r="B315" s="16" t="s">
        <v>386</v>
      </c>
      <c r="C315" s="6">
        <v>5201.69</v>
      </c>
      <c r="D315" s="7">
        <v>45733</v>
      </c>
      <c r="F315" s="0" t="s">
        <v>200</v>
      </c>
    </row>
    <row r="316">
      <c r="A316" s="0" t="s">
        <v>181</v>
      </c>
      <c r="B316" s="16" t="s">
        <v>386</v>
      </c>
      <c r="C316" s="6">
        <v>5201.69</v>
      </c>
      <c r="D316" s="7">
        <v>45733</v>
      </c>
      <c r="F316" s="0" t="s">
        <v>182</v>
      </c>
    </row>
    <row r="317">
      <c r="A317" s="0" t="s">
        <v>389</v>
      </c>
      <c r="B317" s="16" t="s">
        <v>386</v>
      </c>
      <c r="C317" s="6">
        <v>725.46</v>
      </c>
      <c r="D317" s="7">
        <v>45733</v>
      </c>
      <c r="F317" s="0" t="s">
        <v>390</v>
      </c>
    </row>
    <row r="318">
      <c r="A318" s="0" t="s">
        <v>209</v>
      </c>
      <c r="B318" s="16" t="s">
        <v>386</v>
      </c>
      <c r="C318" s="6">
        <v>5201.69</v>
      </c>
      <c r="D318" s="7">
        <v>45733</v>
      </c>
      <c r="F318" s="0" t="s">
        <v>210</v>
      </c>
    </row>
    <row r="319">
      <c r="A319" s="0" t="s">
        <v>364</v>
      </c>
      <c r="B319" s="16" t="s">
        <v>386</v>
      </c>
      <c r="C319" s="6">
        <v>6604.13</v>
      </c>
      <c r="D319" s="7">
        <v>45733</v>
      </c>
      <c r="F319" s="0" t="s">
        <v>365</v>
      </c>
    </row>
    <row r="320">
      <c r="A320" s="0" t="s">
        <v>227</v>
      </c>
      <c r="B320" s="16" t="s">
        <v>386</v>
      </c>
      <c r="C320" s="6">
        <v>5201.69</v>
      </c>
      <c r="D320" s="7">
        <v>45733</v>
      </c>
      <c r="F320" s="0" t="s">
        <v>228</v>
      </c>
    </row>
    <row r="321">
      <c r="A321" s="0" t="s">
        <v>391</v>
      </c>
      <c r="B321" s="16" t="s">
        <v>392</v>
      </c>
      <c r="C321" s="6">
        <v>1593.85</v>
      </c>
      <c r="D321" s="7">
        <v>45733</v>
      </c>
      <c r="F321" s="0" t="s">
        <v>393</v>
      </c>
    </row>
    <row r="322">
      <c r="A322" s="0" t="s">
        <v>389</v>
      </c>
      <c r="B322" s="16" t="s">
        <v>394</v>
      </c>
      <c r="C322" s="6">
        <v>7147.34</v>
      </c>
      <c r="D322" s="7">
        <v>45729</v>
      </c>
      <c r="E322" s="0" t="s">
        <v>260</v>
      </c>
      <c r="F322" s="0" t="s">
        <v>390</v>
      </c>
    </row>
    <row r="323">
      <c r="A323" s="0" t="s">
        <v>364</v>
      </c>
      <c r="B323" s="16" t="s">
        <v>395</v>
      </c>
      <c r="C323" s="6">
        <v>471.72</v>
      </c>
      <c r="D323" s="7">
        <v>45708</v>
      </c>
      <c r="F323" s="0" t="s">
        <v>365</v>
      </c>
    </row>
    <row r="324">
      <c r="A324" s="0" t="s">
        <v>396</v>
      </c>
      <c r="B324" s="16" t="s">
        <v>394</v>
      </c>
      <c r="C324" s="6">
        <v>3066.2</v>
      </c>
      <c r="D324" s="7">
        <v>45708</v>
      </c>
      <c r="F324" s="0" t="s">
        <v>397</v>
      </c>
    </row>
    <row r="325">
      <c r="A325" s="0" t="s">
        <v>215</v>
      </c>
      <c r="B325" s="16" t="s">
        <v>398</v>
      </c>
      <c r="C325" s="6">
        <v>235.87</v>
      </c>
      <c r="D325" s="7">
        <v>45707</v>
      </c>
      <c r="F325" s="0" t="s">
        <v>216</v>
      </c>
    </row>
    <row r="326">
      <c r="A326" s="0" t="s">
        <v>387</v>
      </c>
      <c r="B326" s="16" t="s">
        <v>399</v>
      </c>
      <c r="C326" s="6">
        <v>1179.31</v>
      </c>
      <c r="D326" s="7">
        <v>45706</v>
      </c>
      <c r="F326" s="0" t="s">
        <v>388</v>
      </c>
    </row>
    <row r="327">
      <c r="A327" s="0" t="s">
        <v>203</v>
      </c>
      <c r="B327" s="16" t="s">
        <v>400</v>
      </c>
      <c r="C327" s="6">
        <v>5759.02</v>
      </c>
      <c r="D327" s="7">
        <v>45706</v>
      </c>
      <c r="F327" s="0" t="s">
        <v>204</v>
      </c>
    </row>
    <row r="328">
      <c r="A328" s="0" t="s">
        <v>227</v>
      </c>
      <c r="B328" s="16" t="s">
        <v>400</v>
      </c>
      <c r="C328" s="6">
        <v>7011.2</v>
      </c>
      <c r="D328" s="7">
        <v>45706</v>
      </c>
      <c r="F328" s="0" t="s">
        <v>228</v>
      </c>
    </row>
    <row r="329">
      <c r="A329" s="0" t="s">
        <v>371</v>
      </c>
      <c r="B329" s="16" t="s">
        <v>400</v>
      </c>
      <c r="C329" s="6">
        <v>6059.54</v>
      </c>
      <c r="D329" s="7">
        <v>45706</v>
      </c>
      <c r="F329" s="0" t="s">
        <v>372</v>
      </c>
    </row>
    <row r="330">
      <c r="A330" s="0" t="s">
        <v>181</v>
      </c>
      <c r="B330" s="16" t="s">
        <v>400</v>
      </c>
      <c r="C330" s="6">
        <v>6410.15</v>
      </c>
      <c r="D330" s="7">
        <v>45706</v>
      </c>
      <c r="F330" s="0" t="s">
        <v>182</v>
      </c>
    </row>
    <row r="331">
      <c r="A331" s="0" t="s">
        <v>209</v>
      </c>
      <c r="B331" s="16" t="s">
        <v>400</v>
      </c>
      <c r="C331" s="6">
        <v>6259.89</v>
      </c>
      <c r="D331" s="7">
        <v>45706</v>
      </c>
      <c r="F331" s="0" t="s">
        <v>210</v>
      </c>
    </row>
    <row r="332">
      <c r="A332" s="0" t="s">
        <v>401</v>
      </c>
      <c r="B332" s="16" t="s">
        <v>400</v>
      </c>
      <c r="C332" s="6">
        <v>6124.87</v>
      </c>
      <c r="D332" s="7">
        <v>45706</v>
      </c>
      <c r="F332" s="0" t="s">
        <v>402</v>
      </c>
    </row>
    <row r="333">
      <c r="A333" s="0" t="s">
        <v>199</v>
      </c>
      <c r="B333" s="16" t="s">
        <v>400</v>
      </c>
      <c r="C333" s="6">
        <v>5759.02</v>
      </c>
      <c r="D333" s="7">
        <v>45706</v>
      </c>
      <c r="F333" s="0" t="s">
        <v>200</v>
      </c>
    </row>
    <row r="334">
      <c r="A334" s="0" t="s">
        <v>378</v>
      </c>
      <c r="B334" s="16" t="s">
        <v>400</v>
      </c>
      <c r="C334" s="6">
        <v>7311.72</v>
      </c>
      <c r="D334" s="7">
        <v>45706</v>
      </c>
      <c r="F334" s="0" t="s">
        <v>379</v>
      </c>
    </row>
    <row r="335">
      <c r="A335" s="0" t="s">
        <v>371</v>
      </c>
      <c r="B335" s="16" t="s">
        <v>403</v>
      </c>
      <c r="C335" s="6">
        <v>7311.72</v>
      </c>
      <c r="D335" s="7">
        <v>45678</v>
      </c>
      <c r="F335" s="0" t="s">
        <v>372</v>
      </c>
    </row>
    <row r="336">
      <c r="A336" s="0" t="s">
        <v>181</v>
      </c>
      <c r="B336" s="16" t="s">
        <v>403</v>
      </c>
      <c r="C336" s="6">
        <v>7311.72</v>
      </c>
      <c r="D336" s="7">
        <v>45678</v>
      </c>
      <c r="F336" s="0" t="s">
        <v>182</v>
      </c>
    </row>
    <row r="337">
      <c r="A337" s="0" t="s">
        <v>209</v>
      </c>
      <c r="B337" s="16" t="s">
        <v>403</v>
      </c>
      <c r="C337" s="6">
        <v>7311.72</v>
      </c>
      <c r="D337" s="7">
        <v>45678</v>
      </c>
      <c r="F337" s="0" t="s">
        <v>210</v>
      </c>
    </row>
    <row r="338">
      <c r="A338" s="0" t="s">
        <v>404</v>
      </c>
      <c r="B338" s="16" t="s">
        <v>403</v>
      </c>
      <c r="C338" s="6">
        <v>5042.44</v>
      </c>
      <c r="D338" s="7">
        <v>45678</v>
      </c>
      <c r="F338" s="0" t="s">
        <v>405</v>
      </c>
    </row>
    <row r="339">
      <c r="A339" s="0" t="s">
        <v>199</v>
      </c>
      <c r="B339" s="16" t="s">
        <v>403</v>
      </c>
      <c r="C339" s="6">
        <v>5759.02</v>
      </c>
      <c r="D339" s="7">
        <v>45678</v>
      </c>
      <c r="F339" s="0" t="s">
        <v>200</v>
      </c>
    </row>
    <row r="340">
      <c r="A340" s="0" t="s">
        <v>227</v>
      </c>
      <c r="B340" s="16" t="s">
        <v>403</v>
      </c>
      <c r="C340" s="6">
        <v>7311.72</v>
      </c>
      <c r="D340" s="7">
        <v>45678</v>
      </c>
      <c r="F340" s="0" t="s">
        <v>228</v>
      </c>
    </row>
    <row r="341">
      <c r="A341" s="0" t="s">
        <v>378</v>
      </c>
      <c r="B341" s="16" t="s">
        <v>406</v>
      </c>
      <c r="C341" s="6">
        <v>6840</v>
      </c>
      <c r="D341" s="7">
        <v>45678</v>
      </c>
      <c r="F341" s="0" t="s">
        <v>379</v>
      </c>
    </row>
    <row r="342">
      <c r="A342" s="0" t="s">
        <v>401</v>
      </c>
      <c r="B342" s="16" t="s">
        <v>403</v>
      </c>
      <c r="C342" s="6">
        <v>7311.72</v>
      </c>
      <c r="D342" s="7">
        <v>45678</v>
      </c>
      <c r="F342" s="0" t="s">
        <v>402</v>
      </c>
    </row>
    <row r="343">
      <c r="A343" s="0" t="s">
        <v>203</v>
      </c>
      <c r="B343" s="16" t="s">
        <v>403</v>
      </c>
      <c r="C343" s="6">
        <v>7311.72</v>
      </c>
      <c r="D343" s="7">
        <v>45678</v>
      </c>
      <c r="F343" s="0" t="s">
        <v>204</v>
      </c>
    </row>
    <row r="344">
      <c r="A344" s="0" t="s">
        <v>401</v>
      </c>
      <c r="B344" s="16" t="s">
        <v>407</v>
      </c>
      <c r="C344" s="6">
        <v>2122.76</v>
      </c>
      <c r="D344" s="7">
        <v>45646</v>
      </c>
      <c r="F344" s="0" t="s">
        <v>402</v>
      </c>
    </row>
    <row r="345">
      <c r="A345" s="0" t="s">
        <v>408</v>
      </c>
      <c r="B345" s="16" t="s">
        <v>409</v>
      </c>
      <c r="C345" s="6">
        <v>886.27</v>
      </c>
      <c r="D345" s="7">
        <v>45645</v>
      </c>
      <c r="F345" s="0" t="s">
        <v>410</v>
      </c>
    </row>
    <row r="346">
      <c r="A346" s="0" t="s">
        <v>411</v>
      </c>
      <c r="B346" s="16" t="s">
        <v>412</v>
      </c>
      <c r="C346" s="6">
        <v>3881</v>
      </c>
      <c r="D346" s="7">
        <v>45645</v>
      </c>
      <c r="F346" s="0" t="s">
        <v>413</v>
      </c>
    </row>
    <row r="347">
      <c r="A347" s="0" t="s">
        <v>227</v>
      </c>
      <c r="B347" s="16" t="s">
        <v>414</v>
      </c>
      <c r="C347" s="6">
        <v>943.45</v>
      </c>
      <c r="D347" s="7">
        <v>45645</v>
      </c>
      <c r="F347" s="0" t="s">
        <v>228</v>
      </c>
    </row>
    <row r="348">
      <c r="A348" s="0" t="s">
        <v>203</v>
      </c>
      <c r="B348" s="16" t="s">
        <v>415</v>
      </c>
      <c r="C348" s="6">
        <v>6840</v>
      </c>
      <c r="D348" s="7">
        <v>45644</v>
      </c>
      <c r="F348" s="0" t="s">
        <v>204</v>
      </c>
    </row>
    <row r="349">
      <c r="A349" s="0" t="s">
        <v>181</v>
      </c>
      <c r="B349" s="16" t="s">
        <v>416</v>
      </c>
      <c r="C349" s="6">
        <v>3773.79</v>
      </c>
      <c r="D349" s="7">
        <v>45643</v>
      </c>
      <c r="F349" s="0" t="s">
        <v>182</v>
      </c>
    </row>
    <row r="350">
      <c r="A350" s="0" t="s">
        <v>371</v>
      </c>
      <c r="B350" s="16" t="s">
        <v>417</v>
      </c>
      <c r="C350" s="6">
        <v>5424.83</v>
      </c>
      <c r="D350" s="7">
        <v>45643</v>
      </c>
      <c r="F350" s="0" t="s">
        <v>372</v>
      </c>
    </row>
    <row r="351">
      <c r="A351" s="0" t="s">
        <v>404</v>
      </c>
      <c r="B351" s="16" t="s">
        <v>416</v>
      </c>
      <c r="C351" s="6">
        <v>3773.79</v>
      </c>
      <c r="D351" s="7">
        <v>45643</v>
      </c>
      <c r="F351" s="0" t="s">
        <v>405</v>
      </c>
    </row>
    <row r="352">
      <c r="A352" s="0" t="s">
        <v>209</v>
      </c>
      <c r="B352" s="16" t="s">
        <v>418</v>
      </c>
      <c r="C352" s="6">
        <v>4481.37</v>
      </c>
      <c r="D352" s="7">
        <v>45643</v>
      </c>
      <c r="F352" s="0" t="s">
        <v>210</v>
      </c>
    </row>
    <row r="353">
      <c r="A353" s="0" t="s">
        <v>199</v>
      </c>
      <c r="B353" s="16" t="s">
        <v>419</v>
      </c>
      <c r="C353" s="6">
        <v>6825.43</v>
      </c>
      <c r="D353" s="7">
        <v>45643</v>
      </c>
      <c r="F353" s="0" t="s">
        <v>200</v>
      </c>
    </row>
    <row r="354">
      <c r="A354" s="0" t="s">
        <v>199</v>
      </c>
      <c r="B354" s="16" t="s">
        <v>420</v>
      </c>
      <c r="C354" s="6">
        <v>7311.72</v>
      </c>
      <c r="D354" s="7">
        <v>45614</v>
      </c>
      <c r="F354" s="0" t="s">
        <v>200</v>
      </c>
    </row>
    <row r="355">
      <c r="A355" s="0" t="s">
        <v>421</v>
      </c>
      <c r="B355" s="16" t="s">
        <v>422</v>
      </c>
      <c r="C355" s="6">
        <v>946.87</v>
      </c>
      <c r="D355" s="7">
        <v>45588</v>
      </c>
      <c r="F355" s="0" t="s">
        <v>423</v>
      </c>
    </row>
    <row r="356">
      <c r="A356" s="0" t="s">
        <v>199</v>
      </c>
      <c r="B356" s="16" t="s">
        <v>424</v>
      </c>
      <c r="C356" s="6">
        <v>933.41</v>
      </c>
      <c r="D356" s="7">
        <v>45588</v>
      </c>
      <c r="F356" s="0" t="s">
        <v>200</v>
      </c>
    </row>
    <row r="374">
      <c r="B374" s="16"/>
      <c r="C374" s="6"/>
      <c r="D374" s="7"/>
    </row>
    <row r="375">
      <c r="B375" s="16"/>
      <c r="C375" s="6"/>
      <c r="D375" s="7"/>
    </row>
    <row r="376">
      <c r="B376" s="16"/>
      <c r="C376" s="6"/>
      <c r="D376" s="7"/>
    </row>
    <row r="377">
      <c r="B377" s="16"/>
      <c r="C377" s="6"/>
      <c r="D377" s="7"/>
    </row>
    <row r="378">
      <c r="B378" s="16"/>
      <c r="C378" s="6"/>
      <c r="D378" s="7"/>
    </row>
    <row r="379">
      <c r="B379" s="16"/>
      <c r="C379" s="6"/>
      <c r="D379" s="7"/>
    </row>
    <row r="385">
      <c r="B385" s="7"/>
      <c r="C385" s="6"/>
      <c r="H385" s="1"/>
    </row>
    <row r="417">
      <c r="B417" s="16"/>
      <c r="C417" s="6"/>
      <c r="D417" s="7"/>
    </row>
    <row r="418">
      <c r="B418" s="16"/>
      <c r="C418" s="6"/>
      <c r="D418" s="7"/>
    </row>
    <row r="419">
      <c r="B419" s="16"/>
      <c r="C419" s="6"/>
      <c r="D419" s="7"/>
    </row>
    <row r="420">
      <c r="B420" s="16"/>
      <c r="C420" s="6"/>
      <c r="D420" s="7"/>
    </row>
    <row r="421">
      <c r="B421" s="16"/>
      <c r="C421" s="6"/>
      <c r="D421" s="7"/>
    </row>
    <row r="422">
      <c r="B422" s="16"/>
      <c r="C422" s="6"/>
      <c r="D422" s="7"/>
    </row>
    <row r="423">
      <c r="B423" s="16"/>
      <c r="C423" s="6"/>
      <c r="D423" s="7"/>
    </row>
    <row r="424">
      <c r="B424" s="16"/>
      <c r="C424" s="6"/>
      <c r="D424" s="7"/>
    </row>
    <row r="425">
      <c r="B425" s="16"/>
      <c r="C425" s="6"/>
      <c r="D425" s="7"/>
    </row>
    <row r="426">
      <c r="B426" s="16"/>
      <c r="C426" s="6"/>
      <c r="D426" s="7"/>
    </row>
    <row r="427">
      <c r="B427" s="16"/>
      <c r="C427" s="6"/>
      <c r="D427" s="7"/>
    </row>
    <row r="428">
      <c r="B428" s="16"/>
      <c r="C428" s="6"/>
      <c r="D428" s="7"/>
    </row>
    <row r="450">
      <c r="B450" s="7"/>
      <c r="C450" s="6"/>
      <c r="H450" s="1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H516" s="3"/>
      <c r="L516" s="3"/>
      <c r="M516" s="3"/>
      <c r="N516" s="3"/>
      <c r="O516" s="3"/>
      <c r="Q516" s="3"/>
    </row>
    <row r="517">
      <c r="H517" s="3"/>
      <c r="L517" s="3"/>
      <c r="M517" s="3"/>
      <c r="N517" s="3"/>
      <c r="O517" s="3"/>
      <c r="Q517" s="3"/>
    </row>
    <row r="518">
      <c r="H518" s="3"/>
      <c r="L518" s="3"/>
      <c r="M518" s="3"/>
      <c r="N518" s="3"/>
      <c r="O518" s="3"/>
      <c r="Q518" s="3"/>
    </row>
    <row r="519">
      <c r="H519" s="3"/>
      <c r="L519" s="3"/>
      <c r="M519" s="3"/>
      <c r="N519" s="3"/>
      <c r="O519" s="3"/>
      <c r="Q519" s="3"/>
    </row>
    <row r="520">
      <c r="H520" s="3"/>
      <c r="L520" s="3"/>
      <c r="M520" s="3"/>
      <c r="N520" s="3"/>
      <c r="O520" s="3"/>
      <c r="Q520" s="3"/>
    </row>
    <row r="536">
      <c r="C536" s="6"/>
      <c r="D536" s="7"/>
    </row>
    <row r="537">
      <c r="C537" s="6"/>
      <c r="D537" s="7"/>
    </row>
    <row r="538">
      <c r="C538" s="6"/>
      <c r="D538" s="7"/>
    </row>
    <row r="539">
      <c r="C539" s="6"/>
      <c r="D539" s="7"/>
    </row>
    <row r="540">
      <c r="C540" s="6"/>
      <c r="D540" s="7"/>
    </row>
    <row r="541">
      <c r="C541" s="6"/>
      <c r="D541" s="7"/>
    </row>
    <row r="542">
      <c r="C542" s="6"/>
      <c r="D542" s="7"/>
    </row>
    <row r="543">
      <c r="C543" s="6"/>
      <c r="D543" s="7"/>
    </row>
    <row r="544">
      <c r="C544" s="6"/>
      <c r="D544" s="7"/>
    </row>
    <row r="545">
      <c r="C545" s="6"/>
      <c r="D545" s="7"/>
    </row>
    <row r="546">
      <c r="C546" s="6"/>
      <c r="D546" s="7"/>
    </row>
    <row r="547">
      <c r="C547" s="6"/>
      <c r="D547" s="7"/>
    </row>
    <row r="548">
      <c r="C548" s="6"/>
      <c r="D548" s="7"/>
    </row>
    <row r="549">
      <c r="C549" s="6"/>
      <c r="D549" s="7"/>
    </row>
    <row r="550">
      <c r="C550" s="6"/>
      <c r="D550" s="7"/>
    </row>
    <row r="551">
      <c r="C551" s="6"/>
      <c r="D551" s="7"/>
    </row>
    <row r="552">
      <c r="C552" s="6"/>
      <c r="D552" s="7"/>
    </row>
    <row r="553">
      <c r="C553" s="6"/>
      <c r="D553" s="7"/>
    </row>
    <row r="554">
      <c r="C554" s="6"/>
      <c r="D554" s="7"/>
    </row>
    <row r="555">
      <c r="C555" s="6"/>
      <c r="D555" s="7"/>
    </row>
    <row r="556">
      <c r="C556" s="6"/>
      <c r="D556" s="7"/>
    </row>
    <row r="557">
      <c r="C557" s="6"/>
      <c r="D557" s="7"/>
    </row>
    <row r="558">
      <c r="C558" s="6"/>
      <c r="D558" s="7"/>
    </row>
    <row r="559">
      <c r="C559" s="6"/>
      <c r="D559" s="7"/>
    </row>
    <row r="560">
      <c r="C560" s="6"/>
      <c r="D560" s="7"/>
    </row>
    <row r="561">
      <c r="C561" s="6"/>
      <c r="D561" s="7"/>
    </row>
    <row r="562">
      <c r="C562" s="6"/>
      <c r="D562" s="7"/>
    </row>
    <row r="563">
      <c r="C563" s="6"/>
      <c r="D563" s="7"/>
    </row>
    <row r="564">
      <c r="C564" s="6"/>
      <c r="D564" s="7"/>
    </row>
    <row r="565">
      <c r="C565" s="6"/>
      <c r="D565" s="7"/>
    </row>
    <row r="566">
      <c r="C566" s="6"/>
      <c r="D566" s="7"/>
    </row>
    <row r="567">
      <c r="C567" s="6"/>
      <c r="D567" s="7"/>
    </row>
    <row r="568">
      <c r="C568" s="6"/>
      <c r="D568" s="7"/>
    </row>
    <row r="569">
      <c r="C569" s="6"/>
      <c r="D569" s="7"/>
    </row>
    <row r="570">
      <c r="C570" s="6"/>
      <c r="D570" s="7"/>
    </row>
    <row r="571">
      <c r="C571" s="6"/>
      <c r="D571" s="7"/>
    </row>
    <row r="572">
      <c r="C572" s="6"/>
      <c r="D572" s="7"/>
    </row>
    <row r="573">
      <c r="C573" s="6"/>
      <c r="D573" s="7"/>
    </row>
    <row r="574">
      <c r="C574" s="6"/>
      <c r="D574" s="7"/>
    </row>
    <row r="575">
      <c r="C575" s="6"/>
      <c r="D575" s="7"/>
    </row>
    <row r="576">
      <c r="C576" s="6"/>
      <c r="D576" s="7"/>
    </row>
    <row r="577">
      <c r="C577" s="6"/>
      <c r="D577" s="7"/>
    </row>
    <row r="578">
      <c r="C578" s="6"/>
      <c r="D578" s="7"/>
    </row>
    <row r="579">
      <c r="C579" s="6"/>
      <c r="D579" s="7"/>
    </row>
    <row r="580">
      <c r="C580" s="6"/>
      <c r="D580" s="7"/>
    </row>
    <row r="581">
      <c r="C581" s="6"/>
      <c r="D581" s="7"/>
    </row>
    <row r="582">
      <c r="C582" s="6"/>
      <c r="D582" s="7"/>
    </row>
    <row r="583">
      <c r="C583" s="6"/>
      <c r="D583" s="7"/>
    </row>
    <row r="584">
      <c r="C584" s="6"/>
      <c r="D584" s="7"/>
    </row>
    <row r="585">
      <c r="C585" s="6"/>
      <c r="D585" s="7"/>
    </row>
    <row r="586">
      <c r="C586" s="6"/>
      <c r="D586" s="7"/>
    </row>
    <row r="587">
      <c r="C587" s="6"/>
      <c r="D587" s="7"/>
    </row>
    <row r="588">
      <c r="C588" s="6"/>
      <c r="D588" s="7"/>
    </row>
    <row r="589">
      <c r="C589" s="6"/>
      <c r="D589" s="7"/>
    </row>
    <row r="590">
      <c r="C590" s="6"/>
      <c r="D590" s="7"/>
    </row>
    <row r="591">
      <c r="C591" s="6"/>
      <c r="D591" s="7"/>
    </row>
    <row r="592">
      <c r="C592" s="6"/>
      <c r="D592" s="7"/>
    </row>
    <row r="593">
      <c r="C593" s="6"/>
      <c r="D593" s="7"/>
    </row>
    <row r="594">
      <c r="C594" s="6"/>
      <c r="D594" s="7"/>
    </row>
    <row r="595">
      <c r="C595" s="6"/>
      <c r="D595" s="7"/>
    </row>
    <row r="596">
      <c r="C596" s="6"/>
      <c r="D596" s="7"/>
    </row>
    <row r="597">
      <c r="C597" s="6"/>
      <c r="D597" s="7"/>
    </row>
    <row r="598">
      <c r="C598" s="6"/>
      <c r="D598" s="7"/>
    </row>
    <row r="599">
      <c r="C599" s="6"/>
      <c r="D599" s="7"/>
    </row>
    <row r="600">
      <c r="C600" s="6"/>
      <c r="D600" s="7"/>
    </row>
    <row r="601">
      <c r="C601" s="6"/>
      <c r="D601" s="7"/>
    </row>
    <row r="602">
      <c r="C602" s="6"/>
      <c r="D602" s="7"/>
    </row>
    <row r="603">
      <c r="C603" s="6"/>
      <c r="D603" s="7"/>
    </row>
    <row r="604">
      <c r="C604" s="6"/>
      <c r="D604" s="7"/>
    </row>
    <row r="605">
      <c r="C605" s="6"/>
      <c r="D605" s="7"/>
    </row>
    <row r="606">
      <c r="C606" s="6"/>
      <c r="D606" s="7"/>
    </row>
    <row r="607">
      <c r="C607" s="6"/>
      <c r="D607" s="7"/>
    </row>
    <row r="608">
      <c r="C608" s="6"/>
      <c r="D608" s="7"/>
    </row>
    <row r="609">
      <c r="C609" s="6"/>
      <c r="D609" s="7"/>
    </row>
    <row r="610">
      <c r="C610" s="6"/>
      <c r="D610" s="7"/>
    </row>
    <row r="611">
      <c r="C611" s="6"/>
      <c r="D611" s="7"/>
    </row>
    <row r="612">
      <c r="C612" s="6"/>
      <c r="D612" s="7"/>
    </row>
    <row r="613">
      <c r="B613" s="14"/>
      <c r="C613" s="6"/>
      <c r="D613" s="7"/>
      <c r="F613" s="12"/>
    </row>
    <row r="614">
      <c r="C614" s="6"/>
      <c r="D614" s="7"/>
    </row>
    <row r="615">
      <c r="C615" s="6"/>
      <c r="D615" s="7"/>
    </row>
    <row r="616">
      <c r="C616" s="6"/>
      <c r="D616" s="7"/>
    </row>
    <row r="617">
      <c r="C617" s="6"/>
      <c r="D617" s="7"/>
    </row>
    <row r="618">
      <c r="C618" s="6"/>
      <c r="D618" s="7"/>
    </row>
    <row r="619">
      <c r="C619" s="6"/>
      <c r="D619" s="7"/>
    </row>
    <row r="620">
      <c r="C620" s="6"/>
      <c r="D620" s="7"/>
    </row>
    <row r="621">
      <c r="C621" s="6"/>
      <c r="D621" s="7"/>
    </row>
    <row r="622">
      <c r="C622" s="6"/>
      <c r="D622" s="7"/>
    </row>
    <row r="623">
      <c r="C623" s="6"/>
      <c r="D623" s="7"/>
    </row>
    <row r="624">
      <c r="C624" s="6"/>
      <c r="D624" s="7"/>
    </row>
    <row r="625">
      <c r="C625" s="6"/>
      <c r="D625" s="7"/>
    </row>
    <row r="626">
      <c r="C626" s="6"/>
      <c r="D626" s="7"/>
    </row>
    <row r="627">
      <c r="C627" s="6"/>
      <c r="D627" s="7"/>
    </row>
    <row r="628">
      <c r="C628" s="6"/>
      <c r="D628" s="7"/>
    </row>
    <row r="629">
      <c r="C629" s="6"/>
      <c r="D629" s="7"/>
    </row>
    <row r="630">
      <c r="C630" s="6"/>
      <c r="D630" s="7"/>
    </row>
    <row r="631">
      <c r="C631" s="6"/>
      <c r="D631" s="7"/>
    </row>
    <row r="632">
      <c r="C632" s="6"/>
      <c r="D632" s="7"/>
    </row>
    <row r="633">
      <c r="C633" s="6"/>
      <c r="D633" s="7"/>
    </row>
    <row r="634">
      <c r="C634" s="6"/>
      <c r="D634" s="7"/>
    </row>
    <row r="635">
      <c r="C635" s="6"/>
      <c r="D635" s="7"/>
    </row>
    <row r="636">
      <c r="C636" s="6"/>
      <c r="D636" s="7"/>
    </row>
    <row r="637">
      <c r="C637" s="6"/>
      <c r="D637" s="7"/>
    </row>
  </sheetData>
  <sortState xmlns:xlrd2="http://schemas.microsoft.com/office/spreadsheetml/2017/richdata2" ref="A2:I301">
    <sortCondition descending="1" ref="D2:D301"/>
  </sortState>
  <conditionalFormatting sqref="A5760 A5827 A5831 A6548:A6551">
    <cfRule type="containsText" dxfId="0" priority="1" operator="containsText" text="TO BE PAID">
      <formula>NOT(ISERROR(SEARCH("TO BE PAID",A5760)))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D37" sqref="D37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>
      <c r="A2" s="0" t="s">
        <v>191</v>
      </c>
      <c r="B2" s="16" t="s">
        <v>425</v>
      </c>
      <c r="C2" s="6">
        <v>540.71</v>
      </c>
      <c r="D2" s="7">
        <v>46146</v>
      </c>
      <c r="F2" s="0" t="s">
        <v>192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2.285156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3" t="array">_xlfn.UNIQUE('Future payment'!D:D)</f>
        <v>Paid Date</v>
      </c>
      <c r="D1" s="0" t="s">
        <v>4</v>
      </c>
      <c r="F1" s="3" t="str" cm="1">
        <f ref="F1:F68" t="array">_xlfn.UNIQUE('Payment Summary'!D:D)</f>
        <v>Paid Date</v>
      </c>
      <c r="I1" s="0" t="s">
        <v>7</v>
      </c>
    </row>
    <row r="2" ht="12.75" customHeight="1">
      <c r="A2" s="3">
        <v>46146</v>
      </c>
      <c r="B2" s="1">
        <f>SUMIF('Future payment'!D:D,'Future Summary'!A2,'Future payment'!C:C)</f>
        <v>540.71</v>
      </c>
      <c r="C2" s="1">
        <f>VLOOKUP(A2,PAYMENTS!A:D,3,FALSE)</f>
        <v>540.71</v>
      </c>
      <c r="D2" s="0" t="str">
        <f ref="D2:D17" t="shared" si="0">IF(ISNA(C2),"",IF(B2=C2,"Equal","Not Equal"))</f>
        <v>Equal</v>
      </c>
      <c r="F2" s="3">
        <v>46134</v>
      </c>
      <c r="G2" s="1">
        <f>SUMIF('Payment Summary'!D:D,'Future Summary'!F2,'Payment Summary'!C:C)</f>
        <v>10534.109999999999</v>
      </c>
      <c r="H2" s="1">
        <f>VLOOKUP(F2,PAYMENTS!A:C,3,FALSE)</f>
        <v>10534.11</v>
      </c>
      <c r="I2" s="0" t="str">
        <f ref="I2:I17" t="shared" si="1">IF(G2=H2,"Equal","Not Equal")</f>
        <v>Equal</v>
      </c>
    </row>
    <row r="3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46132</v>
      </c>
      <c r="G3" s="1">
        <f>SUMIF('Payment Summary'!D:D,'Future Summary'!F3,'Payment Summary'!C:C)</f>
        <v>1197.06</v>
      </c>
      <c r="H3" s="1">
        <f>VLOOKUP(F3,PAYMENTS!A:C,3,FALSE)</f>
        <v>1951.88</v>
      </c>
      <c r="I3" s="0" t="str">
        <f t="shared" si="1"/>
        <v>Not Equal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46129</v>
      </c>
      <c r="G4" s="1">
        <f>SUMIF('Payment Summary'!D:D,'Future Summary'!F4,'Payment Summary'!C:C)</f>
        <v>38824.969999999994</v>
      </c>
      <c r="H4" s="1">
        <f>VLOOKUP(F4,PAYMENTS!A:C,3,FALSE)</f>
        <v>38824.97</v>
      </c>
      <c r="I4" s="0" t="str">
        <f t="shared" si="1"/>
        <v>Equal</v>
      </c>
      <c r="P4" s="9" t="s">
        <v>426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46128</v>
      </c>
      <c r="G5" s="1">
        <f>SUMIF('Payment Summary'!D:D,'Future Summary'!F5,'Payment Summary'!C:C)</f>
        <v>178360</v>
      </c>
      <c r="H5" s="1">
        <f>VLOOKUP(F5,PAYMENTS!A:C,3,FALSE)</f>
        <v>178360</v>
      </c>
      <c r="I5" s="0" t="str">
        <f t="shared" si="1"/>
        <v>Equal</v>
      </c>
      <c r="P5" s="9" t="s">
        <v>426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46127</v>
      </c>
      <c r="G6" s="1">
        <f>SUMIF('Payment Summary'!D:D,'Future Summary'!F6,'Payment Summary'!C:C)</f>
        <v>-8545.91</v>
      </c>
      <c r="H6" s="1">
        <f>VLOOKUP(F6,PAYMENTS!A:C,3,FALSE)</f>
        <v>72.91</v>
      </c>
      <c r="I6" s="0" t="str">
        <f t="shared" si="1"/>
        <v>Not Equal</v>
      </c>
      <c r="P6" s="9" t="s">
        <v>426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46107</v>
      </c>
      <c r="G7" s="1">
        <f>SUMIF('Payment Summary'!D:D,'Future Summary'!F7,'Payment Summary'!C:C)</f>
        <v>6224.71</v>
      </c>
      <c r="H7" s="1">
        <f>VLOOKUP(F7,PAYMENTS!A:C,3,FALSE)</f>
        <v>6224.71</v>
      </c>
      <c r="I7" s="0" t="str">
        <f t="shared" si="1"/>
        <v>Equal</v>
      </c>
      <c r="P7" s="9" t="s">
        <v>426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46106</v>
      </c>
      <c r="G8" s="1">
        <f>SUMIF('Payment Summary'!D:D,'Future Summary'!F8,'Payment Summary'!C:C)</f>
        <v>5283.71</v>
      </c>
      <c r="H8" s="1">
        <f>VLOOKUP(F8,PAYMENTS!A:C,3,FALSE)</f>
        <v>5283.71</v>
      </c>
      <c r="I8" s="0" t="str">
        <f t="shared" si="1"/>
        <v>Equal</v>
      </c>
      <c r="P8" s="9" t="s">
        <v>426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46104</v>
      </c>
      <c r="G9" s="1">
        <f>SUMIF('Payment Summary'!D:D,'Future Summary'!F9,'Payment Summary'!C:C)</f>
        <v>8215.7</v>
      </c>
      <c r="H9" s="1">
        <f>VLOOKUP(F9,PAYMENTS!A:C,3,FALSE)</f>
        <v>8215.7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46101</v>
      </c>
      <c r="G10" s="1">
        <f>SUMIF('Payment Summary'!D:D,'Future Summary'!F10,'Payment Summary'!C:C)</f>
        <v>2311.51</v>
      </c>
      <c r="H10" s="1">
        <f>VLOOKUP(F10,PAYMENTS!A:C,3,FALSE)</f>
        <v>2311.51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46099</v>
      </c>
      <c r="G11" s="1">
        <f>SUMIF('Payment Summary'!D:D,'Future Summary'!F11,'Payment Summary'!C:C)</f>
        <v>23410.91</v>
      </c>
      <c r="H11" s="1">
        <f>VLOOKUP(F11,PAYMENTS!A:C,3,FALSE)</f>
        <v>23410.91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46098</v>
      </c>
      <c r="G12" s="1">
        <f>SUMIF('Payment Summary'!D:D,'Future Summary'!F12,'Payment Summary'!C:C)</f>
        <v>84840.85000000002</v>
      </c>
      <c r="H12" s="1">
        <f>VLOOKUP(F12,PAYMENTS!A:C,3,FALSE)</f>
        <v>84840.85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46091</v>
      </c>
      <c r="G13" s="1">
        <f>SUMIF('Payment Summary'!D:D,'Future Summary'!F13,'Payment Summary'!C:C)</f>
        <v>2264.45</v>
      </c>
      <c r="H13" s="1">
        <f>VLOOKUP(F13,PAYMENTS!A:C,3,FALSE)</f>
        <v>2264.45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46087</v>
      </c>
      <c r="G14" s="1">
        <f>SUMIF('Payment Summary'!D:D,'Future Summary'!F14,'Payment Summary'!C:C)</f>
        <v>478.83</v>
      </c>
      <c r="H14" s="1">
        <f>VLOOKUP(F14,PAYMENTS!A:C,3,FALSE)</f>
        <v>478.83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46073</v>
      </c>
      <c r="G15" s="1">
        <f>SUMIF('Payment Summary'!D:D,'Future Summary'!F15,'Payment Summary'!C:C)</f>
        <v>3962.79</v>
      </c>
      <c r="H15" s="1">
        <f>VLOOKUP(F15,PAYMENTS!A:C,3,FALSE)</f>
        <v>3962.79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46072</v>
      </c>
      <c r="G16" s="1">
        <f>SUMIF('Payment Summary'!D:D,'Future Summary'!F16,'Payment Summary'!C:C)</f>
        <v>478.83</v>
      </c>
      <c r="H16" s="1">
        <f>VLOOKUP(F16,PAYMENTS!A:C,3,FALSE)</f>
        <v>478.83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46071</v>
      </c>
      <c r="G17" s="1">
        <f>SUMIF('Payment Summary'!D:D,'Future Summary'!F17,'Payment Summary'!C:C)</f>
        <v>5849.83</v>
      </c>
      <c r="H17" s="1">
        <f>VLOOKUP(F17,PAYMENTS!A:C,3,FALSE)</f>
        <v>5849.83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46070</v>
      </c>
      <c r="G18" s="1"/>
      <c r="H18" s="1"/>
    </row>
    <row r="19" ht="12.75" customHeight="1">
      <c r="B19" s="1" t="e">
        <f>SUMIF(#REF!,#REF!,#REF!)</f>
        <v>#REF!</v>
      </c>
      <c r="F19" s="3">
        <v>46042</v>
      </c>
      <c r="G19" s="1"/>
      <c r="H19" s="1"/>
    </row>
    <row r="20" ht="12.75" customHeight="1">
      <c r="B20" s="1" t="e">
        <f>SUMIF(#REF!,#REF!,#REF!)</f>
        <v>#REF!</v>
      </c>
      <c r="F20" s="3">
        <v>46020</v>
      </c>
      <c r="G20" s="1"/>
      <c r="H20" s="1"/>
    </row>
    <row r="21" ht="12.75" customHeight="1">
      <c r="B21" s="1" t="e">
        <f>SUMIF(#REF!,#REF!,#REF!)</f>
        <v>#REF!</v>
      </c>
      <c r="F21" s="3">
        <v>46008</v>
      </c>
      <c r="G21" s="1"/>
      <c r="H21" s="1"/>
    </row>
    <row r="22" ht="12.75" customHeight="1">
      <c r="B22" s="1" t="e">
        <f>SUMIF(#REF!,#REF!,#REF!)</f>
        <v>#REF!</v>
      </c>
      <c r="F22" s="3">
        <v>46007</v>
      </c>
      <c r="G22" s="1"/>
      <c r="H22" s="1"/>
    </row>
    <row r="23" ht="12.75" customHeight="1">
      <c r="B23" s="1" t="e">
        <f>SUMIF(#REF!,#REF!,#REF!)</f>
        <v>#REF!</v>
      </c>
      <c r="F23" s="3">
        <v>46000</v>
      </c>
      <c r="G23" s="1"/>
      <c r="H23" s="1"/>
    </row>
    <row r="24" ht="12.75" customHeight="1">
      <c r="B24" s="1" t="e">
        <f>SUMIF(#REF!,#REF!,#REF!)</f>
        <v>#REF!</v>
      </c>
      <c r="F24" s="3">
        <v>45992</v>
      </c>
      <c r="G24" s="1"/>
      <c r="H24" s="1"/>
    </row>
    <row r="25" ht="12.75" customHeight="1">
      <c r="B25" s="1" t="e">
        <f>SUMIF(#REF!,#REF!,#REF!)</f>
        <v>#REF!</v>
      </c>
      <c r="F25" s="3">
        <v>45980</v>
      </c>
      <c r="G25" s="1"/>
      <c r="H25" s="1"/>
    </row>
    <row r="26" ht="12.75" customHeight="1">
      <c r="B26" s="1" t="e">
        <f>SUMIF(#REF!,#REF!,#REF!)</f>
        <v>#REF!</v>
      </c>
      <c r="F26" s="3">
        <v>45979</v>
      </c>
      <c r="G26" s="1"/>
      <c r="H26" s="1"/>
    </row>
    <row r="27" ht="12.75" customHeight="1">
      <c r="B27" s="1" t="e">
        <f>SUMIF(#REF!,#REF!,#REF!)</f>
        <v>#REF!</v>
      </c>
      <c r="F27" s="3">
        <v>45953</v>
      </c>
      <c r="G27" s="1"/>
      <c r="H27" s="1"/>
    </row>
    <row r="28" ht="12.75" customHeight="1">
      <c r="B28" s="1" t="e">
        <f>SUMIF(#REF!,#REF!,#REF!)</f>
        <v>#REF!</v>
      </c>
      <c r="F28" s="3">
        <v>45951</v>
      </c>
      <c r="G28" s="1"/>
      <c r="H28" s="1"/>
    </row>
    <row r="29" ht="12.75" customHeight="1">
      <c r="B29" s="1" t="e">
        <f>SUMIF(#REF!,#REF!,#REF!)</f>
        <v>#REF!</v>
      </c>
      <c r="F29" s="3">
        <v>45946</v>
      </c>
      <c r="G29" s="1"/>
      <c r="H29" s="1"/>
    </row>
    <row r="30" ht="12.75" customHeight="1">
      <c r="B30" s="1" t="e">
        <f>SUMIF(#REF!,#REF!,#REF!)</f>
        <v>#REF!</v>
      </c>
      <c r="F30" s="3">
        <v>45937</v>
      </c>
      <c r="G30" s="1"/>
      <c r="H30" s="1"/>
    </row>
    <row r="31" ht="12.75" customHeight="1">
      <c r="B31" s="1" t="e">
        <f>SUMIF(#REF!,#REF!,#REF!)</f>
        <v>#REF!</v>
      </c>
      <c r="F31" s="3">
        <v>45923</v>
      </c>
      <c r="G31" s="1"/>
      <c r="H31" s="1"/>
    </row>
    <row r="32" ht="12.75" customHeight="1">
      <c r="B32" s="1" t="e">
        <f>SUMIF(#REF!,#REF!,#REF!)</f>
        <v>#REF!</v>
      </c>
      <c r="F32" s="3">
        <v>45919</v>
      </c>
      <c r="G32" s="1"/>
      <c r="H32" s="1"/>
    </row>
    <row r="33" ht="12.75" customHeight="1">
      <c r="B33" s="1" t="e">
        <f>SUMIF(#REF!,#REF!,#REF!)</f>
        <v>#REF!</v>
      </c>
      <c r="F33" s="3">
        <v>45918</v>
      </c>
      <c r="G33" s="1"/>
      <c r="H33" s="1"/>
    </row>
    <row r="34" ht="12.75" customHeight="1">
      <c r="B34" s="1" t="e">
        <f>SUMIF(#REF!,#REF!,#REF!)</f>
        <v>#REF!</v>
      </c>
      <c r="F34" s="3">
        <v>45917</v>
      </c>
      <c r="G34" s="1"/>
      <c r="H34" s="1"/>
    </row>
    <row r="35" ht="12.75" customHeight="1">
      <c r="B35" s="1" t="e">
        <f>SUMIF(#REF!,#REF!,#REF!)</f>
        <v>#REF!</v>
      </c>
      <c r="F35" s="3">
        <v>45915</v>
      </c>
      <c r="G35" s="1"/>
      <c r="H35" s="1"/>
    </row>
    <row r="36" ht="12.75" customHeight="1">
      <c r="B36" s="1" t="e">
        <f>SUMIF(#REF!,#REF!,#REF!)</f>
        <v>#REF!</v>
      </c>
      <c r="F36" s="3">
        <v>45889</v>
      </c>
      <c r="G36" s="1"/>
      <c r="H36" s="1"/>
    </row>
    <row r="37" ht="12.75" customHeight="1">
      <c r="B37" s="1" t="e">
        <f>SUMIF(#REF!,#REF!,#REF!)</f>
        <v>#REF!</v>
      </c>
      <c r="F37" s="3">
        <v>45888</v>
      </c>
      <c r="G37" s="1"/>
      <c r="H37" s="1"/>
    </row>
    <row r="38" ht="12.75" customHeight="1">
      <c r="B38" s="1" t="e">
        <f>SUMIF(#REF!,#REF!,#REF!)</f>
        <v>#REF!</v>
      </c>
      <c r="F38" s="3">
        <v>45887</v>
      </c>
      <c r="G38" s="1"/>
      <c r="H38" s="1"/>
    </row>
    <row r="39" ht="12.75" customHeight="1">
      <c r="B39" s="1" t="e">
        <f>SUMIF(#REF!,#REF!,#REF!)</f>
        <v>#REF!</v>
      </c>
      <c r="F39" s="3">
        <v>45884</v>
      </c>
      <c r="G39" s="1"/>
      <c r="H39" s="1"/>
    </row>
    <row r="40" ht="12.75" customHeight="1">
      <c r="B40" s="1" t="e">
        <f>SUMIF(#REF!,#REF!,#REF!)</f>
        <v>#REF!</v>
      </c>
      <c r="F40" s="3">
        <v>45861</v>
      </c>
      <c r="G40" s="1"/>
      <c r="H40" s="1"/>
    </row>
    <row r="41" ht="12.75" customHeight="1">
      <c r="B41" s="1" t="e">
        <f>SUMIF(#REF!,#REF!,#REF!)</f>
        <v>#REF!</v>
      </c>
      <c r="F41" s="3">
        <v>45859</v>
      </c>
      <c r="G41" s="1"/>
      <c r="H41" s="1"/>
    </row>
    <row r="42" ht="12.75" customHeight="1">
      <c r="B42" s="1" t="e">
        <f>SUMIF(#REF!,#REF!,#REF!)</f>
        <v>#REF!</v>
      </c>
      <c r="F42" s="3">
        <v>45855</v>
      </c>
      <c r="G42" s="1"/>
      <c r="H42" s="1"/>
    </row>
    <row r="43" ht="12.75" customHeight="1">
      <c r="F43" s="3">
        <v>45854</v>
      </c>
      <c r="G43" s="1"/>
      <c r="H43" s="1"/>
    </row>
    <row r="44" ht="12.75" customHeight="1">
      <c r="F44" s="3">
        <v>45853</v>
      </c>
      <c r="G44" s="1"/>
      <c r="H44" s="1"/>
    </row>
    <row r="45" ht="12.75" customHeight="1">
      <c r="F45" s="3">
        <v>45831</v>
      </c>
      <c r="G45" s="1"/>
      <c r="H45" s="1"/>
    </row>
    <row r="46" ht="12.75" customHeight="1">
      <c r="F46" s="3">
        <v>45825</v>
      </c>
      <c r="G46" s="1"/>
      <c r="H46" s="1"/>
    </row>
    <row r="47" ht="12.75" customHeight="1">
      <c r="F47" s="3">
        <v>45817</v>
      </c>
      <c r="G47" s="1"/>
      <c r="H47" s="1"/>
    </row>
    <row r="48" ht="12.75" customHeight="1">
      <c r="F48" s="3">
        <v>45804</v>
      </c>
      <c r="G48" s="1"/>
      <c r="H48" s="1"/>
    </row>
    <row r="49" ht="12.75" customHeight="1">
      <c r="F49" s="3">
        <v>45799</v>
      </c>
      <c r="G49" s="1"/>
      <c r="H49" s="1"/>
    </row>
    <row r="50" ht="12.75" customHeight="1">
      <c r="F50" s="3">
        <v>45793</v>
      </c>
      <c r="G50" s="1"/>
      <c r="H50" s="1"/>
    </row>
    <row r="51" ht="12.75" customHeight="1">
      <c r="F51" s="3">
        <v>45791</v>
      </c>
      <c r="G51" s="1"/>
      <c r="H51" s="1"/>
    </row>
    <row r="52" ht="12.75" customHeight="1">
      <c r="F52" s="3">
        <v>45768</v>
      </c>
      <c r="G52" s="1"/>
      <c r="H52" s="1"/>
    </row>
    <row r="53" ht="12.75" customHeight="1">
      <c r="F53" s="3">
        <v>45765</v>
      </c>
      <c r="G53" s="1"/>
      <c r="H53" s="1"/>
    </row>
    <row r="54" ht="12.75" customHeight="1">
      <c r="F54" s="3">
        <v>45764</v>
      </c>
      <c r="G54" s="1"/>
      <c r="H54" s="1"/>
    </row>
    <row r="55" ht="12.75" customHeight="1">
      <c r="F55" s="3">
        <v>45763</v>
      </c>
      <c r="G55" s="1"/>
      <c r="H55" s="1"/>
    </row>
    <row r="56" ht="12.75" customHeight="1">
      <c r="F56" s="3">
        <v>45733</v>
      </c>
      <c r="G56" s="1"/>
      <c r="H56" s="1"/>
    </row>
    <row r="57" ht="12.75" customHeight="1">
      <c r="F57" s="3">
        <v>45729</v>
      </c>
      <c r="G57" s="1"/>
      <c r="H57" s="1"/>
    </row>
    <row r="58" ht="12.75" customHeight="1">
      <c r="F58" s="3">
        <v>45708</v>
      </c>
      <c r="G58" s="1"/>
      <c r="H58" s="1"/>
    </row>
    <row r="59" ht="12.75" customHeight="1">
      <c r="F59" s="3">
        <v>45707</v>
      </c>
      <c r="G59" s="1"/>
      <c r="H59" s="1"/>
    </row>
    <row r="60" ht="12.75" customHeight="1">
      <c r="F60" s="3">
        <v>45706</v>
      </c>
      <c r="G60" s="1"/>
      <c r="H60" s="1"/>
    </row>
    <row r="61" ht="12.75" customHeight="1">
      <c r="F61" s="3">
        <v>45678</v>
      </c>
      <c r="G61" s="1"/>
      <c r="H61" s="1"/>
    </row>
    <row r="62" ht="12.75" customHeight="1">
      <c r="F62" s="3">
        <v>45646</v>
      </c>
      <c r="G62" s="1"/>
      <c r="H62" s="1"/>
    </row>
    <row r="63" ht="12.75" customHeight="1">
      <c r="F63" s="3">
        <v>45645</v>
      </c>
      <c r="G63" s="1"/>
    </row>
    <row r="64" ht="12.75" customHeight="1">
      <c r="F64" s="3">
        <v>45644</v>
      </c>
      <c r="G64" s="1"/>
    </row>
    <row r="65" ht="12.75" customHeight="1">
      <c r="F65" s="3">
        <v>45643</v>
      </c>
      <c r="G65" s="1"/>
    </row>
    <row r="66" ht="12.75" customHeight="1">
      <c r="F66" s="3">
        <v>45614</v>
      </c>
      <c r="G66" s="1"/>
    </row>
    <row r="67" ht="12.75" customHeight="1">
      <c r="F67" s="3">
        <v>45588</v>
      </c>
      <c r="G67" s="1"/>
    </row>
    <row r="68" ht="12.75" customHeight="1">
      <c r="F68" s="3">
        <v>0</v>
      </c>
      <c r="G68" s="1"/>
    </row>
    <row r="69" ht="12.75" customHeight="1">
      <c r="G69" s="1"/>
    </row>
    <row r="70" ht="12.75" customHeight="1">
      <c r="G70" s="1"/>
    </row>
    <row r="71" ht="12.75" customHeight="1">
      <c r="G71" s="1"/>
    </row>
    <row r="72" ht="12.75" customHeight="1">
      <c r="G72" s="1"/>
    </row>
    <row r="73" ht="12.75" customHeight="1">
      <c r="G73" s="1"/>
    </row>
    <row r="74" ht="12.75" customHeight="1">
      <c r="G74" s="1"/>
    </row>
    <row r="75" ht="12.75" customHeight="1">
      <c r="G75" s="1"/>
    </row>
    <row r="76" ht="12.75" customHeight="1">
      <c r="G76" s="1"/>
    </row>
    <row r="77" ht="12.75" customHeight="1">
      <c r="G77" s="1"/>
    </row>
    <row r="78" ht="12.75" customHeight="1">
      <c r="G78" s="1"/>
    </row>
    <row r="79" ht="12.75" customHeight="1">
      <c r="G79" s="1"/>
    </row>
    <row r="80" ht="12.75" customHeight="1">
      <c r="G80" s="1"/>
    </row>
    <row r="81" ht="12.75" customHeight="1">
      <c r="G81" s="1"/>
    </row>
    <row r="82" ht="12.75" customHeight="1">
      <c r="G82" s="1"/>
    </row>
    <row r="83" ht="12.75" customHeight="1">
      <c r="G83" s="1"/>
    </row>
    <row r="84" ht="12.75" customHeight="1">
      <c r="G84" s="1"/>
    </row>
    <row r="85" ht="12.75" customHeight="1">
      <c r="G85" s="1"/>
    </row>
    <row r="86" ht="12.75" customHeight="1">
      <c r="G86" s="1"/>
    </row>
    <row r="87" ht="12.75" customHeight="1"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7"/>
  <sheetViews>
    <sheetView workbookViewId="0">
      <selection activeCell="H5" sqref="H5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51" t="s">
        <v>0</v>
      </c>
      <c r="B1" s="52" t="s">
        <v>143</v>
      </c>
      <c r="C1" s="52" t="s">
        <v>427</v>
      </c>
      <c r="D1" s="53" t="s">
        <v>428</v>
      </c>
      <c r="E1" s="54" t="s">
        <v>429</v>
      </c>
      <c r="F1" s="55" t="s">
        <v>146</v>
      </c>
    </row>
    <row r="2">
      <c r="A2" s="0" t="s">
        <v>430</v>
      </c>
      <c r="B2" s="0" t="s">
        <v>431</v>
      </c>
      <c r="C2" s="3">
        <v>46127</v>
      </c>
      <c r="D2" s="0" t="s">
        <v>432</v>
      </c>
      <c r="E2" s="66">
        <v>46141</v>
      </c>
    </row>
    <row r="3">
      <c r="A3" s="0" t="s">
        <v>433</v>
      </c>
      <c r="B3" s="0" t="s">
        <v>434</v>
      </c>
      <c r="C3" s="3">
        <v>46127</v>
      </c>
      <c r="D3" s="0" t="s">
        <v>140</v>
      </c>
      <c r="E3" s="66">
        <v>46141</v>
      </c>
    </row>
    <row r="4">
      <c r="A4" s="0" t="s">
        <v>435</v>
      </c>
      <c r="B4" s="0" t="s">
        <v>436</v>
      </c>
      <c r="C4" s="3">
        <v>46127</v>
      </c>
      <c r="D4" s="0" t="s">
        <v>140</v>
      </c>
      <c r="E4" s="66">
        <v>46141</v>
      </c>
    </row>
    <row r="5">
      <c r="A5" s="0" t="s">
        <v>251</v>
      </c>
      <c r="B5" s="0" t="s">
        <v>437</v>
      </c>
      <c r="C5" s="3">
        <v>46134</v>
      </c>
      <c r="D5" s="0" t="s">
        <v>438</v>
      </c>
      <c r="E5" s="66">
        <v>46148</v>
      </c>
    </row>
    <row r="6">
      <c r="A6" s="0" t="s">
        <v>232</v>
      </c>
      <c r="B6" s="0" t="s">
        <v>437</v>
      </c>
      <c r="C6" s="3">
        <v>46135</v>
      </c>
      <c r="D6" s="0" t="s">
        <v>439</v>
      </c>
      <c r="E6" s="66">
        <v>46149</v>
      </c>
    </row>
    <row r="7">
      <c r="A7" s="0" t="s">
        <v>249</v>
      </c>
      <c r="B7" s="0" t="s">
        <v>437</v>
      </c>
      <c r="C7" s="3">
        <v>46135</v>
      </c>
      <c r="D7" s="0" t="s">
        <v>440</v>
      </c>
      <c r="E7" s="66">
        <v>46149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bestFit="1" width="5" customWidth="1"/>
    <col min="2" max="2" bestFit="1" width="8.5703125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6" t="s">
        <v>441</v>
      </c>
      <c r="B1" s="57" t="s">
        <v>442</v>
      </c>
      <c r="C1" s="58" t="s">
        <v>443</v>
      </c>
      <c r="D1" s="57" t="s">
        <v>444</v>
      </c>
      <c r="E1" s="58" t="s">
        <v>139</v>
      </c>
      <c r="F1" s="59" t="s">
        <v>445</v>
      </c>
      <c r="G1" s="64" t="s">
        <v>446</v>
      </c>
      <c r="H1" s="64" t="s">
        <v>447</v>
      </c>
      <c r="I1" s="64" t="s">
        <v>448</v>
      </c>
      <c r="K1" s="64" t="s">
        <v>449</v>
      </c>
      <c r="L1" s="0">
        <v>291663</v>
      </c>
    </row>
    <row r="2" ht="15">
      <c r="A2" s="63">
        <v>2024</v>
      </c>
      <c r="B2" s="60">
        <v>1.0075</v>
      </c>
      <c r="C2" s="61">
        <v>33494.01</v>
      </c>
      <c r="D2" s="62">
        <f>B2*C2</f>
        <v>33745.21507500001</v>
      </c>
      <c r="E2" s="61">
        <v>1800.28</v>
      </c>
      <c r="F2" s="61">
        <f>D2-E2</f>
        <v>31944.93507500001</v>
      </c>
    </row>
    <row r="3" ht="15">
      <c r="A3" s="63">
        <v>2025</v>
      </c>
      <c r="B3" s="60">
        <v>35.0709</v>
      </c>
      <c r="C3" s="61">
        <v>34465.34</v>
      </c>
      <c r="D3" s="62">
        <f ref="D3:D4" t="shared" si="0">B3*C3</f>
        <v>1208730.492606</v>
      </c>
      <c r="E3" s="61">
        <v>882116.11</v>
      </c>
      <c r="F3" s="61">
        <f ref="F3:F4" t="shared" si="1">D3-E3</f>
        <v>326614.38260600006</v>
      </c>
    </row>
    <row r="4" ht="15">
      <c r="A4" s="63">
        <v>2026</v>
      </c>
      <c r="B4" s="60">
        <v>42.0797</v>
      </c>
      <c r="C4" s="61">
        <v>35361.44</v>
      </c>
      <c r="D4" s="62">
        <f t="shared" si="0"/>
        <v>1487998.786768</v>
      </c>
      <c r="E4" s="61">
        <v>843034.33</v>
      </c>
      <c r="F4" s="61">
        <f t="shared" si="1"/>
        <v>644964.4567680001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3E02-024B-4853-A2F1-C0EB5734483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>
        <f t="shared" si="0"/>
      </c>
      <c r="V3" s="0" t="s">
        <v>23</v>
      </c>
    </row>
    <row r="4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>
        <f t="shared" si="0"/>
      </c>
      <c r="V4" s="15" t="s">
        <v>24</v>
      </c>
    </row>
    <row r="5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>
        <f t="shared" si="0"/>
      </c>
      <c r="V5" s="0" t="s">
        <v>25</v>
      </c>
    </row>
    <row r="6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>
        <f t="shared" si="0"/>
      </c>
      <c r="V6" s="0" t="s">
        <v>26</v>
      </c>
    </row>
    <row r="7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>
        <f t="shared" si="0"/>
      </c>
      <c r="V7" s="0" t="s">
        <v>27</v>
      </c>
    </row>
    <row r="8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>
        <f t="shared" si="0"/>
      </c>
      <c r="V8" s="0" t="s">
        <v>28</v>
      </c>
    </row>
    <row r="9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>
        <f t="shared" si="0"/>
      </c>
      <c r="V9" s="0" t="s">
        <v>29</v>
      </c>
    </row>
    <row r="10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>
        <f t="shared" si="0"/>
      </c>
      <c r="V10" s="0" t="s">
        <v>30</v>
      </c>
    </row>
    <row r="11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>
        <f t="shared" si="0"/>
      </c>
      <c r="V11" s="0" t="s">
        <v>31</v>
      </c>
    </row>
    <row r="12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>
        <f t="shared" si="0"/>
      </c>
      <c r="V12" s="0" t="s">
        <v>32</v>
      </c>
    </row>
    <row r="1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>
        <f t="shared" si="0"/>
      </c>
      <c r="V13" s="0" t="s">
        <v>33</v>
      </c>
    </row>
    <row r="14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>
        <f t="shared" si="0"/>
      </c>
      <c r="V14" s="0" t="s">
        <v>34</v>
      </c>
    </row>
    <row r="15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>
        <f t="shared" si="0"/>
      </c>
      <c r="V15" s="0" t="s">
        <v>35</v>
      </c>
    </row>
    <row r="16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>
        <f t="shared" si="0"/>
      </c>
      <c r="V16" s="0" t="s">
        <v>36</v>
      </c>
    </row>
    <row r="17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>
        <f t="shared" si="0"/>
      </c>
      <c r="V17" s="0" t="s">
        <v>37</v>
      </c>
    </row>
    <row r="18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>
        <f t="shared" si="0"/>
      </c>
      <c r="V18" s="0" t="s">
        <v>38</v>
      </c>
    </row>
    <row r="19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>
        <f t="shared" si="0"/>
      </c>
      <c r="V19" s="0" t="s">
        <v>39</v>
      </c>
    </row>
    <row r="20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>
        <f t="shared" si="0"/>
      </c>
      <c r="V20" s="0" t="s">
        <v>40</v>
      </c>
    </row>
    <row r="21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>
        <f t="shared" si="0"/>
      </c>
      <c r="V21" s="0" t="s">
        <v>41</v>
      </c>
    </row>
    <row r="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>
        <f t="shared" si="0"/>
      </c>
      <c r="V22" s="0" t="s">
        <v>42</v>
      </c>
    </row>
    <row r="23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>
        <f t="shared" si="0"/>
      </c>
      <c r="V23" s="0" t="s">
        <v>43</v>
      </c>
    </row>
    <row r="24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>
        <f t="shared" si="0"/>
      </c>
      <c r="V24" s="0" t="s">
        <v>44</v>
      </c>
    </row>
    <row r="25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>
        <f t="shared" si="0"/>
      </c>
      <c r="V25" s="0" t="s">
        <v>45</v>
      </c>
    </row>
    <row r="26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>
        <f t="shared" si="0"/>
      </c>
      <c r="V26" s="0" t="s">
        <v>46</v>
      </c>
    </row>
    <row r="27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>
        <f t="shared" si="0"/>
      </c>
      <c r="V27" s="0" t="s">
        <v>47</v>
      </c>
    </row>
    <row r="28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>
        <f t="shared" si="0"/>
      </c>
      <c r="V28" s="0" t="s">
        <v>48</v>
      </c>
    </row>
    <row r="29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>
        <f t="shared" si="0"/>
      </c>
      <c r="V29" s="0" t="s">
        <v>49</v>
      </c>
    </row>
    <row r="30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>
        <f t="shared" si="0"/>
      </c>
      <c r="V30" s="0" t="s">
        <v>50</v>
      </c>
    </row>
    <row r="31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>
        <f t="shared" si="0"/>
      </c>
      <c r="V31" s="0" t="s">
        <v>51</v>
      </c>
    </row>
    <row r="3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>
        <f t="shared" si="0"/>
      </c>
      <c r="V32" s="0" t="s">
        <v>52</v>
      </c>
    </row>
    <row r="33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>
        <f t="shared" si="0"/>
      </c>
      <c r="V33" s="0" t="s">
        <v>53</v>
      </c>
    </row>
    <row r="34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>
        <f t="shared" si="0"/>
      </c>
      <c r="V34" s="0" t="s">
        <v>54</v>
      </c>
    </row>
    <row r="35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>
        <f t="shared" si="0"/>
      </c>
      <c r="V35" s="0" t="s">
        <v>55</v>
      </c>
    </row>
    <row r="36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>
        <f t="shared" si="0"/>
      </c>
      <c r="V36" s="0" t="s">
        <v>56</v>
      </c>
    </row>
    <row r="37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>
        <f t="shared" si="0"/>
      </c>
      <c r="V37" s="0" t="s">
        <v>57</v>
      </c>
    </row>
    <row r="38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>
        <f t="shared" si="0"/>
      </c>
      <c r="V38" s="0" t="s">
        <v>58</v>
      </c>
    </row>
    <row r="39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>
        <f t="shared" si="0"/>
      </c>
      <c r="V39" s="0" t="s">
        <v>35</v>
      </c>
    </row>
    <row r="40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>
        <f t="shared" si="0"/>
      </c>
      <c r="V40" s="0" t="s">
        <v>59</v>
      </c>
    </row>
    <row r="41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>
        <f t="shared" si="0"/>
      </c>
      <c r="V41" s="0" t="s">
        <v>60</v>
      </c>
    </row>
    <row r="4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>
        <f t="shared" si="0"/>
      </c>
      <c r="V42" s="0" t="s">
        <v>61</v>
      </c>
    </row>
    <row r="43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>
        <f t="shared" si="0"/>
      </c>
      <c r="V43" s="0" t="s">
        <v>62</v>
      </c>
    </row>
    <row r="44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>
        <f t="shared" si="0"/>
      </c>
      <c r="V44" s="0" t="s">
        <v>63</v>
      </c>
    </row>
    <row r="45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>
        <f t="shared" si="0"/>
      </c>
      <c r="V45" s="0" t="s">
        <v>64</v>
      </c>
    </row>
    <row r="46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>
        <f t="shared" si="0"/>
      </c>
      <c r="V46" s="0" t="s">
        <v>65</v>
      </c>
    </row>
    <row r="47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>
        <f t="shared" si="0"/>
      </c>
      <c r="V47" s="0" t="s">
        <v>27</v>
      </c>
    </row>
    <row r="48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>
        <f t="shared" si="0"/>
      </c>
      <c r="V48" s="0" t="s">
        <v>66</v>
      </c>
    </row>
    <row r="49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>
        <f t="shared" si="0"/>
      </c>
      <c r="V49" s="0" t="s">
        <v>67</v>
      </c>
    </row>
    <row r="50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s="0" t="s">
        <v>68</v>
      </c>
    </row>
    <row r="51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s="0" t="s">
        <v>69</v>
      </c>
    </row>
    <row r="5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s="0" t="s">
        <v>70</v>
      </c>
    </row>
    <row r="53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s="0" t="s">
        <v>71</v>
      </c>
    </row>
    <row r="54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s="0" t="s">
        <v>72</v>
      </c>
    </row>
    <row r="55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s="0" t="s">
        <v>73</v>
      </c>
    </row>
    <row r="56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s="0" t="s">
        <v>74</v>
      </c>
    </row>
    <row r="57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s="0" t="s">
        <v>75</v>
      </c>
    </row>
    <row r="58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s="0" t="s">
        <v>76</v>
      </c>
    </row>
    <row r="59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s="0" t="s">
        <v>77</v>
      </c>
    </row>
    <row r="60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s="0" t="s">
        <v>28</v>
      </c>
    </row>
    <row r="61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s="0" t="s">
        <v>78</v>
      </c>
    </row>
    <row r="6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s="0" t="s">
        <v>31</v>
      </c>
    </row>
    <row r="63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s="0" t="s">
        <v>79</v>
      </c>
    </row>
    <row r="64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s="0" t="s">
        <v>80</v>
      </c>
    </row>
    <row r="65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s="0" t="s">
        <v>81</v>
      </c>
    </row>
    <row r="66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s="0" t="s">
        <v>82</v>
      </c>
    </row>
    <row r="67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s="0" t="s">
        <v>26</v>
      </c>
    </row>
    <row r="68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s="0" t="s">
        <v>30</v>
      </c>
    </row>
    <row r="69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s="0" t="s">
        <v>83</v>
      </c>
    </row>
    <row r="70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s="0" t="s">
        <v>84</v>
      </c>
    </row>
    <row r="71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s="0" t="s">
        <v>85</v>
      </c>
    </row>
    <row r="73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s="0" t="s">
        <v>38</v>
      </c>
    </row>
    <row r="78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s="0" t="s">
        <v>40</v>
      </c>
    </row>
    <row r="79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s="0" t="s">
        <v>86</v>
      </c>
    </row>
    <row r="8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s="0" t="s">
        <v>87</v>
      </c>
    </row>
    <row r="88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s="0" t="s">
        <v>44</v>
      </c>
    </row>
    <row r="89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s="0" t="s">
        <v>43</v>
      </c>
    </row>
    <row r="90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s="0" t="s">
        <v>88</v>
      </c>
    </row>
    <row r="91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s="0" t="s">
        <v>51</v>
      </c>
    </row>
    <row r="9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s="0" t="s">
        <v>53</v>
      </c>
    </row>
    <row r="93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s="0" t="s">
        <v>22</v>
      </c>
    </row>
    <row r="94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s="0" t="s">
        <v>25</v>
      </c>
    </row>
    <row r="95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s="0" t="s">
        <v>89</v>
      </c>
    </row>
    <row r="96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s="0" t="s">
        <v>55</v>
      </c>
    </row>
    <row r="97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s="0" t="s">
        <v>54</v>
      </c>
    </row>
    <row r="98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s="0" t="s">
        <v>41</v>
      </c>
    </row>
    <row r="99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s="0" t="s">
        <v>42</v>
      </c>
    </row>
    <row r="100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s="0" t="s">
        <v>24</v>
      </c>
    </row>
    <row r="101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s="0" t="s">
        <v>23</v>
      </c>
    </row>
    <row r="10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s="0" t="s">
        <v>38</v>
      </c>
    </row>
    <row r="103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s="0" t="s">
        <v>90</v>
      </c>
    </row>
    <row r="104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s="0" t="s">
        <v>52</v>
      </c>
    </row>
    <row r="105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s="0" t="s">
        <v>91</v>
      </c>
    </row>
    <row r="106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s="0" t="s">
        <v>92</v>
      </c>
    </row>
    <row r="107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s="0" t="s">
        <v>32</v>
      </c>
    </row>
    <row r="108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s="0" t="s">
        <v>39</v>
      </c>
    </row>
    <row r="109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s="0" t="s">
        <v>34</v>
      </c>
    </row>
    <row r="110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s="0" t="s">
        <v>33</v>
      </c>
    </row>
    <row r="111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s="0" t="s">
        <v>35</v>
      </c>
    </row>
    <row r="113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s="0" t="s">
        <v>87</v>
      </c>
    </row>
    <row r="114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s="0" t="s">
        <v>84</v>
      </c>
    </row>
    <row r="115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s="0" t="s">
        <v>45</v>
      </c>
    </row>
    <row r="116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s="0" t="s">
        <v>88</v>
      </c>
    </row>
    <row r="117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s="0" t="s">
        <v>90</v>
      </c>
    </row>
    <row r="118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s="0" t="s">
        <v>93</v>
      </c>
    </row>
    <row r="121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s="0" t="s">
        <v>63</v>
      </c>
    </row>
    <row r="1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s="0" t="s">
        <v>94</v>
      </c>
    </row>
    <row r="123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s="0" t="s">
        <v>95</v>
      </c>
    </row>
    <row r="124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s="0" t="s">
        <v>96</v>
      </c>
    </row>
    <row r="125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s="0" t="s">
        <v>97</v>
      </c>
    </row>
    <row r="126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s="0" t="s">
        <v>98</v>
      </c>
    </row>
    <row r="127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s="0" t="s">
        <v>27</v>
      </c>
    </row>
    <row r="128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s="0" t="s">
        <v>28</v>
      </c>
    </row>
    <row r="129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s="0" t="s">
        <v>26</v>
      </c>
    </row>
    <row r="130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s="0" t="s">
        <v>29</v>
      </c>
    </row>
    <row r="131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s="0" t="s">
        <v>99</v>
      </c>
    </row>
    <row r="13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s="0" t="s">
        <v>100</v>
      </c>
    </row>
    <row r="133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s="0" t="s">
        <v>101</v>
      </c>
    </row>
    <row r="134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s="0" t="s">
        <v>68</v>
      </c>
    </row>
    <row r="135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s="0" t="s">
        <v>69</v>
      </c>
    </row>
    <row r="136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s="0" t="s">
        <v>102</v>
      </c>
    </row>
    <row r="137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s="0" t="s">
        <v>103</v>
      </c>
    </row>
    <row r="138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s="0" t="s">
        <v>104</v>
      </c>
    </row>
    <row r="139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s="0" t="s">
        <v>104</v>
      </c>
    </row>
    <row r="140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s="0" t="s">
        <v>62</v>
      </c>
    </row>
    <row r="141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s="0" t="s">
        <v>48</v>
      </c>
    </row>
    <row r="14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s="0" t="s">
        <v>71</v>
      </c>
    </row>
    <row r="143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s="0" t="s">
        <v>105</v>
      </c>
    </row>
    <row r="144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s="0" t="s">
        <v>106</v>
      </c>
    </row>
    <row r="145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s="0" t="s">
        <v>75</v>
      </c>
    </row>
    <row r="146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s="0" t="s">
        <v>76</v>
      </c>
    </row>
    <row r="147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s="0" t="s">
        <v>107</v>
      </c>
    </row>
    <row r="149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s="0" t="s">
        <v>108</v>
      </c>
    </row>
    <row r="150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s="0" t="s">
        <v>109</v>
      </c>
    </row>
    <row r="151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s="0" t="s">
        <v>30</v>
      </c>
    </row>
    <row r="15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s="0" t="s">
        <v>31</v>
      </c>
    </row>
    <row r="153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s="0" t="s">
        <v>110</v>
      </c>
    </row>
    <row r="154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s="0" t="s">
        <v>38</v>
      </c>
    </row>
    <row r="155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s="0" t="s">
        <v>85</v>
      </c>
    </row>
    <row r="156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s="0" t="s">
        <v>43</v>
      </c>
    </row>
    <row r="157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s="0" t="s">
        <v>44</v>
      </c>
    </row>
    <row r="158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s="0" t="s">
        <v>111</v>
      </c>
    </row>
    <row r="159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s="0" t="s">
        <v>112</v>
      </c>
    </row>
    <row r="160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s="0" t="s">
        <v>22</v>
      </c>
    </row>
    <row r="161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s="0" t="s">
        <v>113</v>
      </c>
    </row>
    <row r="16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s="0" t="s">
        <v>41</v>
      </c>
    </row>
    <row r="163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s="0" t="s">
        <v>52</v>
      </c>
    </row>
    <row r="164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s="0" t="s">
        <v>23</v>
      </c>
    </row>
    <row r="165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s="0" t="s">
        <v>24</v>
      </c>
    </row>
    <row r="166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s="0" t="s">
        <v>63</v>
      </c>
    </row>
    <row r="167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s="0" t="s">
        <v>88</v>
      </c>
    </row>
    <row r="168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s="0" t="s">
        <v>55</v>
      </c>
    </row>
    <row r="169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s="0" t="s">
        <v>114</v>
      </c>
    </row>
    <row r="170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s="0" t="s">
        <v>115</v>
      </c>
    </row>
    <row r="171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s="0" t="s">
        <v>62</v>
      </c>
    </row>
    <row r="17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s="0" t="s">
        <v>116</v>
      </c>
    </row>
    <row r="175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s="0" t="s">
        <v>117</v>
      </c>
    </row>
    <row r="179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s="0" t="s">
        <v>118</v>
      </c>
    </row>
    <row r="180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s="0" t="s">
        <v>57</v>
      </c>
    </row>
    <row r="181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s="0" t="s">
        <v>83</v>
      </c>
    </row>
    <row r="18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s="0" t="s">
        <v>119</v>
      </c>
    </row>
    <row r="183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s="0" t="s">
        <v>53</v>
      </c>
    </row>
    <row r="184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s="0" t="s">
        <v>120</v>
      </c>
    </row>
    <row r="185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s="0" t="s">
        <v>121</v>
      </c>
    </row>
    <row r="186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s="0" t="s">
        <v>122</v>
      </c>
    </row>
    <row r="187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s="0" t="s">
        <v>123</v>
      </c>
    </row>
    <row r="188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s="0" t="s">
        <v>32</v>
      </c>
    </row>
    <row r="189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s="0" t="s">
        <v>84</v>
      </c>
    </row>
    <row r="190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s="0" t="s">
        <v>91</v>
      </c>
    </row>
    <row r="191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s="0" t="s">
        <v>25</v>
      </c>
    </row>
    <row r="19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s="0" t="s">
        <v>51</v>
      </c>
    </row>
    <row r="193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s="0" t="s">
        <v>120</v>
      </c>
    </row>
    <row r="194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s="0" t="s">
        <v>124</v>
      </c>
    </row>
    <row r="198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s="0" t="s">
        <v>125</v>
      </c>
    </row>
    <row r="199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s="0" t="s">
        <v>35</v>
      </c>
    </row>
    <row r="200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s="0" t="s">
        <v>104</v>
      </c>
    </row>
    <row r="201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s="0" t="s">
        <v>87</v>
      </c>
    </row>
    <row r="20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s="0" t="s">
        <v>126</v>
      </c>
    </row>
    <row r="203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s="0" t="s">
        <v>127</v>
      </c>
    </row>
    <row r="204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s="0" t="s">
        <v>90</v>
      </c>
    </row>
    <row r="205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s="0" t="s">
        <v>54</v>
      </c>
    </row>
    <row r="206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>
        <f t="shared" si="1"/>
      </c>
      <c r="V207" s="0" t="s">
        <v>128</v>
      </c>
    </row>
    <row r="208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>
        <f t="shared" si="1"/>
      </c>
      <c r="V208" s="0" t="s">
        <v>26</v>
      </c>
    </row>
    <row r="209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>
        <f t="shared" si="1"/>
      </c>
      <c r="V209" s="0" t="s">
        <v>57</v>
      </c>
    </row>
    <row r="210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>
        <f t="shared" si="1"/>
      </c>
      <c r="V210" s="0" t="s">
        <v>129</v>
      </c>
    </row>
    <row r="211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>
        <f t="shared" si="1"/>
      </c>
      <c r="V211" s="0" t="s">
        <v>69</v>
      </c>
    </row>
    <row r="21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>
        <f t="shared" si="1"/>
      </c>
      <c r="V212" s="0" t="s">
        <v>40</v>
      </c>
    </row>
    <row r="213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>
        <f t="shared" si="1"/>
      </c>
      <c r="V213" s="0" t="s">
        <v>68</v>
      </c>
    </row>
    <row r="214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>
        <f t="shared" si="1"/>
      </c>
      <c r="V214" s="0" t="s">
        <v>33</v>
      </c>
    </row>
    <row r="215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>
        <f t="shared" si="1"/>
      </c>
      <c r="V215" s="0" t="s">
        <v>29</v>
      </c>
    </row>
    <row r="216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>
        <f t="shared" si="1"/>
      </c>
      <c r="V216" s="0" t="s">
        <v>34</v>
      </c>
    </row>
    <row r="217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>
        <f t="shared" si="1"/>
      </c>
      <c r="V217" s="0" t="s">
        <v>130</v>
      </c>
    </row>
    <row r="218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>
        <f t="shared" si="1"/>
      </c>
      <c r="V218" s="0" t="s">
        <v>71</v>
      </c>
    </row>
    <row r="219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>
        <f t="shared" si="1"/>
      </c>
      <c r="V219" s="0" t="s">
        <v>131</v>
      </c>
    </row>
    <row r="220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>
        <f t="shared" si="1"/>
      </c>
    </row>
    <row r="221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>
        <f t="shared" si="1"/>
      </c>
    </row>
    <row r="2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>
        <f t="shared" si="1"/>
      </c>
    </row>
    <row r="223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>
        <f t="shared" si="1"/>
      </c>
    </row>
    <row r="224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>
        <f t="shared" si="1"/>
      </c>
    </row>
    <row r="225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>
        <f t="shared" si="1"/>
      </c>
    </row>
    <row r="226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>
        <f t="shared" si="1"/>
      </c>
    </row>
    <row r="227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>
        <f t="shared" si="1"/>
      </c>
    </row>
    <row r="228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>
        <f t="shared" si="1"/>
      </c>
    </row>
    <row r="229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>
        <f t="shared" si="1"/>
      </c>
    </row>
    <row r="230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>
        <f t="shared" si="1"/>
      </c>
    </row>
    <row r="23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>
        <f t="shared" si="1"/>
      </c>
    </row>
    <row r="232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>
        <f t="shared" si="1"/>
      </c>
    </row>
    <row r="233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>
        <f t="shared" si="1"/>
      </c>
    </row>
    <row r="234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>
        <f t="shared" si="1"/>
      </c>
    </row>
    <row r="235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>
        <f t="shared" si="1"/>
      </c>
    </row>
    <row r="236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>
        <f t="shared" si="1"/>
      </c>
    </row>
    <row r="237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>
        <f t="shared" si="1"/>
      </c>
    </row>
    <row r="238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>
        <f t="shared" si="2"/>
      </c>
    </row>
    <row r="240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>
        <f t="shared" si="2"/>
      </c>
    </row>
    <row r="24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>
        <f t="shared" si="2"/>
      </c>
    </row>
    <row r="242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>
        <f t="shared" si="2"/>
      </c>
    </row>
    <row r="243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>
        <f t="shared" si="2"/>
      </c>
    </row>
    <row r="244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>
        <f t="shared" si="2"/>
      </c>
    </row>
    <row r="245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>
        <f t="shared" si="2"/>
      </c>
    </row>
    <row r="246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>
        <f t="shared" si="2"/>
      </c>
    </row>
    <row r="247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>
        <f t="shared" si="2"/>
      </c>
    </row>
    <row r="248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>
        <f t="shared" si="2"/>
      </c>
    </row>
    <row r="249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>
        <f t="shared" si="2"/>
      </c>
    </row>
    <row r="250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>
        <f t="shared" si="2"/>
      </c>
    </row>
    <row r="25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>
        <f t="shared" si="2"/>
      </c>
    </row>
    <row r="252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>
        <f t="shared" si="2"/>
      </c>
    </row>
    <row r="253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>
        <f t="shared" si="2"/>
      </c>
    </row>
    <row r="254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>
        <f t="shared" si="2"/>
      </c>
    </row>
    <row r="255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>
        <f t="shared" si="2"/>
      </c>
    </row>
    <row r="256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>
        <f t="shared" si="2"/>
      </c>
    </row>
    <row r="257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>
        <f t="shared" si="2"/>
      </c>
    </row>
    <row r="258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>
        <f t="shared" si="2"/>
      </c>
    </row>
    <row r="259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>
        <f t="shared" si="2"/>
      </c>
    </row>
    <row r="260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>
        <f t="shared" si="2"/>
      </c>
    </row>
    <row r="26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>
        <f t="shared" si="2"/>
      </c>
    </row>
    <row r="262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>
        <f t="shared" si="2"/>
      </c>
    </row>
    <row r="263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>
        <f t="shared" si="2"/>
      </c>
    </row>
    <row r="264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>
        <f t="shared" si="2"/>
      </c>
    </row>
    <row r="265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>
        <f t="shared" si="2"/>
      </c>
    </row>
    <row r="266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>
        <f t="shared" si="2"/>
      </c>
    </row>
    <row r="267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>
        <f t="shared" si="2"/>
      </c>
    </row>
    <row r="268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>
        <f t="shared" si="2"/>
      </c>
    </row>
    <row r="269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>
        <f t="shared" si="2"/>
      </c>
    </row>
    <row r="270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>
        <f t="shared" si="3"/>
      </c>
    </row>
    <row r="272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>
        <f t="shared" si="3"/>
      </c>
    </row>
    <row r="273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>
        <f t="shared" si="3"/>
      </c>
    </row>
    <row r="274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>
        <f t="shared" si="3"/>
      </c>
    </row>
    <row r="275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>
        <f t="shared" si="3"/>
      </c>
    </row>
    <row r="276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>
        <f t="shared" si="3"/>
      </c>
    </row>
    <row r="277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>
        <f t="shared" si="3"/>
      </c>
    </row>
    <row r="278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>
        <f t="shared" si="3"/>
      </c>
    </row>
    <row r="279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>
        <f t="shared" si="3"/>
      </c>
    </row>
    <row r="280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>
        <f t="shared" si="3"/>
      </c>
    </row>
    <row r="28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>
        <f t="shared" si="3"/>
      </c>
    </row>
    <row r="282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>
        <f t="shared" si="3"/>
      </c>
    </row>
    <row r="283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>
        <f t="shared" si="3"/>
      </c>
    </row>
    <row r="284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>
        <f t="shared" si="3"/>
      </c>
    </row>
    <row r="285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>
        <f t="shared" si="3"/>
      </c>
    </row>
    <row r="286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>
        <f t="shared" si="3"/>
      </c>
    </row>
    <row r="287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>
        <f t="shared" si="3"/>
      </c>
    </row>
    <row r="288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>
        <f t="shared" si="3"/>
      </c>
    </row>
    <row r="289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>
        <f t="shared" si="3"/>
      </c>
    </row>
    <row r="290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>
        <f t="shared" si="3"/>
      </c>
    </row>
    <row r="29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>
        <f t="shared" si="3"/>
      </c>
    </row>
    <row r="292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>
        <f t="shared" si="3"/>
      </c>
    </row>
    <row r="293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>
        <f t="shared" si="3"/>
      </c>
    </row>
    <row r="294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>
        <f t="shared" si="3"/>
      </c>
    </row>
    <row r="295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>
        <f t="shared" si="3"/>
      </c>
    </row>
    <row r="296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>
        <f t="shared" si="3"/>
      </c>
    </row>
    <row r="297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>
        <f t="shared" si="3"/>
      </c>
    </row>
    <row r="298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>
        <f t="shared" si="3"/>
      </c>
    </row>
    <row r="299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>
        <f t="shared" si="3"/>
      </c>
    </row>
    <row r="300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>
        <f t="shared" si="3"/>
      </c>
    </row>
    <row r="30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>
        <f t="shared" si="3"/>
      </c>
    </row>
    <row r="302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>
        <f t="shared" si="4"/>
      </c>
    </row>
    <row r="304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>
        <f t="shared" si="4"/>
      </c>
    </row>
    <row r="305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>
        <f t="shared" si="4"/>
      </c>
    </row>
    <row r="306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>
        <f t="shared" si="4"/>
      </c>
    </row>
    <row r="307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>
        <f t="shared" si="4"/>
      </c>
    </row>
    <row r="308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>
        <f t="shared" si="4"/>
      </c>
    </row>
    <row r="309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>
        <f t="shared" si="4"/>
      </c>
    </row>
    <row r="310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>
        <f t="shared" si="4"/>
      </c>
    </row>
    <row r="31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>
        <f t="shared" si="4"/>
      </c>
    </row>
    <row r="312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>
        <f t="shared" si="4"/>
      </c>
    </row>
    <row r="313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>
        <f t="shared" si="4"/>
      </c>
    </row>
    <row r="314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>
        <f t="shared" si="4"/>
      </c>
    </row>
    <row r="315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>
        <f t="shared" si="4"/>
      </c>
    </row>
    <row r="316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>
        <f t="shared" si="4"/>
      </c>
    </row>
    <row r="317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>
        <f t="shared" si="4"/>
      </c>
    </row>
    <row r="318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>
        <f t="shared" si="4"/>
      </c>
    </row>
    <row r="319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>
        <f t="shared" si="4"/>
      </c>
    </row>
    <row r="320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>
        <f t="shared" si="4"/>
      </c>
    </row>
    <row r="3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>
        <f t="shared" si="4"/>
      </c>
    </row>
    <row r="322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>
        <f t="shared" si="4"/>
      </c>
    </row>
    <row r="323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>
        <f t="shared" si="4"/>
      </c>
    </row>
    <row r="324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>
        <f t="shared" si="4"/>
      </c>
    </row>
    <row r="325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>
        <f t="shared" si="4"/>
      </c>
    </row>
    <row r="326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>
        <f t="shared" si="4"/>
      </c>
    </row>
    <row r="327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>
        <f t="shared" si="4"/>
      </c>
    </row>
    <row r="328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>
        <f t="shared" si="4"/>
      </c>
    </row>
    <row r="329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>
        <f t="shared" si="4"/>
      </c>
    </row>
    <row r="330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>
        <f t="shared" si="4"/>
      </c>
    </row>
    <row r="33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>
        <f t="shared" si="4"/>
      </c>
    </row>
    <row r="332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>
        <f t="shared" si="4"/>
      </c>
    </row>
    <row r="333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>
        <f t="shared" si="4"/>
      </c>
    </row>
    <row r="334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>
        <f t="shared" si="5"/>
      </c>
    </row>
    <row r="336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>
        <f t="shared" si="5"/>
      </c>
    </row>
    <row r="337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>
        <f t="shared" si="5"/>
      </c>
    </row>
    <row r="338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>
        <f t="shared" si="5"/>
      </c>
    </row>
    <row r="339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>
        <f t="shared" si="5"/>
      </c>
    </row>
    <row r="340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>
        <f t="shared" si="5"/>
      </c>
    </row>
    <row r="34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>
        <f t="shared" si="5"/>
      </c>
    </row>
    <row r="342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>
        <f t="shared" si="5"/>
      </c>
    </row>
    <row r="343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>
        <f t="shared" si="5"/>
      </c>
    </row>
    <row r="344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>
        <f t="shared" si="5"/>
      </c>
    </row>
    <row r="345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>
        <f t="shared" si="5"/>
      </c>
    </row>
    <row r="346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>
        <f t="shared" si="5"/>
      </c>
    </row>
    <row r="347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>
        <f t="shared" si="5"/>
      </c>
    </row>
    <row r="348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>
        <f t="shared" si="5"/>
      </c>
    </row>
    <row r="349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>
        <f t="shared" si="5"/>
      </c>
    </row>
    <row r="350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>
        <f>IF(Table1[[#This Row],[Start 6]]="","",IF(S350&gt;0,"Paid",IF(ISNA(MATCH(_xlfn.CONCAT(Table1[[#This Row],[PATIENTS NAME]],DATEVALUE(Table1[[#This Row],[Start 6]])),#REF!,0)),"","In Process")))</f>
      </c>
      <c r="U350" s="43">
        <f t="shared" si="5"/>
      </c>
    </row>
    <row r="35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>
        <f>IF(Table1[[#This Row],[Start 6]]="","",IF(S351&gt;0,"Paid",IF(ISNA(MATCH(_xlfn.CONCAT(Table1[[#This Row],[PATIENTS NAME]],DATEVALUE(Table1[[#This Row],[Start 6]])),#REF!,0)),"","In Process")))</f>
      </c>
      <c r="U351" s="43">
        <f t="shared" si="5"/>
      </c>
    </row>
    <row r="352" ht="15.75" customHeight="1">
      <c r="F352" s="3"/>
      <c r="I352" s="3"/>
      <c r="L352" s="3"/>
      <c r="O352" s="3"/>
      <c r="Q352" s="37"/>
      <c r="R352" s="3"/>
      <c r="U352" s="44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D461AAD-AF22-45C3-806A-616F8C36D92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2026-04-24T15:56:04Z</dcterms:modified>
</cp:coreProperties>
</file>