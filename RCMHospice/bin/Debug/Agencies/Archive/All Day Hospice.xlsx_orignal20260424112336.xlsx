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4EA8017F-5F27-4C2B-8E0F-87D40F864C43}" xr6:coauthVersionLast="47" xr6:coauthVersionMax="47" xr10:uidLastSave="{00000000-0000-0000-0000-000000000000}"/>
  <bookViews>
    <workbookView showHorizontalScroll="0" showVerticalScroll="0" xWindow="390" yWindow="390" windowWidth="28800" windowHeight="11295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D14" i="5"/>
  <c r="C14" i="5"/>
  <c r="B14" i="5"/>
  <c r="C13" i="5"/>
  <c r="D13" i="5" s="1"/>
  <c r="B13" i="5"/>
  <c r="C12" i="5"/>
  <c r="D12" i="5" s="1"/>
  <c r="B12" i="5"/>
  <c r="C11" i="5"/>
  <c r="D11" i="5" s="1"/>
  <c r="B11" i="5"/>
  <c r="D10" i="5"/>
  <c r="C10" i="5"/>
  <c r="B10" i="5"/>
  <c r="C9" i="5"/>
  <c r="D9" i="5" s="1"/>
  <c r="B9" i="5"/>
  <c r="C8" i="5"/>
  <c r="D8" i="5" s="1"/>
  <c r="B8" i="5"/>
  <c r="C7" i="5"/>
  <c r="D7" i="5" s="1"/>
  <c r="B7" i="5"/>
  <c r="D6" i="5"/>
  <c r="C6" i="5"/>
  <c r="B6" i="5"/>
  <c r="C5" i="5"/>
  <c r="D5" i="5" s="1"/>
  <c r="B5" i="5"/>
  <c r="C4" i="5"/>
  <c r="D4" i="5" s="1"/>
  <c r="B4" i="5"/>
  <c r="C3" i="5"/>
  <c r="D3" i="5" s="1"/>
  <c r="B3" i="5"/>
  <c r="F1" i="5" a="1"/>
  <c r="G17" i="5" s="1"/>
  <c r="A1" i="5" a="1"/>
  <c r="B2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D4" i="13"/>
  <c r="F4" i="13" s="1"/>
  <c r="D3" i="13"/>
  <c r="F3" i="13" s="1"/>
  <c r="D2" i="13"/>
  <c r="F2" i="13" s="1"/>
  <c r="C2" i="5" l="1"/>
  <c r="D2" i="5" s="1"/>
  <c r="G4" i="5"/>
  <c r="H5" i="5"/>
  <c r="G8" i="5"/>
  <c r="H9" i="5"/>
  <c r="G12" i="5"/>
  <c r="H13" i="5"/>
  <c r="G16" i="5"/>
  <c r="H17" i="5"/>
  <c r="L17" i="5" s="1"/>
  <c r="G2" i="5"/>
  <c r="H3" i="5"/>
  <c r="G6" i="5"/>
  <c r="H7" i="5"/>
  <c r="G10" i="5"/>
  <c r="H11" i="5"/>
  <c r="G14" i="5"/>
  <c r="H15" i="5"/>
  <c r="F1" i="5"/>
  <c r="G3" i="5"/>
  <c r="H4" i="5"/>
  <c r="G7" i="5"/>
  <c r="H8" i="5"/>
  <c r="G11" i="5"/>
  <c r="H12" i="5"/>
  <c r="G15" i="5"/>
  <c r="H16" i="5"/>
  <c r="A1" i="5"/>
  <c r="H2" i="5"/>
  <c r="G5" i="5"/>
  <c r="H6" i="5"/>
  <c r="G9" i="5"/>
  <c r="H10" i="5"/>
  <c r="G13" i="5"/>
  <c r="H14" i="5"/>
  <c r="L2" i="5" l="1"/>
  <c r="I2" i="5"/>
  <c r="L12" i="5"/>
  <c r="I12" i="5"/>
  <c r="L4" i="5"/>
  <c r="I4" i="5"/>
  <c r="I13" i="5"/>
  <c r="L13" i="5"/>
  <c r="I5" i="5"/>
  <c r="L5" i="5"/>
  <c r="I15" i="5"/>
  <c r="L15" i="5"/>
  <c r="I7" i="5"/>
  <c r="L7" i="5"/>
  <c r="L14" i="5"/>
  <c r="I14" i="5"/>
  <c r="L6" i="5"/>
  <c r="I6" i="5"/>
  <c r="L16" i="5"/>
  <c r="I16" i="5"/>
  <c r="L8" i="5"/>
  <c r="I8" i="5"/>
  <c r="I17" i="5"/>
  <c r="L10" i="5"/>
  <c r="I10" i="5"/>
  <c r="I9" i="5"/>
  <c r="L9" i="5"/>
  <c r="I11" i="5"/>
  <c r="L11" i="5"/>
  <c r="I3" i="5"/>
  <c r="L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<sst xmlns="http://schemas.openxmlformats.org/spreadsheetml/2006/main" count="1293" uniqueCount="420">
  <si>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</si>
  <si>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</si>
  <si>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</si>
  <si>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</si>
  <si>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</si>
  <si>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</si>
  <si>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</si>
  <si>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</si>
  <si>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</si>
  <si>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</si>
  <si>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</si>
  <si>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</si>
  <si>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</si>
  <si>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</si>
  <si>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</si>
  <si>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</si>
  <si>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</si>
  <si>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</si>
  <si>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</si>
  <si>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</si>
  <si>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</si>
  <si>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</si>
  <si>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</si>
  <si>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</si>
  <si>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</si>
  <si>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</si>
  <si>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</si>
  <si>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</si>
  <si>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</si>
  <si>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</si>
  <si>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</si>
  <si>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</si>
  <si>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</si>
  <si>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</si>
  <si>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</si>
  <si>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</si>
  <si>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</si>
  <si>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</si>
  <si>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</si>
  <si>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</si>
  <si>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</si>
  <si>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</si>
  <si>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</si>
  <si>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</si>
  <si>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</si>
  <si>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</si>
  <si>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</si>
  <si>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</si>
  <si>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</si>
  <si>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</si>
  <si>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</si>
  <si>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</si>
  <si>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</si>
  <si>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</si>
  <si>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</si>
  <si>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</si>
  <si>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</si>
  <si>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</si>
  <si>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</si>
  <si>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</si>
  <si>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</si>
  <si>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</si>
  <si>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</si>
  <si>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</si>
  <si>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</si>
  <si>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</si>
  <si>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</si>
  <si>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</si>
  <si>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</si>
  <si>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</si>
  <si>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</si>
  <si>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</si>
  <si>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</si>
  <si>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</si>
  <si>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</si>
  <si>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</si>
  <si>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</si>
  <si>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</si>
  <si>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</si>
  <si>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</si>
  <si>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</si>
  <si>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</si>
  <si>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</si>
  <si>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</si>
  <si>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</si>
  <si>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</si>
  <si>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</si>
  <si>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</si>
  <si>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</si>
  <si>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</si>
  <si>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</si>
  <si>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</si>
  <si>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</si>
  <si>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</si>
  <si>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</si>
  <si>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</si>
  <si>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</si>
  <si>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</si>
  <si>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</si>
  <si>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</si>
  <si>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</si>
  <si>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</si>
  <si>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</si>
  <si>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</si>
  <si>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</si>
  <si>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</si>
  <si>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</si>
  <si>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</si>
  <si>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</si>
  <si>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</si>
  <si>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</si>
  <si>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</si>
  <si>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</si>
  <si>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</si>
  <si>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</si>
  <si>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</si>
  <si>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</si>
  <si>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</si>
  <si>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</si>
  <si>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</si>
  <si>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</si>
  <si>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</si>
  <si>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</si>
  <si>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</si>
  <si>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</si>
  <si>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</si>
  <si>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</si>
  <si>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</si>
  <si>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</si>
  <si>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</si>
  <si>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</si>
  <si>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</si>
  <si>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</si>
  <si>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</si>
  <si>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</si>
  <si>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</si>
  <si>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</si>
  <si>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</si>
  <si>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</si>
  <si>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</si>
  <si>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</si>
  <si>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</si>
  <si>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</si>
  <si>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Projected</t>
  </si>
  <si>
    <t>Start Date</t>
  </si>
  <si>
    <t>Reimb</t>
  </si>
  <si>
    <t>Paid Date</t>
  </si>
  <si>
    <t>Notes</t>
  </si>
  <si>
    <t>James, Julius</t>
  </si>
  <si>
    <t>3/17/2026</t>
  </si>
  <si>
    <t>7P08GY5CQ61</t>
  </si>
  <si>
    <t>Lopez Navichoqu, Victor</t>
  </si>
  <si>
    <t>3/1/2026</t>
  </si>
  <si>
    <t>5WV5Y25ER60</t>
  </si>
  <si>
    <t>Foresee, Robert</t>
  </si>
  <si>
    <t>4V07YA9XJ65</t>
  </si>
  <si>
    <t>Puryear, Patricia</t>
  </si>
  <si>
    <t>3H36F50QE84</t>
  </si>
  <si>
    <t>Blake, Terry</t>
  </si>
  <si>
    <t>3/24/2026</t>
  </si>
  <si>
    <t>8WY9QQ8TU33</t>
  </si>
  <si>
    <t>Sheffield, Ruby</t>
  </si>
  <si>
    <t>5GX7PQ5KQ59</t>
  </si>
  <si>
    <t>Lyman, Eveline</t>
  </si>
  <si>
    <t>3/12/2026</t>
  </si>
  <si>
    <t>3UM8Y20HE51</t>
  </si>
  <si>
    <t>Lopez, Eutiquio</t>
  </si>
  <si>
    <t>2VJ9FC3YN26</t>
  </si>
  <si>
    <t>Liu, Sue</t>
  </si>
  <si>
    <t>8ND9Y25KU26</t>
  </si>
  <si>
    <t>Wright, Jacqueline</t>
  </si>
  <si>
    <t>6FC1NH8UT14</t>
  </si>
  <si>
    <t>Wibowo, Paulus</t>
  </si>
  <si>
    <t>7XA6DN6QT53</t>
  </si>
  <si>
    <t>Wilson, Elbert</t>
  </si>
  <si>
    <t>7W74MD0QG71</t>
  </si>
  <si>
    <t>Kim, Shin</t>
  </si>
  <si>
    <t>5K95VT5UR81</t>
  </si>
  <si>
    <t>Stovall, Yvette</t>
  </si>
  <si>
    <t>1DQ5PJ2XG85</t>
  </si>
  <si>
    <t>Mariscal, Abel</t>
  </si>
  <si>
    <t>2GD1NT0YK99</t>
  </si>
  <si>
    <t>Massell, Gwen</t>
  </si>
  <si>
    <t>9P92H81TH24</t>
  </si>
  <si>
    <t>Jenkins, Lillian</t>
  </si>
  <si>
    <t>2EV3J62AR08</t>
  </si>
  <si>
    <t>Alisi, Victor</t>
  </si>
  <si>
    <t>4Y24HY5AJ50</t>
  </si>
  <si>
    <t>Nieto, Gaby</t>
  </si>
  <si>
    <t>6EG0XN6DH49</t>
  </si>
  <si>
    <t>Harper Jr, Bennie</t>
  </si>
  <si>
    <t>2G96JK9FK75</t>
  </si>
  <si>
    <t>Jackson, Franklyn</t>
  </si>
  <si>
    <t>9C53Y30DQ06</t>
  </si>
  <si>
    <t>Acosta, Mario</t>
  </si>
  <si>
    <t>7RC0PJ9XC41</t>
  </si>
  <si>
    <t>Evans, Robert</t>
  </si>
  <si>
    <t>7PG5DP0HD56</t>
  </si>
  <si>
    <t>Lee, Bona</t>
  </si>
  <si>
    <t>2TH2F04WV81</t>
  </si>
  <si>
    <t>Pinney, Elaine</t>
  </si>
  <si>
    <t>8A78RG0JU41</t>
  </si>
  <si>
    <t>Provatas, Margaret</t>
  </si>
  <si>
    <t>1MN3MF9PY78</t>
  </si>
  <si>
    <t>Hale, Irene</t>
  </si>
  <si>
    <t>7YJ4F55GC77</t>
  </si>
  <si>
    <t>Spencer, Kevin</t>
  </si>
  <si>
    <t>9CW0GD7WV22</t>
  </si>
  <si>
    <t>Smith-conyers, Lenora</t>
  </si>
  <si>
    <t>5KH3WQ2PP16</t>
  </si>
  <si>
    <t>Cowan, Betty</t>
  </si>
  <si>
    <t>8W45W73AH59</t>
  </si>
  <si>
    <t>Jess, Olga</t>
  </si>
  <si>
    <t>2/1/2026</t>
  </si>
  <si>
    <t>3DC5CJ0GQ52</t>
  </si>
  <si>
    <t>2/22/2026</t>
  </si>
  <si>
    <t>2/10/2026</t>
  </si>
  <si>
    <t>Fondren, Michael</t>
  </si>
  <si>
    <t>9H11VH2HA29</t>
  </si>
  <si>
    <t>Free, Laressa</t>
  </si>
  <si>
    <t>1GQ9F96RD43</t>
  </si>
  <si>
    <t>Fuchsman, Chester</t>
  </si>
  <si>
    <t>7R14H37HM99</t>
  </si>
  <si>
    <t>Colvin, Ruby</t>
  </si>
  <si>
    <t>6AH9FH1XV31</t>
  </si>
  <si>
    <t>Wang, Jin Chieh</t>
  </si>
  <si>
    <t>6F73D40YD88</t>
  </si>
  <si>
    <t>Payne, Nicholas</t>
  </si>
  <si>
    <t>5XD7QX4AN71</t>
  </si>
  <si>
    <t>2/17/2026</t>
  </si>
  <si>
    <t>Zhao Yang, Jennifer</t>
  </si>
  <si>
    <t>1MX1HJ2WV23</t>
  </si>
  <si>
    <t>Johnson, George</t>
  </si>
  <si>
    <t>6AU5VE7NM53</t>
  </si>
  <si>
    <t>Shoals, Junior</t>
  </si>
  <si>
    <t>4H15CM5DG84</t>
  </si>
  <si>
    <t>Giangardella, Alice</t>
  </si>
  <si>
    <t>5EH9FN1HY44</t>
  </si>
  <si>
    <t>Mcintosh, Donna</t>
  </si>
  <si>
    <t>5E81TC3CP28</t>
  </si>
  <si>
    <t>Lajanto, Surjani</t>
  </si>
  <si>
    <t>6H13V83AE92</t>
  </si>
  <si>
    <t>Ghobad, Kioumars</t>
  </si>
  <si>
    <t>6X99PH1PN00</t>
  </si>
  <si>
    <t>Davis, Doris</t>
  </si>
  <si>
    <t>2/3/2026</t>
  </si>
  <si>
    <t>3VT0QY5AG08</t>
  </si>
  <si>
    <t>1/28/2026</t>
  </si>
  <si>
    <t>Adjustment</t>
  </si>
  <si>
    <t>1/30/2026</t>
  </si>
  <si>
    <t>1/26/2026</t>
  </si>
  <si>
    <t>1/1/2026</t>
  </si>
  <si>
    <t>Navarro De Flor, Francisca</t>
  </si>
  <si>
    <t>3XF2Y77CY01</t>
  </si>
  <si>
    <t>1/2/2026</t>
  </si>
  <si>
    <t>Martin, Betty</t>
  </si>
  <si>
    <t>6DP5RD3WT83</t>
  </si>
  <si>
    <t>1/9/2026</t>
  </si>
  <si>
    <t>1/16/2026</t>
  </si>
  <si>
    <t>1/18/2026</t>
  </si>
  <si>
    <t>1/19/2026</t>
  </si>
  <si>
    <t>1/24/2026</t>
  </si>
  <si>
    <t>1/13/2026</t>
  </si>
  <si>
    <t>1/3/2026</t>
  </si>
  <si>
    <t>12/30/2025</t>
  </si>
  <si>
    <t>12/27/2025</t>
  </si>
  <si>
    <t>12/19/2025</t>
  </si>
  <si>
    <t>12/17/2025</t>
  </si>
  <si>
    <t>12/1/2025</t>
  </si>
  <si>
    <t>12/10/2025</t>
  </si>
  <si>
    <t>Gonzalez, Carmen</t>
  </si>
  <si>
    <t>4TF0U44PQ45</t>
  </si>
  <si>
    <t>12/11/2025</t>
  </si>
  <si>
    <t>Shine, Loretta</t>
  </si>
  <si>
    <t>12/15/2025</t>
  </si>
  <si>
    <t>9V21M47TW80</t>
  </si>
  <si>
    <t>Mcneil, Willie</t>
  </si>
  <si>
    <t>6ED8GX8YJ47</t>
  </si>
  <si>
    <t>Reyes, Delia</t>
  </si>
  <si>
    <t>2RY4G00NU73</t>
  </si>
  <si>
    <t>11/1/2025</t>
  </si>
  <si>
    <t>11/9/2025</t>
  </si>
  <si>
    <t>11/21/2025</t>
  </si>
  <si>
    <t>11/23/2025</t>
  </si>
  <si>
    <t>11/22/2025</t>
  </si>
  <si>
    <t>Reyes, Helen</t>
  </si>
  <si>
    <t>8PC6PA5AM79</t>
  </si>
  <si>
    <t>11/6/2025</t>
  </si>
  <si>
    <t>11/8/2025</t>
  </si>
  <si>
    <t>Hidalgo, Olding</t>
  </si>
  <si>
    <t>5J93H52PJ95</t>
  </si>
  <si>
    <t>Dralyuk, Yakov</t>
  </si>
  <si>
    <t>11/15/2025</t>
  </si>
  <si>
    <t>3H79XE9HD18</t>
  </si>
  <si>
    <t>10/8/2025</t>
  </si>
  <si>
    <t>10/14/2025</t>
  </si>
  <si>
    <t>10/1/2025</t>
  </si>
  <si>
    <t>Delgado Chavez, Jose</t>
  </si>
  <si>
    <t>10/15/2025</t>
  </si>
  <si>
    <t>9HW0UX0FD47</t>
  </si>
  <si>
    <t>10/4/2025</t>
  </si>
  <si>
    <t>10/24/2025</t>
  </si>
  <si>
    <t>10/18/2025</t>
  </si>
  <si>
    <t>Liu, Duorong</t>
  </si>
  <si>
    <t>4TE0J74EU17</t>
  </si>
  <si>
    <t>Wilson, Anthony</t>
  </si>
  <si>
    <t>1EP6GW7UD42</t>
  </si>
  <si>
    <t>Mccune, Ronald</t>
  </si>
  <si>
    <t>6JK5PF1FC58</t>
  </si>
  <si>
    <t>9/12/2025</t>
  </si>
  <si>
    <t>9/30/2025</t>
  </si>
  <si>
    <t>9/24/2025</t>
  </si>
  <si>
    <t>9/1/2025</t>
  </si>
  <si>
    <t>9/17/2025</t>
  </si>
  <si>
    <t>9/6/2025</t>
  </si>
  <si>
    <t>9/11/2025</t>
  </si>
  <si>
    <t>Rich, Alice</t>
  </si>
  <si>
    <t>1R49QY9YG30</t>
  </si>
  <si>
    <t>8/29/2025</t>
  </si>
  <si>
    <t>Morrison, Daisy</t>
  </si>
  <si>
    <t>8/1/2025</t>
  </si>
  <si>
    <t>1G62PK2CE80</t>
  </si>
  <si>
    <t>Contreras, Luz</t>
  </si>
  <si>
    <t>8/14/2025</t>
  </si>
  <si>
    <t>8CP0UN4TY19</t>
  </si>
  <si>
    <t>Ryan, Teresa</t>
  </si>
  <si>
    <t>1KA9D27HR12</t>
  </si>
  <si>
    <t>Bailey, Melvin</t>
  </si>
  <si>
    <t>1Y47WQ8WH49</t>
  </si>
  <si>
    <t>Wallace, Anson</t>
  </si>
  <si>
    <t>5T58YK2FG58</t>
  </si>
  <si>
    <t>Morales, Roman</t>
  </si>
  <si>
    <t>8/2/2025</t>
  </si>
  <si>
    <t>5EP1QP2FY00</t>
  </si>
  <si>
    <t>8/5/2025</t>
  </si>
  <si>
    <t>8/6/2025</t>
  </si>
  <si>
    <t>8/8/2025</t>
  </si>
  <si>
    <t>8/24/2025</t>
  </si>
  <si>
    <t>7/17/2025</t>
  </si>
  <si>
    <t>Gordon, Nora</t>
  </si>
  <si>
    <t>3HY4AT9HC09</t>
  </si>
  <si>
    <t>Kirk, Judy</t>
  </si>
  <si>
    <t>3VD1H61GX20</t>
  </si>
  <si>
    <t>7/29/2025</t>
  </si>
  <si>
    <t>7/24/2025</t>
  </si>
  <si>
    <t>7/14/2025</t>
  </si>
  <si>
    <t>7/1/2025</t>
  </si>
  <si>
    <t>7/3/2025</t>
  </si>
  <si>
    <t>Gomez, Librada</t>
  </si>
  <si>
    <t>4QU6TJ8GQ65</t>
  </si>
  <si>
    <t>6/30/2025</t>
  </si>
  <si>
    <t>Russell, Donna</t>
  </si>
  <si>
    <t>6/1/2025</t>
  </si>
  <si>
    <t>7A30KG0JY01</t>
  </si>
  <si>
    <t>5/31/2025</t>
  </si>
  <si>
    <t>Salzman, Eileen</t>
  </si>
  <si>
    <t>7C04JW9QW76</t>
  </si>
  <si>
    <t>5/30/2025</t>
  </si>
  <si>
    <t>5/1/2025</t>
  </si>
  <si>
    <t>4/8/2025</t>
  </si>
  <si>
    <t>4/15/2025</t>
  </si>
  <si>
    <t>4/19/2025</t>
  </si>
  <si>
    <t>4/18/2025</t>
  </si>
  <si>
    <t>Cameron, Coleen</t>
  </si>
  <si>
    <t>3/1/2025</t>
  </si>
  <si>
    <t>1QG9EA4XV29</t>
  </si>
  <si>
    <t>Turner Patton, Bobbie</t>
  </si>
  <si>
    <t>9VK9R59KM46</t>
  </si>
  <si>
    <t>Amaro, Jose</t>
  </si>
  <si>
    <t>3/15/2025</t>
  </si>
  <si>
    <t>5CG1DF0YA14</t>
  </si>
  <si>
    <t>Clark, Ellie</t>
  </si>
  <si>
    <t>2/1/2025</t>
  </si>
  <si>
    <t>2KV0UV5CD17</t>
  </si>
  <si>
    <t>Vigil, Mark</t>
  </si>
  <si>
    <t>5P63MW1MF19</t>
  </si>
  <si>
    <t>Casares-reagan, Anna</t>
  </si>
  <si>
    <t>1/1/2025</t>
  </si>
  <si>
    <t>2NG3F90UN74</t>
  </si>
  <si>
    <t>12/1/2024</t>
  </si>
  <si>
    <t>Aguilar, Michael</t>
  </si>
  <si>
    <t>7XX7T16DC40</t>
  </si>
  <si>
    <t>Zaretsky, Alexandra</t>
  </si>
  <si>
    <t>5QM0TX3PT32</t>
  </si>
  <si>
    <t>12/19/2024</t>
  </si>
  <si>
    <t>Brown, Ray</t>
  </si>
  <si>
    <t>7EW3M01TV72</t>
  </si>
  <si>
    <t>Simpson, Nancy</t>
  </si>
  <si>
    <t>12/5/2024</t>
  </si>
  <si>
    <t>1D59TV1MC45</t>
  </si>
  <si>
    <t>Robinson, Ray</t>
  </si>
  <si>
    <t>9PW6DM1JP77</t>
  </si>
  <si>
    <t>12/12/2024</t>
  </si>
  <si>
    <t>Green, Marilyn</t>
  </si>
  <si>
    <t>11/1/2024</t>
  </si>
  <si>
    <t>6CU5TJ6KX72</t>
  </si>
  <si>
    <t>11/4/2024</t>
  </si>
  <si>
    <t>Monger, Larry</t>
  </si>
  <si>
    <t>3NG1N90PU19</t>
  </si>
  <si>
    <t>Jones, Larry</t>
  </si>
  <si>
    <t>9MV2KF7JX93</t>
  </si>
  <si>
    <t>Jackson, Ronald</t>
  </si>
  <si>
    <t>2PC6FX2AM79</t>
  </si>
  <si>
    <t>10/10/2024</t>
  </si>
  <si>
    <t>10/1/2024</t>
  </si>
  <si>
    <t>9/1/2024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</si>
  <si>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</si>
  <si>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</si>
  <si>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</si>
  <si>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</si>
  <si>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</si>
  <si>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</si>
  <si>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</si>
  <si>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</si>
  <si>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</si>
  <si>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</si>
  <si>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</si>
  <si>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</si>
  <si>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</si>
  <si>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B31597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</si>
</sst>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3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44" fontId="0" fillId="0" borderId="0" xfId="0" applyNumberFormat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9D3F6246-A746-4FD9-95EE-0CD0AAFCA1F0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66" workbookViewId="0">
      <selection activeCell="F386" sqref="F386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70" t="s">
        <v>139</v>
      </c>
      <c r="B2" s="71"/>
      <c r="C2" s="72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>
        <v>61801.13</v>
      </c>
      <c r="F13" t="s">
        <v>140</v>
      </c>
    </row>
    <row r="14" spans="1:9" ht="15.6" customHeight="1">
      <c r="A14" s="63">
        <v>45614</v>
      </c>
      <c r="B14" s="8">
        <v>45616</v>
      </c>
      <c r="C14" s="64"/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6" ht="15.6" customHeight="1">
      <c r="A17" s="63">
        <v>45617</v>
      </c>
      <c r="B17" s="8">
        <v>45621</v>
      </c>
      <c r="C17" s="64"/>
    </row>
    <row r="18" spans="1:6" ht="15.6" customHeight="1">
      <c r="A18" s="63">
        <v>45618</v>
      </c>
      <c r="B18" s="8">
        <v>45622</v>
      </c>
      <c r="C18" s="64"/>
    </row>
    <row r="19" spans="1:6" ht="15.6" customHeight="1">
      <c r="A19" s="63">
        <v>45621</v>
      </c>
      <c r="B19" s="8">
        <v>45623</v>
      </c>
      <c r="C19" s="64"/>
    </row>
    <row r="20" spans="1:6" ht="15.6" customHeight="1">
      <c r="A20" s="63">
        <v>45622</v>
      </c>
      <c r="B20" s="8">
        <v>45624</v>
      </c>
      <c r="C20" s="64"/>
    </row>
    <row r="21" spans="1:6" ht="15.6" customHeight="1">
      <c r="A21" s="63">
        <v>45623</v>
      </c>
      <c r="B21" s="8">
        <v>45625</v>
      </c>
      <c r="C21" s="64"/>
    </row>
    <row r="22" spans="1:6" ht="15.6" customHeight="1">
      <c r="A22" s="63">
        <v>45624</v>
      </c>
      <c r="B22" s="8">
        <v>45628</v>
      </c>
      <c r="C22" s="64"/>
    </row>
    <row r="23" spans="1:6" ht="15.6" customHeight="1">
      <c r="A23" s="63">
        <v>45625</v>
      </c>
      <c r="B23" s="8">
        <v>45629</v>
      </c>
      <c r="C23" s="64"/>
    </row>
    <row r="24" spans="1:6" ht="15.6" customHeight="1">
      <c r="A24" s="65" t="s">
        <v>141</v>
      </c>
      <c r="B24" s="66"/>
      <c r="C24" s="67">
        <f>SUM(C3:C23)</f>
        <v>61801.13</v>
      </c>
    </row>
    <row r="25" spans="1:6" ht="15.6" customHeight="1">
      <c r="A25" s="70" t="s">
        <v>142</v>
      </c>
      <c r="B25" s="71"/>
      <c r="C25" s="72"/>
    </row>
    <row r="26" spans="1:6" ht="15.6" customHeight="1">
      <c r="A26" s="63">
        <v>45628</v>
      </c>
      <c r="B26" s="8">
        <v>45630</v>
      </c>
      <c r="C26" s="64"/>
    </row>
    <row r="27" spans="1:6" ht="15.6" customHeight="1">
      <c r="A27" s="63">
        <v>45629</v>
      </c>
      <c r="B27" s="8">
        <v>45631</v>
      </c>
      <c r="C27" s="64"/>
    </row>
    <row r="28" spans="1:6" ht="15.6" customHeight="1">
      <c r="A28" s="63">
        <v>45630</v>
      </c>
      <c r="B28" s="8">
        <v>45632</v>
      </c>
      <c r="C28" s="64"/>
    </row>
    <row r="29" spans="1:6" ht="15.6" customHeight="1">
      <c r="A29" s="63">
        <v>45631</v>
      </c>
      <c r="B29" s="8">
        <v>45635</v>
      </c>
      <c r="C29" s="64"/>
    </row>
    <row r="30" spans="1:6" ht="15.6" customHeight="1">
      <c r="A30" s="63">
        <v>45632</v>
      </c>
      <c r="B30" s="8">
        <v>45636</v>
      </c>
      <c r="C30" s="64"/>
    </row>
    <row r="31" spans="1:6" ht="15.6" customHeight="1">
      <c r="A31" s="63">
        <v>45635</v>
      </c>
      <c r="B31" s="8">
        <v>45637</v>
      </c>
      <c r="C31" s="64">
        <v>2786.94</v>
      </c>
      <c r="F31" t="s">
        <v>140</v>
      </c>
    </row>
    <row r="32" spans="1:6" ht="15.6" customHeight="1">
      <c r="A32" s="63">
        <v>45636</v>
      </c>
      <c r="B32" s="8">
        <v>45638</v>
      </c>
      <c r="C32" s="64"/>
    </row>
    <row r="33" spans="1:6" ht="15.6" customHeight="1">
      <c r="A33" s="63">
        <v>45637</v>
      </c>
      <c r="B33" s="8">
        <v>45639</v>
      </c>
      <c r="C33" s="64"/>
    </row>
    <row r="34" spans="1:6" ht="15.6" customHeight="1">
      <c r="A34" s="63">
        <v>45638</v>
      </c>
      <c r="B34" s="8">
        <v>45642</v>
      </c>
      <c r="C34" s="64"/>
    </row>
    <row r="35" spans="1:6" ht="15.6" customHeight="1">
      <c r="A35" s="63">
        <v>45639</v>
      </c>
      <c r="B35" s="8">
        <v>45643</v>
      </c>
      <c r="C35" s="64"/>
    </row>
    <row r="36" spans="1:6" ht="15.6" customHeight="1">
      <c r="A36" s="63">
        <v>45642</v>
      </c>
      <c r="B36" s="8">
        <v>45644</v>
      </c>
      <c r="C36" s="64">
        <v>44042.82</v>
      </c>
      <c r="F36" t="s">
        <v>140</v>
      </c>
    </row>
    <row r="37" spans="1:6" ht="15.6" customHeight="1">
      <c r="A37" s="63">
        <v>45643</v>
      </c>
      <c r="B37" s="8">
        <v>45645</v>
      </c>
      <c r="C37" s="64"/>
    </row>
    <row r="38" spans="1:6" ht="15.6" customHeight="1">
      <c r="A38" s="63">
        <v>45644</v>
      </c>
      <c r="B38" s="8">
        <v>45646</v>
      </c>
      <c r="C38" s="64"/>
    </row>
    <row r="39" spans="1:6" ht="15.6" customHeight="1">
      <c r="A39" s="63">
        <v>45645</v>
      </c>
      <c r="B39" s="8">
        <v>45649</v>
      </c>
      <c r="C39" s="64"/>
    </row>
    <row r="40" spans="1:6" ht="15.6" customHeight="1">
      <c r="A40" s="63">
        <v>45646</v>
      </c>
      <c r="B40" s="8">
        <v>45650</v>
      </c>
      <c r="C40" s="64"/>
    </row>
    <row r="41" spans="1:6" ht="15.6" customHeight="1">
      <c r="A41" s="63">
        <v>45649</v>
      </c>
      <c r="B41" s="8">
        <v>45651</v>
      </c>
      <c r="C41" s="64"/>
    </row>
    <row r="42" spans="1:6" ht="15.6" customHeight="1">
      <c r="A42" s="63">
        <v>45650</v>
      </c>
      <c r="B42" s="8">
        <v>45652</v>
      </c>
      <c r="C42" s="64"/>
    </row>
    <row r="43" spans="1:6" ht="15.6" customHeight="1">
      <c r="A43" s="63">
        <v>45651</v>
      </c>
      <c r="B43" s="8">
        <v>45653</v>
      </c>
      <c r="C43" s="64"/>
    </row>
    <row r="44" spans="1:6" ht="15.6" customHeight="1">
      <c r="A44" s="63">
        <v>45652</v>
      </c>
      <c r="B44" s="8">
        <v>45656</v>
      </c>
      <c r="C44" s="64">
        <v>5979.11</v>
      </c>
      <c r="F44" t="s">
        <v>140</v>
      </c>
    </row>
    <row r="45" spans="1:6" ht="15.6" customHeight="1">
      <c r="A45" s="63">
        <v>45653</v>
      </c>
      <c r="B45" s="8">
        <v>45657</v>
      </c>
      <c r="C45" s="64"/>
    </row>
    <row r="46" spans="1:6" ht="15.6" customHeight="1">
      <c r="A46" s="63">
        <v>45654</v>
      </c>
      <c r="B46" s="8">
        <v>45658</v>
      </c>
      <c r="C46" s="64"/>
    </row>
    <row r="47" spans="1:6" ht="15.6" customHeight="1">
      <c r="A47" s="63">
        <v>45656</v>
      </c>
      <c r="B47" s="8">
        <v>45658</v>
      </c>
      <c r="C47" s="64"/>
    </row>
    <row r="48" spans="1:6" ht="15.6" customHeight="1">
      <c r="A48" s="63">
        <v>45657</v>
      </c>
      <c r="B48" s="8">
        <v>45659</v>
      </c>
      <c r="C48" s="64"/>
    </row>
    <row r="49" spans="1:6" ht="15.6" customHeight="1">
      <c r="A49" s="65" t="s">
        <v>141</v>
      </c>
      <c r="B49" s="66"/>
      <c r="C49" s="67">
        <f>SUM(C26:C48)</f>
        <v>52808.87</v>
      </c>
    </row>
    <row r="50" spans="1:6" ht="15.75" customHeight="1">
      <c r="A50" s="63">
        <v>45659</v>
      </c>
      <c r="B50" s="8">
        <v>45663</v>
      </c>
      <c r="C50" s="64"/>
    </row>
    <row r="51" spans="1:6" ht="15.75" customHeight="1">
      <c r="A51" s="63">
        <v>45660</v>
      </c>
      <c r="B51" s="8">
        <v>45664</v>
      </c>
      <c r="C51" s="64"/>
    </row>
    <row r="52" spans="1:6" ht="15.75" customHeight="1">
      <c r="A52" s="63">
        <v>45663</v>
      </c>
      <c r="B52" s="8">
        <v>45665</v>
      </c>
      <c r="C52" s="64"/>
    </row>
    <row r="53" spans="1:6" ht="15.75" customHeight="1">
      <c r="A53" s="63">
        <v>45664</v>
      </c>
      <c r="B53" s="8">
        <v>45666</v>
      </c>
      <c r="C53" s="64">
        <v>4979.29</v>
      </c>
      <c r="F53" t="s">
        <v>140</v>
      </c>
    </row>
    <row r="54" spans="1:6" ht="15.75" customHeight="1">
      <c r="A54" s="63">
        <v>45665</v>
      </c>
      <c r="B54" s="8">
        <v>45667</v>
      </c>
      <c r="C54" s="64"/>
    </row>
    <row r="55" spans="1:6" ht="15.75" customHeight="1">
      <c r="A55" s="63">
        <v>45666</v>
      </c>
      <c r="B55" s="8">
        <v>45670</v>
      </c>
      <c r="C55" s="64"/>
    </row>
    <row r="56" spans="1:6" ht="15.75" customHeight="1">
      <c r="A56" s="63">
        <v>45667</v>
      </c>
      <c r="B56" s="8">
        <v>45671</v>
      </c>
      <c r="C56" s="64"/>
    </row>
    <row r="57" spans="1:6" ht="15.75" customHeight="1">
      <c r="A57" s="63">
        <v>45670</v>
      </c>
      <c r="B57" s="8">
        <v>45672</v>
      </c>
      <c r="C57" s="64"/>
    </row>
    <row r="58" spans="1:6" ht="15.75" customHeight="1">
      <c r="A58" s="63">
        <v>45671</v>
      </c>
      <c r="B58" s="8">
        <v>45673</v>
      </c>
      <c r="C58" s="64"/>
    </row>
    <row r="59" spans="1:6" ht="15.75" customHeight="1">
      <c r="A59" s="63">
        <v>45672</v>
      </c>
      <c r="B59" s="8">
        <v>45674</v>
      </c>
      <c r="C59" s="64">
        <v>27581.68</v>
      </c>
      <c r="F59" t="s">
        <v>140</v>
      </c>
    </row>
    <row r="60" spans="1:6" ht="15.75" customHeight="1">
      <c r="A60" s="63">
        <v>45673</v>
      </c>
      <c r="B60" s="8">
        <v>45677</v>
      </c>
      <c r="C60" s="64">
        <v>896.3</v>
      </c>
      <c r="F60" t="s">
        <v>140</v>
      </c>
    </row>
    <row r="61" spans="1:6" ht="15.75" customHeight="1">
      <c r="A61" s="63">
        <v>45674</v>
      </c>
      <c r="B61" s="8">
        <v>45678</v>
      </c>
      <c r="C61" s="64"/>
    </row>
    <row r="62" spans="1:6" ht="15.75" customHeight="1">
      <c r="A62" s="63">
        <v>45677</v>
      </c>
      <c r="B62" s="8">
        <v>45679</v>
      </c>
      <c r="C62" s="64"/>
    </row>
    <row r="63" spans="1:6" ht="15.75" customHeight="1">
      <c r="A63" s="63">
        <v>45678</v>
      </c>
      <c r="B63" s="8">
        <v>45680</v>
      </c>
      <c r="C63" s="64"/>
    </row>
    <row r="64" spans="1:6" ht="15.75" customHeight="1">
      <c r="A64" s="63">
        <v>45679</v>
      </c>
      <c r="B64" s="8">
        <v>45681</v>
      </c>
      <c r="C64" s="64"/>
    </row>
    <row r="65" spans="1:6" ht="15.75" customHeight="1">
      <c r="A65" s="63">
        <v>45680</v>
      </c>
      <c r="B65" s="8">
        <v>45684</v>
      </c>
      <c r="C65" s="64">
        <v>6178.41</v>
      </c>
      <c r="F65" t="s">
        <v>140</v>
      </c>
    </row>
    <row r="66" spans="1:6" ht="15.75" customHeight="1">
      <c r="A66" s="63">
        <v>45681</v>
      </c>
      <c r="B66" s="8">
        <v>45685</v>
      </c>
      <c r="C66" s="64"/>
    </row>
    <row r="67" spans="1:6" ht="15.75" customHeight="1">
      <c r="A67" s="63">
        <v>45684</v>
      </c>
      <c r="B67" s="8">
        <v>45686</v>
      </c>
      <c r="C67" s="64">
        <v>8670.44</v>
      </c>
      <c r="F67" t="s">
        <v>140</v>
      </c>
    </row>
    <row r="68" spans="1:6" ht="15.75" customHeight="1">
      <c r="A68" s="63">
        <v>45685</v>
      </c>
      <c r="B68" s="8">
        <v>45687</v>
      </c>
      <c r="C68" s="64"/>
    </row>
    <row r="69" spans="1:6" ht="15.75" customHeight="1">
      <c r="A69" s="63">
        <v>45686</v>
      </c>
      <c r="B69" s="8">
        <v>45688</v>
      </c>
      <c r="C69" s="64"/>
    </row>
    <row r="70" spans="1:6" ht="15.75" customHeight="1">
      <c r="A70" s="63">
        <v>45687</v>
      </c>
      <c r="B70" s="8">
        <v>45691</v>
      </c>
      <c r="C70" s="64"/>
    </row>
    <row r="71" spans="1:6" ht="15.75" customHeight="1">
      <c r="A71" s="63">
        <v>45688</v>
      </c>
      <c r="B71" s="8">
        <v>45692</v>
      </c>
      <c r="C71" s="64"/>
    </row>
    <row r="72" spans="1:6" ht="15.75" customHeight="1">
      <c r="A72" s="65" t="s">
        <v>141</v>
      </c>
      <c r="B72" s="66"/>
      <c r="C72" s="67">
        <f>SUM(C50:C71)</f>
        <v>48306.12000000001</v>
      </c>
    </row>
    <row r="73" spans="1:6" ht="15.75" customHeight="1">
      <c r="A73" s="63">
        <v>45691</v>
      </c>
      <c r="B73" s="8">
        <v>45693</v>
      </c>
      <c r="C73" s="64"/>
    </row>
    <row r="74" spans="1:6" ht="15.75" customHeight="1">
      <c r="A74" s="63">
        <v>45692</v>
      </c>
      <c r="B74" s="8">
        <v>45694</v>
      </c>
      <c r="C74" s="64"/>
    </row>
    <row r="75" spans="1:6" ht="15.75" customHeight="1">
      <c r="A75" s="63">
        <v>45693</v>
      </c>
      <c r="B75" s="8">
        <v>45695</v>
      </c>
      <c r="C75" s="64"/>
    </row>
    <row r="76" spans="1:6" ht="15.75" customHeight="1">
      <c r="A76" s="63">
        <v>45694</v>
      </c>
      <c r="B76" s="8">
        <v>45698</v>
      </c>
      <c r="C76" s="64"/>
    </row>
    <row r="77" spans="1:6" ht="15.75" customHeight="1">
      <c r="A77" s="63">
        <v>45695</v>
      </c>
      <c r="B77" s="8">
        <v>45699</v>
      </c>
      <c r="C77" s="64"/>
    </row>
    <row r="78" spans="1:6" ht="15.75" customHeight="1">
      <c r="A78" s="63">
        <v>45698</v>
      </c>
      <c r="B78" s="8">
        <v>45700</v>
      </c>
      <c r="C78" s="64"/>
    </row>
    <row r="79" spans="1:6" ht="15.75" customHeight="1">
      <c r="A79" s="63">
        <v>45699</v>
      </c>
      <c r="B79" s="8">
        <v>45701</v>
      </c>
      <c r="C79" s="64"/>
    </row>
    <row r="80" spans="1:6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>
        <v>77.7</v>
      </c>
      <c r="F81" t="s">
        <v>140</v>
      </c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>
        <v>36052.81</v>
      </c>
      <c r="F84" t="s">
        <v>140</v>
      </c>
    </row>
    <row r="85" spans="1:6" ht="15.75" customHeight="1">
      <c r="A85" s="63">
        <v>45707</v>
      </c>
      <c r="B85" s="8">
        <v>45709</v>
      </c>
      <c r="C85" s="64">
        <v>2989.56</v>
      </c>
      <c r="F85" t="s">
        <v>140</v>
      </c>
    </row>
    <row r="86" spans="1:6" ht="15.75" customHeight="1">
      <c r="A86" s="63">
        <v>45708</v>
      </c>
      <c r="B86" s="8">
        <v>45712</v>
      </c>
      <c r="C86" s="64"/>
    </row>
    <row r="87" spans="1:6" ht="15.75" customHeight="1">
      <c r="A87" s="63">
        <v>45709</v>
      </c>
      <c r="B87" s="8">
        <v>45713</v>
      </c>
      <c r="C87" s="64"/>
    </row>
    <row r="88" spans="1:6" ht="15.75" customHeight="1">
      <c r="A88" s="63">
        <v>45712</v>
      </c>
      <c r="B88" s="8">
        <v>45714</v>
      </c>
      <c r="C88" s="64"/>
    </row>
    <row r="89" spans="1:6" ht="15.75" customHeight="1">
      <c r="A89" s="63">
        <v>45713</v>
      </c>
      <c r="B89" s="8">
        <v>45715</v>
      </c>
      <c r="C89" s="64"/>
    </row>
    <row r="90" spans="1:6" ht="15.75" customHeight="1">
      <c r="A90" s="63">
        <v>45714</v>
      </c>
      <c r="B90" s="8">
        <v>45716</v>
      </c>
      <c r="C90" s="64"/>
    </row>
    <row r="91" spans="1:6" ht="15.75" customHeight="1">
      <c r="A91" s="63">
        <v>45715</v>
      </c>
      <c r="B91" s="8">
        <v>45719</v>
      </c>
      <c r="C91" s="64"/>
    </row>
    <row r="92" spans="1:6" ht="15.75" customHeight="1">
      <c r="A92" s="63">
        <v>45716</v>
      </c>
      <c r="B92" s="8">
        <v>45720</v>
      </c>
      <c r="C92" s="64"/>
    </row>
    <row r="93" spans="1:6" ht="15.75" customHeight="1">
      <c r="A93" s="65" t="s">
        <v>141</v>
      </c>
      <c r="B93" s="66"/>
      <c r="C93" s="67">
        <f>SUM(C73:C92)</f>
        <v>39120.069999999992</v>
      </c>
    </row>
    <row r="94" spans="1:6" ht="15.75" customHeight="1">
      <c r="A94" s="63">
        <v>45719</v>
      </c>
      <c r="B94" s="8">
        <v>45721</v>
      </c>
      <c r="C94" s="64"/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>
        <v>19616.599999999999</v>
      </c>
      <c r="F104" t="s">
        <v>140</v>
      </c>
    </row>
    <row r="105" spans="1:6" ht="15.75" customHeight="1">
      <c r="A105" s="63">
        <v>45734</v>
      </c>
      <c r="B105" s="8">
        <v>45736</v>
      </c>
      <c r="C105" s="64"/>
    </row>
    <row r="106" spans="1:6" ht="15.75" customHeight="1">
      <c r="A106" s="63">
        <v>45735</v>
      </c>
      <c r="B106" s="8">
        <v>45737</v>
      </c>
      <c r="C106" s="64"/>
    </row>
    <row r="107" spans="1:6" ht="15.75" customHeight="1">
      <c r="A107" s="63">
        <v>45736</v>
      </c>
      <c r="B107" s="8">
        <v>45740</v>
      </c>
      <c r="C107" s="64"/>
    </row>
    <row r="108" spans="1:6" ht="15.75" customHeight="1">
      <c r="A108" s="63">
        <v>45737</v>
      </c>
      <c r="B108" s="8">
        <v>45741</v>
      </c>
      <c r="C108" s="64"/>
    </row>
    <row r="109" spans="1:6" ht="15.75" customHeight="1">
      <c r="A109" s="63">
        <v>45740</v>
      </c>
      <c r="B109" s="8">
        <v>45742</v>
      </c>
      <c r="C109" s="64"/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/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141</v>
      </c>
      <c r="B115" s="66"/>
      <c r="C115" s="67">
        <f>SUM(C94:C114)</f>
        <v>19616.599999999999</v>
      </c>
    </row>
    <row r="116" spans="1:6" ht="15.75" customHeight="1">
      <c r="A116" s="63">
        <v>45748</v>
      </c>
      <c r="B116" s="8">
        <v>45750</v>
      </c>
      <c r="C116" s="64"/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/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>
        <v>4901.17</v>
      </c>
      <c r="F126" t="s">
        <v>140</v>
      </c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3" ht="15.75" customHeight="1">
      <c r="A129" s="63">
        <v>45765</v>
      </c>
      <c r="B129" s="8">
        <v>45769</v>
      </c>
      <c r="C129" s="64"/>
    </row>
    <row r="130" spans="1:3" ht="15.75" customHeight="1">
      <c r="A130" s="63">
        <v>45768</v>
      </c>
      <c r="B130" s="8">
        <v>45770</v>
      </c>
      <c r="C130" s="64"/>
    </row>
    <row r="131" spans="1:3" ht="15.75" customHeight="1">
      <c r="A131" s="63">
        <v>45769</v>
      </c>
      <c r="B131" s="8">
        <v>45771</v>
      </c>
      <c r="C131" s="64"/>
    </row>
    <row r="132" spans="1:3" ht="15.75" customHeight="1">
      <c r="A132" s="63">
        <v>45770</v>
      </c>
      <c r="B132" s="8">
        <v>45772</v>
      </c>
      <c r="C132" s="64"/>
    </row>
    <row r="133" spans="1:3" ht="15.75" customHeight="1">
      <c r="A133" s="63">
        <v>45771</v>
      </c>
      <c r="B133" s="8">
        <v>45775</v>
      </c>
      <c r="C133" s="64"/>
    </row>
    <row r="134" spans="1:3" ht="15.75" customHeight="1">
      <c r="A134" s="63">
        <v>45772</v>
      </c>
      <c r="B134" s="8">
        <v>45776</v>
      </c>
      <c r="C134" s="64"/>
    </row>
    <row r="135" spans="1:3" ht="15.75" customHeight="1">
      <c r="A135" s="63">
        <v>45775</v>
      </c>
      <c r="B135" s="8">
        <v>45777</v>
      </c>
      <c r="C135" s="64"/>
    </row>
    <row r="136" spans="1:3" ht="15.75" customHeight="1">
      <c r="A136" s="63">
        <v>45776</v>
      </c>
      <c r="B136" s="8">
        <v>45778</v>
      </c>
      <c r="C136" s="64"/>
    </row>
    <row r="137" spans="1:3" ht="15.75" customHeight="1">
      <c r="A137" s="63">
        <v>45777</v>
      </c>
      <c r="B137" s="8">
        <v>45779</v>
      </c>
      <c r="C137" s="64"/>
    </row>
    <row r="138" spans="1:3" ht="15.75" customHeight="1">
      <c r="A138" s="65" t="s">
        <v>141</v>
      </c>
      <c r="B138" s="66"/>
      <c r="C138" s="67">
        <f>SUM(C116:C137)</f>
        <v>4901.17</v>
      </c>
    </row>
    <row r="139" spans="1:3" ht="15.75" customHeight="1">
      <c r="A139" s="63">
        <v>45778</v>
      </c>
      <c r="B139" s="8">
        <v>45782</v>
      </c>
      <c r="C139" s="68"/>
    </row>
    <row r="140" spans="1:3" ht="15.75" customHeight="1">
      <c r="A140" s="63">
        <v>45779</v>
      </c>
      <c r="B140" s="8">
        <v>45783</v>
      </c>
      <c r="C140" s="64"/>
    </row>
    <row r="141" spans="1:3" ht="15.75" customHeight="1">
      <c r="A141" s="63">
        <v>45782</v>
      </c>
      <c r="B141" s="8">
        <v>45784</v>
      </c>
      <c r="C141" s="64"/>
    </row>
    <row r="142" spans="1:3" ht="15.75" customHeight="1">
      <c r="A142" s="63">
        <v>45783</v>
      </c>
      <c r="B142" s="8">
        <v>45785</v>
      </c>
      <c r="C142" s="64"/>
    </row>
    <row r="143" spans="1:3" ht="15.75" customHeight="1">
      <c r="A143" s="63">
        <v>45784</v>
      </c>
      <c r="B143" s="8">
        <v>45786</v>
      </c>
      <c r="C143" s="64"/>
    </row>
    <row r="144" spans="1:3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>
        <v>10320.299999999999</v>
      </c>
      <c r="F149" t="s">
        <v>140</v>
      </c>
    </row>
    <row r="150" spans="1:6" ht="15.75" customHeight="1">
      <c r="A150" s="63">
        <v>45793</v>
      </c>
      <c r="B150" s="8">
        <v>45797</v>
      </c>
      <c r="C150" s="64"/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/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/>
    </row>
    <row r="157" spans="1:6" ht="15.75" customHeight="1">
      <c r="A157" s="63">
        <v>45805</v>
      </c>
      <c r="B157" s="8">
        <v>45807</v>
      </c>
      <c r="C157" s="64"/>
    </row>
    <row r="158" spans="1:6" ht="15.75" customHeight="1">
      <c r="A158" s="63">
        <v>45806</v>
      </c>
      <c r="B158" s="8">
        <v>45810</v>
      </c>
      <c r="C158" s="64"/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141</v>
      </c>
      <c r="B160" s="66"/>
      <c r="C160" s="67">
        <f>SUM(C139:C159)</f>
        <v>10320.299999999999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>
        <v>21942.71</v>
      </c>
      <c r="F171" t="s">
        <v>140</v>
      </c>
    </row>
    <row r="172" spans="1:6" ht="15.75" customHeight="1">
      <c r="A172" s="63">
        <v>45825</v>
      </c>
      <c r="B172" s="8">
        <v>45827</v>
      </c>
      <c r="C172" s="64"/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/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/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/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141</v>
      </c>
      <c r="B182" s="66"/>
      <c r="C182" s="67">
        <f>SUM(C161:C181)</f>
        <v>21942.71</v>
      </c>
    </row>
    <row r="183" spans="1:6" ht="15.75" customHeight="1">
      <c r="A183" s="63">
        <v>45839</v>
      </c>
      <c r="B183" s="8">
        <v>45841</v>
      </c>
      <c r="C183" s="64"/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>
        <v>29094.73</v>
      </c>
      <c r="F192" t="s">
        <v>140</v>
      </c>
    </row>
    <row r="193" spans="1:6" ht="15.75" customHeight="1">
      <c r="A193" s="63">
        <v>45854</v>
      </c>
      <c r="B193" s="8">
        <v>45856</v>
      </c>
      <c r="C193" s="64">
        <v>412.02</v>
      </c>
      <c r="F193" t="s">
        <v>140</v>
      </c>
    </row>
    <row r="194" spans="1:6" ht="15.75" customHeight="1">
      <c r="A194" s="63">
        <v>45855</v>
      </c>
      <c r="B194" s="8">
        <v>45859</v>
      </c>
      <c r="C194" s="64"/>
    </row>
    <row r="195" spans="1:6" ht="15.75" customHeight="1">
      <c r="A195" s="63">
        <v>45856</v>
      </c>
      <c r="B195" s="8">
        <v>45860</v>
      </c>
      <c r="C195" s="64"/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/>
    </row>
    <row r="199" spans="1:6" ht="15.75" customHeight="1">
      <c r="A199" s="63">
        <v>45862</v>
      </c>
      <c r="B199" s="8">
        <v>45866</v>
      </c>
      <c r="C199" s="64"/>
    </row>
    <row r="200" spans="1:6" ht="15.75" customHeight="1">
      <c r="A200" s="63">
        <v>45863</v>
      </c>
      <c r="B200" s="8">
        <v>45867</v>
      </c>
      <c r="C200" s="64"/>
    </row>
    <row r="201" spans="1:6" ht="15.75" customHeight="1">
      <c r="A201" s="63">
        <v>45866</v>
      </c>
      <c r="B201" s="8">
        <v>45868</v>
      </c>
      <c r="C201" s="64"/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/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141</v>
      </c>
      <c r="B205" s="66"/>
      <c r="C205" s="67">
        <f>SUM(C183:C204)</f>
        <v>29506.75</v>
      </c>
    </row>
    <row r="206" spans="1:6" ht="15.75" customHeight="1">
      <c r="A206" s="63">
        <v>45870</v>
      </c>
      <c r="B206" s="8">
        <v>45874</v>
      </c>
      <c r="C206" s="64"/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>
        <v>42815.77</v>
      </c>
      <c r="F216" t="s">
        <v>140</v>
      </c>
    </row>
    <row r="217" spans="1:6" ht="15.75" customHeight="1">
      <c r="A217" s="63">
        <v>45887</v>
      </c>
      <c r="B217" s="8">
        <v>45889</v>
      </c>
      <c r="C217" s="64"/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/>
    </row>
    <row r="221" spans="1:6" ht="15.75" customHeight="1">
      <c r="A221" s="63">
        <v>45891</v>
      </c>
      <c r="B221" s="8">
        <v>45895</v>
      </c>
      <c r="C221" s="64"/>
    </row>
    <row r="222" spans="1:6" ht="15.75" customHeight="1">
      <c r="A222" s="63">
        <v>45894</v>
      </c>
      <c r="B222" s="8">
        <v>45896</v>
      </c>
      <c r="C222" s="64"/>
    </row>
    <row r="223" spans="1:6" ht="15.75" customHeight="1">
      <c r="A223" s="63">
        <v>45895</v>
      </c>
      <c r="B223" s="8">
        <v>45897</v>
      </c>
      <c r="C223" s="64"/>
    </row>
    <row r="224" spans="1:6" ht="15.75" customHeight="1">
      <c r="A224" s="63">
        <v>45896</v>
      </c>
      <c r="B224" s="8">
        <v>45898</v>
      </c>
      <c r="C224" s="64"/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141</v>
      </c>
      <c r="B227" s="66"/>
      <c r="C227" s="67">
        <f>SUM(C206:C226)</f>
        <v>42815.77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/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/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>
        <v>54278.64</v>
      </c>
      <c r="F238" t="s">
        <v>140</v>
      </c>
    </row>
    <row r="239" spans="1:6" ht="15.75" customHeight="1">
      <c r="A239" s="63">
        <v>45917</v>
      </c>
      <c r="B239" s="8">
        <v>45919</v>
      </c>
      <c r="C239" s="64"/>
    </row>
    <row r="240" spans="1:6" ht="15.75" customHeight="1">
      <c r="A240" s="63">
        <v>45918</v>
      </c>
      <c r="B240" s="8">
        <v>45922</v>
      </c>
      <c r="C240" s="64"/>
    </row>
    <row r="241" spans="1:3" ht="15.75" customHeight="1">
      <c r="A241" s="63">
        <v>45919</v>
      </c>
      <c r="B241" s="8">
        <v>45923</v>
      </c>
      <c r="C241" s="64"/>
    </row>
    <row r="242" spans="1:3" ht="15.75" customHeight="1">
      <c r="A242" s="63">
        <v>45922</v>
      </c>
      <c r="B242" s="8">
        <v>45924</v>
      </c>
      <c r="C242" s="64"/>
    </row>
    <row r="243" spans="1:3" ht="15.75" customHeight="1">
      <c r="A243" s="63">
        <v>45923</v>
      </c>
      <c r="B243" s="8">
        <v>45925</v>
      </c>
      <c r="C243" s="64"/>
    </row>
    <row r="244" spans="1:3" ht="15.75" customHeight="1">
      <c r="A244" s="63">
        <v>45924</v>
      </c>
      <c r="B244" s="8">
        <v>45926</v>
      </c>
      <c r="C244" s="64"/>
    </row>
    <row r="245" spans="1:3" ht="15.75" customHeight="1">
      <c r="A245" s="63">
        <v>45925</v>
      </c>
      <c r="B245" s="8">
        <v>45929</v>
      </c>
      <c r="C245" s="64"/>
    </row>
    <row r="246" spans="1:3" ht="15.75" customHeight="1">
      <c r="A246" s="63">
        <v>45926</v>
      </c>
      <c r="B246" s="8">
        <v>45930</v>
      </c>
      <c r="C246" s="64"/>
    </row>
    <row r="247" spans="1:3" ht="15.75" customHeight="1">
      <c r="A247" s="63">
        <v>45929</v>
      </c>
      <c r="B247" s="8">
        <v>45931</v>
      </c>
      <c r="C247" s="64"/>
    </row>
    <row r="248" spans="1:3" ht="15.75" customHeight="1">
      <c r="A248" s="63">
        <v>45930</v>
      </c>
      <c r="B248" s="8">
        <v>45932</v>
      </c>
      <c r="C248" s="64"/>
    </row>
    <row r="249" spans="1:3" ht="15.75" customHeight="1">
      <c r="A249" s="65" t="s">
        <v>141</v>
      </c>
      <c r="B249" s="66"/>
      <c r="C249" s="67">
        <f>SUM(C228:C248)</f>
        <v>54278.64</v>
      </c>
    </row>
    <row r="250" spans="1:3" ht="15.75" customHeight="1">
      <c r="A250" s="63">
        <v>45931</v>
      </c>
      <c r="B250" s="8">
        <v>45933</v>
      </c>
      <c r="C250" s="64"/>
    </row>
    <row r="251" spans="1:3" ht="15.75" customHeight="1">
      <c r="A251" s="63">
        <v>45932</v>
      </c>
      <c r="B251" s="8">
        <v>45936</v>
      </c>
      <c r="C251" s="64"/>
    </row>
    <row r="252" spans="1:3" ht="15.75" customHeight="1">
      <c r="A252" s="63">
        <v>45933</v>
      </c>
      <c r="B252" s="8">
        <v>45937</v>
      </c>
      <c r="C252" s="64"/>
    </row>
    <row r="253" spans="1:3" ht="15.75" customHeight="1">
      <c r="A253" s="63">
        <v>45936</v>
      </c>
      <c r="B253" s="8">
        <v>45938</v>
      </c>
      <c r="C253" s="64"/>
    </row>
    <row r="254" spans="1:3" ht="15.75" customHeight="1">
      <c r="A254" s="63">
        <v>45937</v>
      </c>
      <c r="B254" s="8">
        <v>45939</v>
      </c>
      <c r="C254" s="64"/>
    </row>
    <row r="255" spans="1:3" ht="15.75" customHeight="1">
      <c r="A255" s="63">
        <v>45938</v>
      </c>
      <c r="B255" s="8">
        <v>45940</v>
      </c>
      <c r="C255" s="64"/>
    </row>
    <row r="256" spans="1:3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>
        <v>75184.42</v>
      </c>
      <c r="F260" t="s">
        <v>140</v>
      </c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/>
    </row>
    <row r="264" spans="1:6" ht="15.75" customHeight="1">
      <c r="A264" s="63">
        <v>45951</v>
      </c>
      <c r="B264" s="8">
        <v>45953</v>
      </c>
      <c r="C264" s="64"/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/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141</v>
      </c>
      <c r="B273" s="66"/>
      <c r="C273" s="67">
        <f>SUM(C250:C272)</f>
        <v>75184.42</v>
      </c>
    </row>
    <row r="274" spans="1:6" ht="15.75" customHeight="1">
      <c r="A274" s="63">
        <v>45964</v>
      </c>
      <c r="B274" s="8">
        <v>45966</v>
      </c>
      <c r="C274" s="64"/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/>
    </row>
    <row r="279" spans="1:6" ht="15.75" customHeight="1">
      <c r="A279" s="63">
        <v>45971</v>
      </c>
      <c r="B279" s="8">
        <v>45973</v>
      </c>
      <c r="C279" s="64"/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>
        <v>126235.81</v>
      </c>
      <c r="F284" t="s">
        <v>140</v>
      </c>
    </row>
    <row r="285" spans="1:6" ht="15.75" customHeight="1">
      <c r="A285" s="63">
        <v>45979</v>
      </c>
      <c r="B285" s="8">
        <v>45981</v>
      </c>
      <c r="C285" s="64"/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/>
    </row>
    <row r="288" spans="1:6" ht="15.75" customHeight="1">
      <c r="A288" s="63">
        <v>45982</v>
      </c>
      <c r="B288" s="8">
        <v>45986</v>
      </c>
      <c r="C288" s="64"/>
    </row>
    <row r="289" spans="1:6" ht="15.75" customHeight="1">
      <c r="A289" s="63">
        <v>45985</v>
      </c>
      <c r="B289" s="8">
        <v>45987</v>
      </c>
      <c r="C289" s="64"/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141</v>
      </c>
      <c r="B292" s="66"/>
      <c r="C292" s="67">
        <f>SUM(C274:C291)</f>
        <v>126235.81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/>
    </row>
    <row r="301" spans="1:6" ht="15.75" customHeight="1">
      <c r="A301" s="63">
        <v>46002</v>
      </c>
      <c r="B301" s="8">
        <v>46006</v>
      </c>
      <c r="C301" s="64"/>
    </row>
    <row r="302" spans="1:6" ht="15.75" customHeight="1">
      <c r="A302" s="63">
        <v>46003</v>
      </c>
      <c r="B302" s="8">
        <v>46007</v>
      </c>
      <c r="C302" s="64"/>
    </row>
    <row r="303" spans="1:6" ht="15.75" customHeight="1">
      <c r="A303" s="63">
        <v>46006</v>
      </c>
      <c r="B303" s="8">
        <v>46008</v>
      </c>
      <c r="C303" s="64">
        <v>139532.18</v>
      </c>
      <c r="F303" t="s">
        <v>140</v>
      </c>
    </row>
    <row r="304" spans="1:6" ht="15.75" customHeight="1">
      <c r="A304" s="63">
        <v>46007</v>
      </c>
      <c r="B304" s="8">
        <v>46009</v>
      </c>
      <c r="C304" s="64">
        <v>9830.5400000000009</v>
      </c>
      <c r="F304" t="s">
        <v>140</v>
      </c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>
        <v>4974.04</v>
      </c>
      <c r="F308" t="s">
        <v>140</v>
      </c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/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141</v>
      </c>
      <c r="B314" s="44"/>
      <c r="C314" s="45">
        <f>SUM(C293:C312)</f>
        <v>154336.76</v>
      </c>
    </row>
    <row r="315" spans="1:8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>
        <v>181425.26</v>
      </c>
      <c r="F325" s="17" t="s">
        <v>140</v>
      </c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141</v>
      </c>
      <c r="B335" s="47"/>
      <c r="C335" s="48">
        <f>SUM(C315:C334)</f>
        <v>181425.26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>
        <v>203663.29</v>
      </c>
      <c r="F346" s="17" t="s">
        <v>140</v>
      </c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>
        <v>2874.56</v>
      </c>
      <c r="F349" s="17" t="s">
        <v>140</v>
      </c>
      <c r="G349" s="18"/>
      <c r="H349" s="18"/>
    </row>
    <row r="350" spans="1:8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spans="1:8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spans="1:8" ht="15.75" customHeight="1">
      <c r="A355" s="46" t="s">
        <v>141</v>
      </c>
      <c r="B355" s="47"/>
      <c r="C355" s="48">
        <f>SUM(C336:C354)</f>
        <v>206537.85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/>
      <c r="F356" s="17"/>
      <c r="G356" s="18"/>
      <c r="H356" s="18"/>
    </row>
    <row r="357" spans="1:8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>
        <v>9660.52</v>
      </c>
      <c r="F365" s="17" t="s">
        <v>140</v>
      </c>
      <c r="G365" s="18"/>
      <c r="H365" s="18"/>
    </row>
    <row r="366" spans="1:8" ht="15.75" customHeight="1">
      <c r="A366" s="8">
        <v>46097</v>
      </c>
      <c r="B366" s="19">
        <v>46099</v>
      </c>
      <c r="C366" s="16">
        <v>205613.8</v>
      </c>
      <c r="F366" s="17" t="s">
        <v>140</v>
      </c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/>
      <c r="F370" s="17"/>
      <c r="G370" s="18"/>
      <c r="H370" s="18"/>
    </row>
    <row r="371" spans="1:8" ht="15.75" customHeight="1">
      <c r="A371" s="8">
        <v>46104</v>
      </c>
      <c r="B371" s="8">
        <v>46106</v>
      </c>
      <c r="C371" s="16">
        <v>945.26</v>
      </c>
      <c r="F371" s="17" t="s">
        <v>140</v>
      </c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>
        <v>10967.34</v>
      </c>
      <c r="F373" s="17" t="s">
        <v>143</v>
      </c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141</v>
      </c>
      <c r="B378" s="47"/>
      <c r="C378" s="48">
        <f>SUM(C356:C377)</f>
        <v>227186.91999999998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>
        <v>197020.49</v>
      </c>
      <c r="F389" s="17" t="s">
        <v>143</v>
      </c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>
        <v>3997.66</v>
      </c>
      <c r="F391" s="17" t="s">
        <v>143</v>
      </c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141</v>
      </c>
      <c r="B401" s="47"/>
      <c r="C401" s="48">
        <f>SUM(C379:C400)</f>
        <v>201018.15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14"/>
  <sheetViews>
    <sheetView workbookViewId="0">
      <selection activeCell="A2" sqref="A2:XFD2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148</v>
      </c>
      <c r="B2" s="12" t="s">
        <v>149</v>
      </c>
      <c r="C2" s="1">
        <v>3997.66</v>
      </c>
      <c r="D2" s="3">
        <v>46129</v>
      </c>
      <c r="F2" t="s">
        <v>150</v>
      </c>
    </row>
    <row r="3" spans="1:6">
      <c r="A3" t="s">
        <v>151</v>
      </c>
      <c r="B3" s="12" t="s">
        <v>152</v>
      </c>
      <c r="C3" s="1">
        <v>3947.66</v>
      </c>
      <c r="D3" s="3">
        <v>46127</v>
      </c>
      <c r="F3" t="s">
        <v>153</v>
      </c>
    </row>
    <row r="4" spans="1:6">
      <c r="A4" t="s">
        <v>154</v>
      </c>
      <c r="B4" s="12" t="s">
        <v>152</v>
      </c>
      <c r="C4" s="1">
        <v>10571.65</v>
      </c>
      <c r="D4" s="3">
        <v>46127</v>
      </c>
      <c r="F4" t="s">
        <v>155</v>
      </c>
    </row>
    <row r="5" spans="1:6">
      <c r="A5" t="s">
        <v>156</v>
      </c>
      <c r="B5" s="12" t="s">
        <v>152</v>
      </c>
      <c r="C5" s="1">
        <v>6611.3</v>
      </c>
      <c r="D5" s="3">
        <v>46127</v>
      </c>
      <c r="F5" t="s">
        <v>157</v>
      </c>
    </row>
    <row r="6" spans="1:6">
      <c r="A6" t="s">
        <v>158</v>
      </c>
      <c r="B6" s="12" t="s">
        <v>159</v>
      </c>
      <c r="C6" s="1">
        <v>6746.44</v>
      </c>
      <c r="D6" s="3">
        <v>46127</v>
      </c>
      <c r="F6" t="s">
        <v>160</v>
      </c>
    </row>
    <row r="7" spans="1:6">
      <c r="A7" t="s">
        <v>161</v>
      </c>
      <c r="B7" s="12" t="s">
        <v>152</v>
      </c>
      <c r="C7" s="1">
        <v>7979.58</v>
      </c>
      <c r="D7" s="3">
        <v>46127</v>
      </c>
      <c r="F7" t="s">
        <v>162</v>
      </c>
    </row>
    <row r="8" spans="1:6">
      <c r="A8" t="s">
        <v>163</v>
      </c>
      <c r="B8" s="12" t="s">
        <v>164</v>
      </c>
      <c r="C8" s="1">
        <v>5526.21</v>
      </c>
      <c r="D8" s="3">
        <v>46127</v>
      </c>
      <c r="F8" t="s">
        <v>165</v>
      </c>
    </row>
    <row r="9" spans="1:6">
      <c r="A9" t="s">
        <v>166</v>
      </c>
      <c r="B9" s="12" t="s">
        <v>152</v>
      </c>
      <c r="C9" s="1">
        <v>7866.69</v>
      </c>
      <c r="D9" s="3">
        <v>46127</v>
      </c>
      <c r="F9" t="s">
        <v>167</v>
      </c>
    </row>
    <row r="10" spans="1:6">
      <c r="A10" t="s">
        <v>168</v>
      </c>
      <c r="B10" s="12" t="s">
        <v>152</v>
      </c>
      <c r="C10" s="1">
        <v>8261.82</v>
      </c>
      <c r="D10" s="3">
        <v>46127</v>
      </c>
      <c r="F10" t="s">
        <v>169</v>
      </c>
    </row>
    <row r="11" spans="1:6">
      <c r="A11" t="s">
        <v>170</v>
      </c>
      <c r="B11" s="12" t="s">
        <v>152</v>
      </c>
      <c r="C11" s="1">
        <v>7019.97</v>
      </c>
      <c r="D11" s="3">
        <v>46127</v>
      </c>
      <c r="F11" t="s">
        <v>171</v>
      </c>
    </row>
    <row r="12" spans="1:6">
      <c r="A12" t="s">
        <v>172</v>
      </c>
      <c r="B12" s="12" t="s">
        <v>152</v>
      </c>
      <c r="C12" s="1">
        <v>6511.94</v>
      </c>
      <c r="D12" s="3">
        <v>46127</v>
      </c>
      <c r="F12" t="s">
        <v>173</v>
      </c>
    </row>
    <row r="13" spans="1:6">
      <c r="A13" t="s">
        <v>174</v>
      </c>
      <c r="B13" s="12" t="s">
        <v>152</v>
      </c>
      <c r="C13" s="1">
        <v>8261.82</v>
      </c>
      <c r="D13" s="3">
        <v>46127</v>
      </c>
      <c r="F13" t="s">
        <v>175</v>
      </c>
    </row>
    <row r="14" spans="1:6">
      <c r="A14" t="s">
        <v>176</v>
      </c>
      <c r="B14" s="12" t="s">
        <v>152</v>
      </c>
      <c r="C14" s="1">
        <v>6511.94</v>
      </c>
      <c r="D14" s="3">
        <v>46127</v>
      </c>
      <c r="F14" t="s">
        <v>177</v>
      </c>
    </row>
    <row r="15" spans="1:6">
      <c r="A15" t="s">
        <v>178</v>
      </c>
      <c r="B15" s="12" t="s">
        <v>152</v>
      </c>
      <c r="C15" s="1">
        <v>6511.94</v>
      </c>
      <c r="D15" s="3">
        <v>46127</v>
      </c>
      <c r="F15" t="s">
        <v>179</v>
      </c>
    </row>
    <row r="16" spans="1:6">
      <c r="A16" t="s">
        <v>180</v>
      </c>
      <c r="B16" s="12" t="s">
        <v>152</v>
      </c>
      <c r="C16" s="1">
        <v>6511.94</v>
      </c>
      <c r="D16" s="3">
        <v>46127</v>
      </c>
      <c r="F16" t="s">
        <v>181</v>
      </c>
    </row>
    <row r="17" spans="1:6">
      <c r="A17" t="s">
        <v>182</v>
      </c>
      <c r="B17" s="12" t="s">
        <v>152</v>
      </c>
      <c r="C17" s="1">
        <v>6511.94</v>
      </c>
      <c r="D17" s="3">
        <v>46127</v>
      </c>
      <c r="F17" t="s">
        <v>183</v>
      </c>
    </row>
    <row r="18" spans="1:6">
      <c r="A18" t="s">
        <v>184</v>
      </c>
      <c r="B18" s="12" t="s">
        <v>152</v>
      </c>
      <c r="C18" s="1">
        <v>6511.94</v>
      </c>
      <c r="D18" s="3">
        <v>46127</v>
      </c>
      <c r="F18" t="s">
        <v>185</v>
      </c>
    </row>
    <row r="19" spans="1:6">
      <c r="A19" t="s">
        <v>186</v>
      </c>
      <c r="B19" s="12" t="s">
        <v>152</v>
      </c>
      <c r="C19" s="1">
        <v>4621.38</v>
      </c>
      <c r="D19" s="3">
        <v>46127</v>
      </c>
      <c r="F19" t="s">
        <v>187</v>
      </c>
    </row>
    <row r="20" spans="1:6">
      <c r="A20" t="s">
        <v>188</v>
      </c>
      <c r="B20" s="12" t="s">
        <v>152</v>
      </c>
      <c r="C20" s="1">
        <v>6511.94</v>
      </c>
      <c r="D20" s="3">
        <v>46127</v>
      </c>
      <c r="F20" t="s">
        <v>189</v>
      </c>
    </row>
    <row r="21" spans="1:6">
      <c r="A21" t="s">
        <v>190</v>
      </c>
      <c r="B21" s="12" t="s">
        <v>152</v>
      </c>
      <c r="C21" s="1">
        <v>6511.94</v>
      </c>
      <c r="D21" s="3">
        <v>46127</v>
      </c>
      <c r="F21" t="s">
        <v>191</v>
      </c>
    </row>
    <row r="22" spans="1:6">
      <c r="A22" t="s">
        <v>192</v>
      </c>
      <c r="B22" s="12" t="s">
        <v>152</v>
      </c>
      <c r="C22" s="1">
        <v>6511.94</v>
      </c>
      <c r="D22" s="3">
        <v>46127</v>
      </c>
      <c r="F22" t="s">
        <v>193</v>
      </c>
    </row>
    <row r="23" spans="1:6">
      <c r="A23" t="s">
        <v>194</v>
      </c>
      <c r="B23" s="12" t="s">
        <v>152</v>
      </c>
      <c r="C23" s="1">
        <v>6681.29</v>
      </c>
      <c r="D23" s="3">
        <v>46127</v>
      </c>
      <c r="F23" t="s">
        <v>195</v>
      </c>
    </row>
    <row r="24" spans="1:6">
      <c r="A24" t="s">
        <v>196</v>
      </c>
      <c r="B24" s="12" t="s">
        <v>152</v>
      </c>
      <c r="C24" s="1">
        <v>7245.76</v>
      </c>
      <c r="D24" s="3">
        <v>46127</v>
      </c>
      <c r="F24" t="s">
        <v>197</v>
      </c>
    </row>
    <row r="25" spans="1:6">
      <c r="A25" t="s">
        <v>198</v>
      </c>
      <c r="B25" s="12" t="s">
        <v>152</v>
      </c>
      <c r="C25" s="1">
        <v>6511.94</v>
      </c>
      <c r="D25" s="3">
        <v>46127</v>
      </c>
      <c r="F25" t="s">
        <v>199</v>
      </c>
    </row>
    <row r="26" spans="1:6">
      <c r="A26" t="s">
        <v>200</v>
      </c>
      <c r="B26" s="12" t="s">
        <v>152</v>
      </c>
      <c r="C26" s="1">
        <v>6419.28</v>
      </c>
      <c r="D26" s="3">
        <v>46127</v>
      </c>
      <c r="F26" t="s">
        <v>201</v>
      </c>
    </row>
    <row r="27" spans="1:6">
      <c r="A27" t="s">
        <v>202</v>
      </c>
      <c r="B27" s="12" t="s">
        <v>152</v>
      </c>
      <c r="C27" s="1">
        <v>8092.48</v>
      </c>
      <c r="D27" s="3">
        <v>46127</v>
      </c>
      <c r="F27" t="s">
        <v>203</v>
      </c>
    </row>
    <row r="28" spans="1:6">
      <c r="A28" t="s">
        <v>204</v>
      </c>
      <c r="B28" s="12" t="s">
        <v>152</v>
      </c>
      <c r="C28" s="1">
        <v>6511.94</v>
      </c>
      <c r="D28" s="3">
        <v>46127</v>
      </c>
      <c r="F28" t="s">
        <v>205</v>
      </c>
    </row>
    <row r="29" spans="1:6">
      <c r="A29" t="s">
        <v>206</v>
      </c>
      <c r="B29" s="12" t="s">
        <v>152</v>
      </c>
      <c r="C29" s="1">
        <v>6511.94</v>
      </c>
      <c r="D29" s="3">
        <v>46127</v>
      </c>
      <c r="F29" t="s">
        <v>207</v>
      </c>
    </row>
    <row r="30" spans="1:6">
      <c r="A30" t="s">
        <v>208</v>
      </c>
      <c r="B30" s="12" t="s">
        <v>152</v>
      </c>
      <c r="C30" s="1">
        <v>6511.94</v>
      </c>
      <c r="D30" s="3">
        <v>46127</v>
      </c>
      <c r="F30" t="s">
        <v>209</v>
      </c>
    </row>
    <row r="31" spans="1:6">
      <c r="A31" t="s">
        <v>210</v>
      </c>
      <c r="B31" s="12" t="s">
        <v>152</v>
      </c>
      <c r="C31" s="1">
        <v>6511.94</v>
      </c>
      <c r="D31" s="3">
        <v>46127</v>
      </c>
      <c r="F31" t="s">
        <v>211</v>
      </c>
    </row>
    <row r="32" spans="1:6">
      <c r="A32" t="s">
        <v>212</v>
      </c>
      <c r="B32" s="14" t="s">
        <v>213</v>
      </c>
      <c r="C32" s="6">
        <v>1599.07</v>
      </c>
      <c r="D32" s="7">
        <v>46104</v>
      </c>
      <c r="F32" t="s">
        <v>214</v>
      </c>
    </row>
    <row r="33" spans="1:6">
      <c r="A33" t="s">
        <v>151</v>
      </c>
      <c r="B33" s="14" t="s">
        <v>215</v>
      </c>
      <c r="C33" s="6">
        <v>2832.71</v>
      </c>
      <c r="D33" s="7">
        <v>46100</v>
      </c>
      <c r="F33" t="s">
        <v>153</v>
      </c>
    </row>
    <row r="34" spans="1:6">
      <c r="A34" t="s">
        <v>184</v>
      </c>
      <c r="B34" s="14" t="s">
        <v>213</v>
      </c>
      <c r="C34" s="6">
        <v>5881.75</v>
      </c>
      <c r="D34" s="7">
        <v>46100</v>
      </c>
      <c r="F34" t="s">
        <v>185</v>
      </c>
    </row>
    <row r="35" spans="1:6">
      <c r="A35" t="s">
        <v>148</v>
      </c>
      <c r="B35" s="14" t="s">
        <v>213</v>
      </c>
      <c r="C35" s="6">
        <v>1599.07</v>
      </c>
      <c r="D35" s="7">
        <v>46099</v>
      </c>
      <c r="F35" t="s">
        <v>150</v>
      </c>
    </row>
    <row r="36" spans="1:6">
      <c r="A36" t="s">
        <v>186</v>
      </c>
      <c r="B36" s="14" t="s">
        <v>213</v>
      </c>
      <c r="C36" s="6">
        <v>6048.19</v>
      </c>
      <c r="D36" s="7">
        <v>46097</v>
      </c>
      <c r="F36" t="s">
        <v>187</v>
      </c>
    </row>
    <row r="37" spans="1:6">
      <c r="A37" t="s">
        <v>210</v>
      </c>
      <c r="B37" s="14" t="s">
        <v>216</v>
      </c>
      <c r="C37" s="6">
        <v>3991.19</v>
      </c>
      <c r="D37" s="7">
        <v>46097</v>
      </c>
      <c r="F37" t="s">
        <v>211</v>
      </c>
    </row>
    <row r="38" spans="1:6">
      <c r="A38" t="s">
        <v>217</v>
      </c>
      <c r="B38" s="14" t="s">
        <v>213</v>
      </c>
      <c r="C38" s="6">
        <v>5881.75</v>
      </c>
      <c r="D38" s="7">
        <v>46097</v>
      </c>
      <c r="F38" t="s">
        <v>218</v>
      </c>
    </row>
    <row r="39" spans="1:6">
      <c r="A39" t="s">
        <v>219</v>
      </c>
      <c r="B39" s="14" t="s">
        <v>213</v>
      </c>
      <c r="C39" s="6">
        <v>533.02</v>
      </c>
      <c r="D39" s="7">
        <v>46097</v>
      </c>
      <c r="F39" t="s">
        <v>220</v>
      </c>
    </row>
    <row r="40" spans="1:6">
      <c r="A40" t="s">
        <v>154</v>
      </c>
      <c r="B40" s="14" t="s">
        <v>213</v>
      </c>
      <c r="C40" s="6">
        <v>5881.75</v>
      </c>
      <c r="D40" s="7">
        <v>46097</v>
      </c>
      <c r="F40" t="s">
        <v>155</v>
      </c>
    </row>
    <row r="41" spans="1:6">
      <c r="A41" t="s">
        <v>221</v>
      </c>
      <c r="B41" s="14" t="s">
        <v>213</v>
      </c>
      <c r="C41" s="6">
        <v>1599.07</v>
      </c>
      <c r="D41" s="7">
        <v>46097</v>
      </c>
      <c r="F41" t="s">
        <v>222</v>
      </c>
    </row>
    <row r="42" spans="1:6">
      <c r="A42" t="s">
        <v>188</v>
      </c>
      <c r="B42" s="14" t="s">
        <v>213</v>
      </c>
      <c r="C42" s="6">
        <v>6048.19</v>
      </c>
      <c r="D42" s="7">
        <v>46097</v>
      </c>
      <c r="F42" t="s">
        <v>189</v>
      </c>
    </row>
    <row r="43" spans="1:6">
      <c r="A43" t="s">
        <v>223</v>
      </c>
      <c r="B43" s="14" t="s">
        <v>213</v>
      </c>
      <c r="C43" s="6">
        <v>7462.29</v>
      </c>
      <c r="D43" s="7">
        <v>46097</v>
      </c>
      <c r="F43" t="s">
        <v>224</v>
      </c>
    </row>
    <row r="44" spans="1:6">
      <c r="A44" t="s">
        <v>204</v>
      </c>
      <c r="B44" s="14" t="s">
        <v>213</v>
      </c>
      <c r="C44" s="6">
        <v>6276.88</v>
      </c>
      <c r="D44" s="7">
        <v>46097</v>
      </c>
      <c r="F44" t="s">
        <v>205</v>
      </c>
    </row>
    <row r="45" spans="1:6">
      <c r="A45" t="s">
        <v>196</v>
      </c>
      <c r="B45" s="14" t="s">
        <v>213</v>
      </c>
      <c r="C45" s="6">
        <v>7462.29</v>
      </c>
      <c r="D45" s="7">
        <v>46097</v>
      </c>
      <c r="F45" t="s">
        <v>197</v>
      </c>
    </row>
    <row r="46" spans="1:6">
      <c r="A46" t="s">
        <v>225</v>
      </c>
      <c r="B46" s="14" t="s">
        <v>213</v>
      </c>
      <c r="C46" s="6">
        <v>5881.75</v>
      </c>
      <c r="D46" s="7">
        <v>46097</v>
      </c>
      <c r="F46" t="s">
        <v>226</v>
      </c>
    </row>
    <row r="47" spans="1:6">
      <c r="A47" t="s">
        <v>182</v>
      </c>
      <c r="B47" s="14" t="s">
        <v>213</v>
      </c>
      <c r="C47" s="6">
        <v>7236.5</v>
      </c>
      <c r="D47" s="7">
        <v>46097</v>
      </c>
      <c r="F47" t="s">
        <v>183</v>
      </c>
    </row>
    <row r="48" spans="1:6">
      <c r="A48" t="s">
        <v>227</v>
      </c>
      <c r="B48" s="14" t="s">
        <v>213</v>
      </c>
      <c r="C48" s="6">
        <v>5671.69</v>
      </c>
      <c r="D48" s="7">
        <v>46097</v>
      </c>
      <c r="F48" t="s">
        <v>228</v>
      </c>
    </row>
    <row r="49" spans="1:6">
      <c r="A49" t="s">
        <v>168</v>
      </c>
      <c r="B49" s="14" t="s">
        <v>216</v>
      </c>
      <c r="C49" s="6">
        <v>5063.7</v>
      </c>
      <c r="D49" s="7">
        <v>46097</v>
      </c>
      <c r="F49" t="s">
        <v>169</v>
      </c>
    </row>
    <row r="50" spans="1:6">
      <c r="A50" t="s">
        <v>176</v>
      </c>
      <c r="B50" s="14" t="s">
        <v>213</v>
      </c>
      <c r="C50" s="6">
        <v>5881.75</v>
      </c>
      <c r="D50" s="7">
        <v>46097</v>
      </c>
      <c r="F50" t="s">
        <v>177</v>
      </c>
    </row>
    <row r="51" spans="1:6">
      <c r="A51" t="s">
        <v>190</v>
      </c>
      <c r="B51" s="14" t="s">
        <v>213</v>
      </c>
      <c r="C51" s="6">
        <v>5881.75</v>
      </c>
      <c r="D51" s="7">
        <v>46097</v>
      </c>
      <c r="F51" t="s">
        <v>191</v>
      </c>
    </row>
    <row r="52" spans="1:6">
      <c r="A52" t="s">
        <v>178</v>
      </c>
      <c r="B52" s="14" t="s">
        <v>213</v>
      </c>
      <c r="C52" s="6">
        <v>5881.75</v>
      </c>
      <c r="D52" s="7">
        <v>46097</v>
      </c>
      <c r="F52" t="s">
        <v>179</v>
      </c>
    </row>
    <row r="53" spans="1:6">
      <c r="A53" t="s">
        <v>172</v>
      </c>
      <c r="B53" s="14" t="s">
        <v>213</v>
      </c>
      <c r="C53" s="6">
        <v>6048.19</v>
      </c>
      <c r="D53" s="7">
        <v>46097</v>
      </c>
      <c r="F53" t="s">
        <v>173</v>
      </c>
    </row>
    <row r="54" spans="1:6">
      <c r="A54" t="s">
        <v>206</v>
      </c>
      <c r="B54" s="14" t="s">
        <v>213</v>
      </c>
      <c r="C54" s="6">
        <v>6333.33</v>
      </c>
      <c r="D54" s="7">
        <v>46097</v>
      </c>
      <c r="F54" t="s">
        <v>207</v>
      </c>
    </row>
    <row r="55" spans="1:6">
      <c r="A55" t="s">
        <v>174</v>
      </c>
      <c r="B55" s="14" t="s">
        <v>229</v>
      </c>
      <c r="C55" s="6">
        <v>3198.12</v>
      </c>
      <c r="D55" s="7">
        <v>46097</v>
      </c>
      <c r="F55" t="s">
        <v>175</v>
      </c>
    </row>
    <row r="56" spans="1:6">
      <c r="A56" t="s">
        <v>170</v>
      </c>
      <c r="B56" s="14" t="s">
        <v>213</v>
      </c>
      <c r="C56" s="6">
        <v>7462.29</v>
      </c>
      <c r="D56" s="7">
        <v>46097</v>
      </c>
      <c r="F56" t="s">
        <v>171</v>
      </c>
    </row>
    <row r="57" spans="1:6">
      <c r="A57" t="s">
        <v>230</v>
      </c>
      <c r="B57" s="14" t="s">
        <v>213</v>
      </c>
      <c r="C57" s="6">
        <v>630.19000000000005</v>
      </c>
      <c r="D57" s="7">
        <v>46097</v>
      </c>
      <c r="F57" t="s">
        <v>231</v>
      </c>
    </row>
    <row r="58" spans="1:6">
      <c r="A58" t="s">
        <v>232</v>
      </c>
      <c r="B58" s="14" t="s">
        <v>213</v>
      </c>
      <c r="C58" s="6">
        <v>4621.38</v>
      </c>
      <c r="D58" s="7">
        <v>46097</v>
      </c>
      <c r="F58" t="s">
        <v>233</v>
      </c>
    </row>
    <row r="59" spans="1:6">
      <c r="A59" t="s">
        <v>192</v>
      </c>
      <c r="B59" s="14" t="s">
        <v>213</v>
      </c>
      <c r="C59" s="6">
        <v>6048.19</v>
      </c>
      <c r="D59" s="7">
        <v>46097</v>
      </c>
      <c r="F59" t="s">
        <v>193</v>
      </c>
    </row>
    <row r="60" spans="1:6">
      <c r="A60" t="s">
        <v>166</v>
      </c>
      <c r="B60" s="14" t="s">
        <v>213</v>
      </c>
      <c r="C60" s="6">
        <v>7462.29</v>
      </c>
      <c r="D60" s="7">
        <v>46097</v>
      </c>
      <c r="F60" t="s">
        <v>167</v>
      </c>
    </row>
    <row r="61" spans="1:6">
      <c r="A61" t="s">
        <v>208</v>
      </c>
      <c r="B61" s="14" t="s">
        <v>213</v>
      </c>
      <c r="C61" s="6">
        <v>5881.75</v>
      </c>
      <c r="D61" s="7">
        <v>46097</v>
      </c>
      <c r="F61" t="s">
        <v>209</v>
      </c>
    </row>
    <row r="62" spans="1:6">
      <c r="A62" t="s">
        <v>194</v>
      </c>
      <c r="B62" s="14" t="s">
        <v>213</v>
      </c>
      <c r="C62" s="6">
        <v>7462.29</v>
      </c>
      <c r="D62" s="7">
        <v>46097</v>
      </c>
      <c r="F62" t="s">
        <v>195</v>
      </c>
    </row>
    <row r="63" spans="1:6">
      <c r="A63" t="s">
        <v>180</v>
      </c>
      <c r="B63" s="14" t="s">
        <v>213</v>
      </c>
      <c r="C63" s="6">
        <v>5881.75</v>
      </c>
      <c r="D63" s="7">
        <v>46097</v>
      </c>
      <c r="F63" t="s">
        <v>181</v>
      </c>
    </row>
    <row r="64" spans="1:6">
      <c r="A64" t="s">
        <v>200</v>
      </c>
      <c r="B64" s="14" t="s">
        <v>213</v>
      </c>
      <c r="C64" s="6">
        <v>5798.06</v>
      </c>
      <c r="D64" s="7">
        <v>46097</v>
      </c>
      <c r="F64" t="s">
        <v>201</v>
      </c>
    </row>
    <row r="65" spans="1:6">
      <c r="A65" t="s">
        <v>202</v>
      </c>
      <c r="B65" s="14" t="s">
        <v>213</v>
      </c>
      <c r="C65" s="6">
        <v>7462.29</v>
      </c>
      <c r="D65" s="7">
        <v>46097</v>
      </c>
      <c r="F65" t="s">
        <v>203</v>
      </c>
    </row>
    <row r="66" spans="1:6">
      <c r="A66" t="s">
        <v>198</v>
      </c>
      <c r="B66" s="14" t="s">
        <v>213</v>
      </c>
      <c r="C66" s="6">
        <v>6048.19</v>
      </c>
      <c r="D66" s="7">
        <v>46097</v>
      </c>
      <c r="F66" t="s">
        <v>199</v>
      </c>
    </row>
    <row r="67" spans="1:6">
      <c r="A67" t="s">
        <v>234</v>
      </c>
      <c r="B67" s="14" t="s">
        <v>213</v>
      </c>
      <c r="C67" s="6">
        <v>5881.75</v>
      </c>
      <c r="D67" s="7">
        <v>46097</v>
      </c>
      <c r="F67" t="s">
        <v>235</v>
      </c>
    </row>
    <row r="68" spans="1:6">
      <c r="A68" t="s">
        <v>156</v>
      </c>
      <c r="B68" s="14" t="s">
        <v>213</v>
      </c>
      <c r="C68" s="6">
        <v>5881.75</v>
      </c>
      <c r="D68" s="7">
        <v>46097</v>
      </c>
      <c r="F68" t="s">
        <v>157</v>
      </c>
    </row>
    <row r="69" spans="1:6">
      <c r="A69" t="s">
        <v>161</v>
      </c>
      <c r="B69" s="14" t="s">
        <v>213</v>
      </c>
      <c r="C69" s="6">
        <v>7462.29</v>
      </c>
      <c r="D69" s="7">
        <v>46097</v>
      </c>
      <c r="F69" t="s">
        <v>162</v>
      </c>
    </row>
    <row r="70" spans="1:6">
      <c r="A70" t="s">
        <v>236</v>
      </c>
      <c r="B70" s="14" t="s">
        <v>213</v>
      </c>
      <c r="C70" s="6">
        <v>3813.38</v>
      </c>
      <c r="D70" s="7">
        <v>46097</v>
      </c>
      <c r="F70" t="s">
        <v>237</v>
      </c>
    </row>
    <row r="71" spans="1:6">
      <c r="A71" t="s">
        <v>238</v>
      </c>
      <c r="B71" s="14" t="s">
        <v>213</v>
      </c>
      <c r="C71" s="6">
        <v>533.02</v>
      </c>
      <c r="D71" s="7">
        <v>46097</v>
      </c>
      <c r="F71" t="s">
        <v>239</v>
      </c>
    </row>
    <row r="72" spans="1:6">
      <c r="A72" t="s">
        <v>240</v>
      </c>
      <c r="B72" s="14" t="s">
        <v>213</v>
      </c>
      <c r="C72" s="6">
        <v>6203.75</v>
      </c>
      <c r="D72" s="7">
        <v>46097</v>
      </c>
      <c r="F72" t="s">
        <v>241</v>
      </c>
    </row>
    <row r="73" spans="1:6">
      <c r="A73" t="s">
        <v>242</v>
      </c>
      <c r="B73" s="14" t="s">
        <v>213</v>
      </c>
      <c r="C73" s="6">
        <v>2816.04</v>
      </c>
      <c r="D73" s="7">
        <v>46097</v>
      </c>
      <c r="F73" t="s">
        <v>243</v>
      </c>
    </row>
    <row r="74" spans="1:6">
      <c r="A74" t="s">
        <v>244</v>
      </c>
      <c r="B74" s="14" t="s">
        <v>245</v>
      </c>
      <c r="C74" s="6">
        <v>13333.53</v>
      </c>
      <c r="D74" s="7">
        <v>46094</v>
      </c>
      <c r="F74" t="s">
        <v>246</v>
      </c>
    </row>
    <row r="75" spans="1:6">
      <c r="A75" t="s">
        <v>242</v>
      </c>
      <c r="B75" s="14" t="s">
        <v>247</v>
      </c>
      <c r="C75" s="6">
        <v>1271.6400000000001</v>
      </c>
      <c r="D75" s="7">
        <v>46092</v>
      </c>
      <c r="E75" t="s">
        <v>248</v>
      </c>
      <c r="F75" t="s">
        <v>243</v>
      </c>
    </row>
    <row r="76" spans="1:6">
      <c r="A76" t="s">
        <v>221</v>
      </c>
      <c r="B76" s="14" t="s">
        <v>247</v>
      </c>
      <c r="C76" s="6">
        <v>1066.04</v>
      </c>
      <c r="D76" s="7">
        <v>46073</v>
      </c>
      <c r="F76" t="s">
        <v>222</v>
      </c>
    </row>
    <row r="77" spans="1:6">
      <c r="A77" t="s">
        <v>236</v>
      </c>
      <c r="B77" s="14" t="s">
        <v>249</v>
      </c>
      <c r="C77" s="6">
        <v>533.02</v>
      </c>
      <c r="D77" s="7">
        <v>46073</v>
      </c>
      <c r="F77" t="s">
        <v>237</v>
      </c>
    </row>
    <row r="78" spans="1:6">
      <c r="A78" t="s">
        <v>202</v>
      </c>
      <c r="B78" s="14" t="s">
        <v>247</v>
      </c>
      <c r="C78" s="6">
        <v>1066.04</v>
      </c>
      <c r="D78" s="7">
        <v>46073</v>
      </c>
      <c r="F78" t="s">
        <v>203</v>
      </c>
    </row>
    <row r="79" spans="1:6">
      <c r="A79" t="s">
        <v>161</v>
      </c>
      <c r="B79" s="14" t="s">
        <v>250</v>
      </c>
      <c r="C79" s="6">
        <v>1599.07</v>
      </c>
      <c r="D79" s="7">
        <v>46073</v>
      </c>
      <c r="F79" t="s">
        <v>162</v>
      </c>
    </row>
    <row r="80" spans="1:6">
      <c r="A80" t="s">
        <v>186</v>
      </c>
      <c r="B80" s="14" t="s">
        <v>251</v>
      </c>
      <c r="C80" s="6">
        <v>6511.94</v>
      </c>
      <c r="D80" s="7">
        <v>46072</v>
      </c>
      <c r="F80" t="s">
        <v>187</v>
      </c>
    </row>
    <row r="81" spans="1:6">
      <c r="A81" t="s">
        <v>234</v>
      </c>
      <c r="B81" s="14" t="s">
        <v>251</v>
      </c>
      <c r="C81" s="6">
        <v>6511.94</v>
      </c>
      <c r="D81" s="7">
        <v>46070</v>
      </c>
      <c r="F81" t="s">
        <v>235</v>
      </c>
    </row>
    <row r="82" spans="1:6">
      <c r="A82" t="s">
        <v>252</v>
      </c>
      <c r="B82" s="14" t="s">
        <v>251</v>
      </c>
      <c r="C82" s="6">
        <v>1260.3800000000001</v>
      </c>
      <c r="D82" s="7">
        <v>46070</v>
      </c>
      <c r="F82" t="s">
        <v>253</v>
      </c>
    </row>
    <row r="83" spans="1:6">
      <c r="A83" t="s">
        <v>210</v>
      </c>
      <c r="B83" s="14" t="s">
        <v>251</v>
      </c>
      <c r="C83" s="6">
        <v>4831.4399999999996</v>
      </c>
      <c r="D83" s="7">
        <v>46070</v>
      </c>
      <c r="F83" t="s">
        <v>211</v>
      </c>
    </row>
    <row r="84" spans="1:6">
      <c r="A84" t="s">
        <v>154</v>
      </c>
      <c r="B84" s="14" t="s">
        <v>251</v>
      </c>
      <c r="C84" s="6">
        <v>6511.94</v>
      </c>
      <c r="D84" s="7">
        <v>46070</v>
      </c>
      <c r="F84" t="s">
        <v>155</v>
      </c>
    </row>
    <row r="85" spans="1:6">
      <c r="A85" t="s">
        <v>223</v>
      </c>
      <c r="B85" s="14" t="s">
        <v>254</v>
      </c>
      <c r="C85" s="6">
        <v>7995.31</v>
      </c>
      <c r="D85" s="7">
        <v>46070</v>
      </c>
      <c r="F85" t="s">
        <v>224</v>
      </c>
    </row>
    <row r="86" spans="1:6">
      <c r="A86" t="s">
        <v>225</v>
      </c>
      <c r="B86" s="14" t="s">
        <v>251</v>
      </c>
      <c r="C86" s="6">
        <v>6511.94</v>
      </c>
      <c r="D86" s="7">
        <v>46070</v>
      </c>
      <c r="F86" t="s">
        <v>226</v>
      </c>
    </row>
    <row r="87" spans="1:6">
      <c r="A87" t="s">
        <v>255</v>
      </c>
      <c r="B87" s="14" t="s">
        <v>251</v>
      </c>
      <c r="C87" s="6">
        <v>1752.68</v>
      </c>
      <c r="D87" s="7">
        <v>46070</v>
      </c>
      <c r="F87" t="s">
        <v>256</v>
      </c>
    </row>
    <row r="88" spans="1:6">
      <c r="A88" t="s">
        <v>176</v>
      </c>
      <c r="B88" s="14" t="s">
        <v>251</v>
      </c>
      <c r="C88" s="6">
        <v>6511.94</v>
      </c>
      <c r="D88" s="7">
        <v>46070</v>
      </c>
      <c r="F88" t="s">
        <v>177</v>
      </c>
    </row>
    <row r="89" spans="1:6">
      <c r="A89" t="s">
        <v>182</v>
      </c>
      <c r="B89" s="14" t="s">
        <v>251</v>
      </c>
      <c r="C89" s="6">
        <v>8261.82</v>
      </c>
      <c r="D89" s="7">
        <v>46070</v>
      </c>
      <c r="F89" t="s">
        <v>183</v>
      </c>
    </row>
    <row r="90" spans="1:6">
      <c r="A90" t="s">
        <v>208</v>
      </c>
      <c r="B90" s="14" t="s">
        <v>251</v>
      </c>
      <c r="C90" s="6">
        <v>6511.94</v>
      </c>
      <c r="D90" s="7">
        <v>46070</v>
      </c>
      <c r="F90" t="s">
        <v>209</v>
      </c>
    </row>
    <row r="91" spans="1:6">
      <c r="A91" t="s">
        <v>204</v>
      </c>
      <c r="B91" s="14" t="s">
        <v>251</v>
      </c>
      <c r="C91" s="6">
        <v>8261.82</v>
      </c>
      <c r="D91" s="7">
        <v>46070</v>
      </c>
      <c r="F91" t="s">
        <v>205</v>
      </c>
    </row>
    <row r="92" spans="1:6">
      <c r="A92" t="s">
        <v>219</v>
      </c>
      <c r="B92" s="14" t="s">
        <v>257</v>
      </c>
      <c r="C92" s="6">
        <v>6129.73</v>
      </c>
      <c r="D92" s="7">
        <v>46070</v>
      </c>
      <c r="F92" t="s">
        <v>220</v>
      </c>
    </row>
    <row r="93" spans="1:6">
      <c r="A93" t="s">
        <v>206</v>
      </c>
      <c r="B93" s="14" t="s">
        <v>251</v>
      </c>
      <c r="C93" s="6">
        <v>8261.82</v>
      </c>
      <c r="D93" s="7">
        <v>46070</v>
      </c>
      <c r="F93" t="s">
        <v>207</v>
      </c>
    </row>
    <row r="94" spans="1:6">
      <c r="A94" t="s">
        <v>170</v>
      </c>
      <c r="B94" s="14" t="s">
        <v>257</v>
      </c>
      <c r="C94" s="6">
        <v>6129.73</v>
      </c>
      <c r="D94" s="7">
        <v>46070</v>
      </c>
      <c r="F94" t="s">
        <v>171</v>
      </c>
    </row>
    <row r="95" spans="1:6">
      <c r="A95" t="s">
        <v>230</v>
      </c>
      <c r="B95" s="14" t="s">
        <v>251</v>
      </c>
      <c r="C95" s="6">
        <v>6511.94</v>
      </c>
      <c r="D95" s="7">
        <v>46070</v>
      </c>
      <c r="F95" t="s">
        <v>231</v>
      </c>
    </row>
    <row r="96" spans="1:6">
      <c r="A96" t="s">
        <v>212</v>
      </c>
      <c r="B96" s="14" t="s">
        <v>251</v>
      </c>
      <c r="C96" s="6">
        <v>8261.82</v>
      </c>
      <c r="D96" s="7">
        <v>46070</v>
      </c>
      <c r="F96" t="s">
        <v>214</v>
      </c>
    </row>
    <row r="97" spans="1:6">
      <c r="A97" t="s">
        <v>192</v>
      </c>
      <c r="B97" s="14" t="s">
        <v>251</v>
      </c>
      <c r="C97" s="6">
        <v>6850.63</v>
      </c>
      <c r="D97" s="7">
        <v>46070</v>
      </c>
      <c r="F97" t="s">
        <v>193</v>
      </c>
    </row>
    <row r="98" spans="1:6">
      <c r="A98" t="s">
        <v>198</v>
      </c>
      <c r="B98" s="14" t="s">
        <v>251</v>
      </c>
      <c r="C98" s="6">
        <v>6850.63</v>
      </c>
      <c r="D98" s="7">
        <v>46070</v>
      </c>
      <c r="F98" t="s">
        <v>199</v>
      </c>
    </row>
    <row r="99" spans="1:6">
      <c r="A99" t="s">
        <v>156</v>
      </c>
      <c r="B99" s="14" t="s">
        <v>251</v>
      </c>
      <c r="C99" s="6">
        <v>6511.94</v>
      </c>
      <c r="D99" s="7">
        <v>46070</v>
      </c>
      <c r="F99" t="s">
        <v>157</v>
      </c>
    </row>
    <row r="100" spans="1:6">
      <c r="A100" t="s">
        <v>184</v>
      </c>
      <c r="B100" s="14" t="s">
        <v>251</v>
      </c>
      <c r="C100" s="6">
        <v>6511.94</v>
      </c>
      <c r="D100" s="7">
        <v>46070</v>
      </c>
      <c r="F100" t="s">
        <v>185</v>
      </c>
    </row>
    <row r="101" spans="1:6">
      <c r="A101" t="s">
        <v>200</v>
      </c>
      <c r="B101" s="14" t="s">
        <v>251</v>
      </c>
      <c r="C101" s="6">
        <v>7587.82</v>
      </c>
      <c r="D101" s="7">
        <v>46070</v>
      </c>
      <c r="F101" t="s">
        <v>201</v>
      </c>
    </row>
    <row r="102" spans="1:6">
      <c r="A102" t="s">
        <v>148</v>
      </c>
      <c r="B102" s="14" t="s">
        <v>258</v>
      </c>
      <c r="C102" s="6">
        <v>4264.17</v>
      </c>
      <c r="D102" s="7">
        <v>46070</v>
      </c>
      <c r="F102" t="s">
        <v>150</v>
      </c>
    </row>
    <row r="103" spans="1:6">
      <c r="A103" t="s">
        <v>227</v>
      </c>
      <c r="B103" s="14" t="s">
        <v>251</v>
      </c>
      <c r="C103" s="6">
        <v>6511.94</v>
      </c>
      <c r="D103" s="7">
        <v>46070</v>
      </c>
      <c r="F103" t="s">
        <v>228</v>
      </c>
    </row>
    <row r="104" spans="1:6">
      <c r="A104" t="s">
        <v>217</v>
      </c>
      <c r="B104" s="14" t="s">
        <v>259</v>
      </c>
      <c r="C104" s="6">
        <v>2940.87</v>
      </c>
      <c r="D104" s="7">
        <v>46070</v>
      </c>
      <c r="F104" t="s">
        <v>218</v>
      </c>
    </row>
    <row r="105" spans="1:6">
      <c r="A105" t="s">
        <v>232</v>
      </c>
      <c r="B105" s="14" t="s">
        <v>251</v>
      </c>
      <c r="C105" s="6">
        <v>6511.94</v>
      </c>
      <c r="D105" s="7">
        <v>46070</v>
      </c>
      <c r="F105" t="s">
        <v>233</v>
      </c>
    </row>
    <row r="106" spans="1:6">
      <c r="A106" t="s">
        <v>238</v>
      </c>
      <c r="B106" s="14" t="s">
        <v>260</v>
      </c>
      <c r="C106" s="6">
        <v>3464.63</v>
      </c>
      <c r="D106" s="7">
        <v>46070</v>
      </c>
      <c r="F106" t="s">
        <v>239</v>
      </c>
    </row>
    <row r="107" spans="1:6">
      <c r="A107" t="s">
        <v>166</v>
      </c>
      <c r="B107" s="14" t="s">
        <v>261</v>
      </c>
      <c r="C107" s="6">
        <v>2132.08</v>
      </c>
      <c r="D107" s="7">
        <v>46070</v>
      </c>
      <c r="F107" t="s">
        <v>167</v>
      </c>
    </row>
    <row r="108" spans="1:6">
      <c r="A108" t="s">
        <v>240</v>
      </c>
      <c r="B108" s="14" t="s">
        <v>251</v>
      </c>
      <c r="C108" s="6">
        <v>6511.94</v>
      </c>
      <c r="D108" s="7">
        <v>46070</v>
      </c>
      <c r="F108" t="s">
        <v>241</v>
      </c>
    </row>
    <row r="109" spans="1:6">
      <c r="A109" t="s">
        <v>188</v>
      </c>
      <c r="B109" s="14" t="s">
        <v>251</v>
      </c>
      <c r="C109" s="6">
        <v>6737.74</v>
      </c>
      <c r="D109" s="7">
        <v>46070</v>
      </c>
      <c r="F109" t="s">
        <v>189</v>
      </c>
    </row>
    <row r="110" spans="1:6">
      <c r="A110" t="s">
        <v>180</v>
      </c>
      <c r="B110" s="14" t="s">
        <v>251</v>
      </c>
      <c r="C110" s="6">
        <v>7584.46</v>
      </c>
      <c r="D110" s="7">
        <v>46070</v>
      </c>
      <c r="F110" t="s">
        <v>181</v>
      </c>
    </row>
    <row r="111" spans="1:6">
      <c r="A111" t="s">
        <v>178</v>
      </c>
      <c r="B111" s="14" t="s">
        <v>251</v>
      </c>
      <c r="C111" s="6">
        <v>7584.46</v>
      </c>
      <c r="D111" s="7">
        <v>46070</v>
      </c>
      <c r="F111" t="s">
        <v>179</v>
      </c>
    </row>
    <row r="112" spans="1:6">
      <c r="A112" t="s">
        <v>172</v>
      </c>
      <c r="B112" s="14" t="s">
        <v>251</v>
      </c>
      <c r="C112" s="6">
        <v>6511.94</v>
      </c>
      <c r="D112" s="7">
        <v>46070</v>
      </c>
      <c r="F112" t="s">
        <v>173</v>
      </c>
    </row>
    <row r="113" spans="1:6">
      <c r="A113" t="s">
        <v>196</v>
      </c>
      <c r="B113" s="14" t="s">
        <v>262</v>
      </c>
      <c r="C113" s="6">
        <v>5063.7</v>
      </c>
      <c r="D113" s="7">
        <v>46070</v>
      </c>
      <c r="F113" t="s">
        <v>197</v>
      </c>
    </row>
    <row r="114" spans="1:6">
      <c r="A114" t="s">
        <v>194</v>
      </c>
      <c r="B114" s="14" t="s">
        <v>263</v>
      </c>
      <c r="C114" s="6">
        <v>7728.8</v>
      </c>
      <c r="D114" s="7">
        <v>46070</v>
      </c>
      <c r="F114" t="s">
        <v>195</v>
      </c>
    </row>
    <row r="115" spans="1:6">
      <c r="A115" t="s">
        <v>190</v>
      </c>
      <c r="B115" s="14" t="s">
        <v>251</v>
      </c>
      <c r="C115" s="6">
        <v>6676.99</v>
      </c>
      <c r="D115" s="7">
        <v>46070</v>
      </c>
      <c r="F115" t="s">
        <v>191</v>
      </c>
    </row>
    <row r="116" spans="1:6">
      <c r="A116" t="s">
        <v>186</v>
      </c>
      <c r="B116" s="14" t="s">
        <v>264</v>
      </c>
      <c r="C116" s="6">
        <v>420.13</v>
      </c>
      <c r="D116" s="7">
        <v>46048</v>
      </c>
      <c r="F116" t="s">
        <v>187</v>
      </c>
    </row>
    <row r="117" spans="1:6">
      <c r="A117" t="s">
        <v>182</v>
      </c>
      <c r="B117" s="14" t="s">
        <v>265</v>
      </c>
      <c r="C117" s="6">
        <v>1332.55</v>
      </c>
      <c r="D117" s="7">
        <v>46043</v>
      </c>
      <c r="F117" t="s">
        <v>183</v>
      </c>
    </row>
    <row r="118" spans="1:6">
      <c r="A118" t="s">
        <v>232</v>
      </c>
      <c r="B118" s="14" t="s">
        <v>266</v>
      </c>
      <c r="C118" s="6">
        <v>2730.81</v>
      </c>
      <c r="D118" s="7">
        <v>46038</v>
      </c>
      <c r="F118" t="s">
        <v>233</v>
      </c>
    </row>
    <row r="119" spans="1:6">
      <c r="A119" t="s">
        <v>212</v>
      </c>
      <c r="B119" s="14" t="s">
        <v>267</v>
      </c>
      <c r="C119" s="6">
        <v>3997.66</v>
      </c>
      <c r="D119" s="7">
        <v>46038</v>
      </c>
      <c r="F119" t="s">
        <v>214</v>
      </c>
    </row>
    <row r="120" spans="1:6">
      <c r="A120" t="s">
        <v>184</v>
      </c>
      <c r="B120" s="14" t="s">
        <v>268</v>
      </c>
      <c r="C120" s="6">
        <v>6511.94</v>
      </c>
      <c r="D120" s="7">
        <v>46038</v>
      </c>
      <c r="F120" t="s">
        <v>185</v>
      </c>
    </row>
    <row r="121" spans="1:6">
      <c r="A121" t="s">
        <v>192</v>
      </c>
      <c r="B121" s="14" t="s">
        <v>268</v>
      </c>
      <c r="C121" s="6">
        <v>8261.82</v>
      </c>
      <c r="D121" s="7">
        <v>46038</v>
      </c>
      <c r="F121" t="s">
        <v>193</v>
      </c>
    </row>
    <row r="122" spans="1:6">
      <c r="A122" t="s">
        <v>190</v>
      </c>
      <c r="B122" s="14" t="s">
        <v>268</v>
      </c>
      <c r="C122" s="6">
        <v>6511.94</v>
      </c>
      <c r="D122" s="7">
        <v>46038</v>
      </c>
      <c r="F122" t="s">
        <v>191</v>
      </c>
    </row>
    <row r="123" spans="1:6">
      <c r="A123" t="s">
        <v>232</v>
      </c>
      <c r="B123" s="14" t="s">
        <v>268</v>
      </c>
      <c r="C123" s="6">
        <v>3489.63</v>
      </c>
      <c r="D123" s="7">
        <v>46038</v>
      </c>
      <c r="F123" t="s">
        <v>233</v>
      </c>
    </row>
    <row r="124" spans="1:6">
      <c r="A124" t="s">
        <v>204</v>
      </c>
      <c r="B124" s="14" t="s">
        <v>269</v>
      </c>
      <c r="C124" s="6">
        <v>6059.22</v>
      </c>
      <c r="D124" s="7">
        <v>46038</v>
      </c>
      <c r="F124" t="s">
        <v>205</v>
      </c>
    </row>
    <row r="125" spans="1:6">
      <c r="A125" t="s">
        <v>176</v>
      </c>
      <c r="B125" s="14" t="s">
        <v>268</v>
      </c>
      <c r="C125" s="6">
        <v>6668.27</v>
      </c>
      <c r="D125" s="7">
        <v>46038</v>
      </c>
      <c r="F125" t="s">
        <v>177</v>
      </c>
    </row>
    <row r="126" spans="1:6">
      <c r="A126" t="s">
        <v>270</v>
      </c>
      <c r="B126" s="14" t="s">
        <v>268</v>
      </c>
      <c r="C126" s="6">
        <v>630.19000000000005</v>
      </c>
      <c r="D126" s="7">
        <v>46038</v>
      </c>
      <c r="F126" t="s">
        <v>271</v>
      </c>
    </row>
    <row r="127" spans="1:6">
      <c r="A127" t="s">
        <v>210</v>
      </c>
      <c r="B127" s="14" t="s">
        <v>268</v>
      </c>
      <c r="C127" s="6">
        <v>6668.27</v>
      </c>
      <c r="D127" s="7">
        <v>46038</v>
      </c>
      <c r="F127" t="s">
        <v>211</v>
      </c>
    </row>
    <row r="128" spans="1:6">
      <c r="A128" t="s">
        <v>206</v>
      </c>
      <c r="B128" s="14" t="s">
        <v>272</v>
      </c>
      <c r="C128" s="6">
        <v>5792.71</v>
      </c>
      <c r="D128" s="7">
        <v>46038</v>
      </c>
      <c r="F128" t="s">
        <v>207</v>
      </c>
    </row>
    <row r="129" spans="1:6">
      <c r="A129" t="s">
        <v>208</v>
      </c>
      <c r="B129" s="14" t="s">
        <v>268</v>
      </c>
      <c r="C129" s="6">
        <v>6670.94</v>
      </c>
      <c r="D129" s="7">
        <v>46038</v>
      </c>
      <c r="F129" t="s">
        <v>209</v>
      </c>
    </row>
    <row r="130" spans="1:6">
      <c r="A130" t="s">
        <v>240</v>
      </c>
      <c r="B130" s="14" t="s">
        <v>268</v>
      </c>
      <c r="C130" s="6">
        <v>6511.94</v>
      </c>
      <c r="D130" s="7">
        <v>46038</v>
      </c>
      <c r="F130" t="s">
        <v>241</v>
      </c>
    </row>
    <row r="131" spans="1:6">
      <c r="A131" t="s">
        <v>234</v>
      </c>
      <c r="B131" s="14" t="s">
        <v>268</v>
      </c>
      <c r="C131" s="6">
        <v>6511.94</v>
      </c>
      <c r="D131" s="7">
        <v>46038</v>
      </c>
      <c r="F131" t="s">
        <v>235</v>
      </c>
    </row>
    <row r="132" spans="1:6">
      <c r="A132" t="s">
        <v>198</v>
      </c>
      <c r="B132" s="14" t="s">
        <v>268</v>
      </c>
      <c r="C132" s="6">
        <v>8261.82</v>
      </c>
      <c r="D132" s="7">
        <v>46038</v>
      </c>
      <c r="F132" t="s">
        <v>199</v>
      </c>
    </row>
    <row r="133" spans="1:6">
      <c r="A133" t="s">
        <v>273</v>
      </c>
      <c r="B133" s="14" t="s">
        <v>274</v>
      </c>
      <c r="C133" s="6">
        <v>5371.05</v>
      </c>
      <c r="D133" s="7">
        <v>46038</v>
      </c>
      <c r="F133" t="s">
        <v>275</v>
      </c>
    </row>
    <row r="134" spans="1:6">
      <c r="A134" t="s">
        <v>276</v>
      </c>
      <c r="B134" s="14" t="s">
        <v>268</v>
      </c>
      <c r="C134" s="6">
        <v>4264.17</v>
      </c>
      <c r="D134" s="7">
        <v>46038</v>
      </c>
      <c r="F134" t="s">
        <v>277</v>
      </c>
    </row>
    <row r="135" spans="1:6">
      <c r="A135" t="s">
        <v>154</v>
      </c>
      <c r="B135" s="14" t="s">
        <v>268</v>
      </c>
      <c r="C135" s="6">
        <v>6668.27</v>
      </c>
      <c r="D135" s="7">
        <v>46038</v>
      </c>
      <c r="F135" t="s">
        <v>155</v>
      </c>
    </row>
    <row r="136" spans="1:6">
      <c r="A136" t="s">
        <v>180</v>
      </c>
      <c r="B136" s="14" t="s">
        <v>268</v>
      </c>
      <c r="C136" s="6">
        <v>8261.82</v>
      </c>
      <c r="D136" s="7">
        <v>46038</v>
      </c>
      <c r="F136" t="s">
        <v>181</v>
      </c>
    </row>
    <row r="137" spans="1:6">
      <c r="A137" t="s">
        <v>278</v>
      </c>
      <c r="B137" s="14" t="s">
        <v>268</v>
      </c>
      <c r="C137" s="6">
        <v>1890.57</v>
      </c>
      <c r="D137" s="7">
        <v>46038</v>
      </c>
      <c r="F137" t="s">
        <v>279</v>
      </c>
    </row>
    <row r="138" spans="1:6">
      <c r="A138" t="s">
        <v>255</v>
      </c>
      <c r="B138" s="14" t="s">
        <v>268</v>
      </c>
      <c r="C138" s="6">
        <v>8261.82</v>
      </c>
      <c r="D138" s="7">
        <v>46038</v>
      </c>
      <c r="F138" t="s">
        <v>256</v>
      </c>
    </row>
    <row r="139" spans="1:6">
      <c r="A139" t="s">
        <v>156</v>
      </c>
      <c r="B139" s="14" t="s">
        <v>268</v>
      </c>
      <c r="C139" s="6">
        <v>7810.24</v>
      </c>
      <c r="D139" s="7">
        <v>46038</v>
      </c>
      <c r="F139" t="s">
        <v>157</v>
      </c>
    </row>
    <row r="140" spans="1:6">
      <c r="A140" t="s">
        <v>252</v>
      </c>
      <c r="B140" s="14" t="s">
        <v>268</v>
      </c>
      <c r="C140" s="6">
        <v>6511.94</v>
      </c>
      <c r="D140" s="7">
        <v>46038</v>
      </c>
      <c r="F140" t="s">
        <v>253</v>
      </c>
    </row>
    <row r="141" spans="1:6">
      <c r="A141" t="s">
        <v>188</v>
      </c>
      <c r="B141" s="14" t="s">
        <v>268</v>
      </c>
      <c r="C141" s="6">
        <v>8261.82</v>
      </c>
      <c r="D141" s="7">
        <v>46038</v>
      </c>
      <c r="F141" t="s">
        <v>189</v>
      </c>
    </row>
    <row r="142" spans="1:6">
      <c r="A142" t="s">
        <v>227</v>
      </c>
      <c r="B142" s="14" t="s">
        <v>268</v>
      </c>
      <c r="C142" s="6">
        <v>6668.27</v>
      </c>
      <c r="D142" s="7">
        <v>46038</v>
      </c>
      <c r="F142" t="s">
        <v>228</v>
      </c>
    </row>
    <row r="143" spans="1:6">
      <c r="A143" t="s">
        <v>200</v>
      </c>
      <c r="B143" s="14" t="s">
        <v>268</v>
      </c>
      <c r="C143" s="6">
        <v>8144.26</v>
      </c>
      <c r="D143" s="7">
        <v>46038</v>
      </c>
      <c r="F143" t="s">
        <v>201</v>
      </c>
    </row>
    <row r="144" spans="1:6">
      <c r="A144" t="s">
        <v>178</v>
      </c>
      <c r="B144" s="14" t="s">
        <v>268</v>
      </c>
      <c r="C144" s="6">
        <v>8261.82</v>
      </c>
      <c r="D144" s="7">
        <v>46038</v>
      </c>
      <c r="F144" t="s">
        <v>179</v>
      </c>
    </row>
    <row r="145" spans="1:6">
      <c r="A145" t="s">
        <v>225</v>
      </c>
      <c r="B145" s="14" t="s">
        <v>268</v>
      </c>
      <c r="C145" s="6">
        <v>6511.94</v>
      </c>
      <c r="D145" s="7">
        <v>46038</v>
      </c>
      <c r="F145" t="s">
        <v>226</v>
      </c>
    </row>
    <row r="146" spans="1:6">
      <c r="A146" t="s">
        <v>172</v>
      </c>
      <c r="B146" s="14" t="s">
        <v>268</v>
      </c>
      <c r="C146" s="6">
        <v>6511.94</v>
      </c>
      <c r="D146" s="7">
        <v>46038</v>
      </c>
      <c r="F146" t="s">
        <v>173</v>
      </c>
    </row>
    <row r="147" spans="1:6">
      <c r="A147" t="s">
        <v>230</v>
      </c>
      <c r="B147" s="14" t="s">
        <v>268</v>
      </c>
      <c r="C147" s="6">
        <v>6624.84</v>
      </c>
      <c r="D147" s="7">
        <v>46038</v>
      </c>
      <c r="F147" t="s">
        <v>231</v>
      </c>
    </row>
    <row r="148" spans="1:6">
      <c r="A148" t="s">
        <v>234</v>
      </c>
      <c r="B148" s="14" t="s">
        <v>280</v>
      </c>
      <c r="C148" s="6">
        <v>7882.41</v>
      </c>
      <c r="D148" s="7">
        <v>46013</v>
      </c>
      <c r="F148" t="s">
        <v>235</v>
      </c>
    </row>
    <row r="149" spans="1:6">
      <c r="A149" t="s">
        <v>276</v>
      </c>
      <c r="B149" s="14" t="s">
        <v>281</v>
      </c>
      <c r="C149" s="6">
        <v>6059.22</v>
      </c>
      <c r="D149" s="7">
        <v>46010</v>
      </c>
      <c r="F149" t="s">
        <v>277</v>
      </c>
    </row>
    <row r="150" spans="1:6">
      <c r="A150" t="s">
        <v>178</v>
      </c>
      <c r="B150" s="14" t="s">
        <v>282</v>
      </c>
      <c r="C150" s="6">
        <v>2665.1</v>
      </c>
      <c r="D150" s="7">
        <v>46007</v>
      </c>
      <c r="F150" t="s">
        <v>179</v>
      </c>
    </row>
    <row r="151" spans="1:6">
      <c r="A151" t="s">
        <v>200</v>
      </c>
      <c r="B151" s="14" t="s">
        <v>283</v>
      </c>
      <c r="C151" s="6">
        <v>2101.75</v>
      </c>
      <c r="D151" s="7">
        <v>46007</v>
      </c>
      <c r="F151" t="s">
        <v>201</v>
      </c>
    </row>
    <row r="152" spans="1:6">
      <c r="A152" t="s">
        <v>255</v>
      </c>
      <c r="B152" s="14" t="s">
        <v>284</v>
      </c>
      <c r="C152" s="6">
        <v>2398.59</v>
      </c>
      <c r="D152" s="7">
        <v>46007</v>
      </c>
      <c r="F152" t="s">
        <v>256</v>
      </c>
    </row>
    <row r="153" spans="1:6">
      <c r="A153" t="s">
        <v>180</v>
      </c>
      <c r="B153" s="14" t="s">
        <v>282</v>
      </c>
      <c r="C153" s="6">
        <v>2665.1</v>
      </c>
      <c r="D153" s="7">
        <v>46007</v>
      </c>
      <c r="F153" t="s">
        <v>181</v>
      </c>
    </row>
    <row r="154" spans="1:6">
      <c r="A154" t="s">
        <v>225</v>
      </c>
      <c r="B154" s="14" t="s">
        <v>280</v>
      </c>
      <c r="C154" s="6">
        <v>6301.88</v>
      </c>
      <c r="D154" s="7">
        <v>46006</v>
      </c>
      <c r="F154" t="s">
        <v>226</v>
      </c>
    </row>
    <row r="155" spans="1:6">
      <c r="A155" t="s">
        <v>208</v>
      </c>
      <c r="B155" s="14" t="s">
        <v>280</v>
      </c>
      <c r="C155" s="6">
        <v>7148.59</v>
      </c>
      <c r="D155" s="7">
        <v>46006</v>
      </c>
      <c r="F155" t="s">
        <v>209</v>
      </c>
    </row>
    <row r="156" spans="1:6">
      <c r="A156" t="s">
        <v>172</v>
      </c>
      <c r="B156" s="14" t="s">
        <v>280</v>
      </c>
      <c r="C156" s="6">
        <v>6301.88</v>
      </c>
      <c r="D156" s="7">
        <v>46006</v>
      </c>
      <c r="F156" t="s">
        <v>173</v>
      </c>
    </row>
    <row r="157" spans="1:6">
      <c r="A157" t="s">
        <v>285</v>
      </c>
      <c r="B157" s="14" t="s">
        <v>280</v>
      </c>
      <c r="C157" s="6">
        <v>3671.01</v>
      </c>
      <c r="D157" s="7">
        <v>46006</v>
      </c>
      <c r="F157" t="s">
        <v>286</v>
      </c>
    </row>
    <row r="158" spans="1:6">
      <c r="A158" t="s">
        <v>230</v>
      </c>
      <c r="B158" s="14" t="s">
        <v>280</v>
      </c>
      <c r="C158" s="6">
        <v>7995.31</v>
      </c>
      <c r="D158" s="7">
        <v>46006</v>
      </c>
      <c r="F158" t="s">
        <v>231</v>
      </c>
    </row>
    <row r="159" spans="1:6">
      <c r="A159" t="s">
        <v>278</v>
      </c>
      <c r="B159" s="14" t="s">
        <v>280</v>
      </c>
      <c r="C159" s="6">
        <v>6809.9</v>
      </c>
      <c r="D159" s="7">
        <v>46006</v>
      </c>
      <c r="F159" t="s">
        <v>279</v>
      </c>
    </row>
    <row r="160" spans="1:6">
      <c r="A160" t="s">
        <v>156</v>
      </c>
      <c r="B160" s="14" t="s">
        <v>287</v>
      </c>
      <c r="C160" s="6">
        <v>6858.76</v>
      </c>
      <c r="D160" s="7">
        <v>46006</v>
      </c>
      <c r="F160" t="s">
        <v>157</v>
      </c>
    </row>
    <row r="161" spans="1:6">
      <c r="A161" t="s">
        <v>227</v>
      </c>
      <c r="B161" s="14" t="s">
        <v>280</v>
      </c>
      <c r="C161" s="6">
        <v>6866.35</v>
      </c>
      <c r="D161" s="7">
        <v>46006</v>
      </c>
      <c r="F161" t="s">
        <v>228</v>
      </c>
    </row>
    <row r="162" spans="1:6">
      <c r="A162" t="s">
        <v>188</v>
      </c>
      <c r="B162" s="14" t="s">
        <v>287</v>
      </c>
      <c r="C162" s="6">
        <v>6858.76</v>
      </c>
      <c r="D162" s="7">
        <v>46006</v>
      </c>
      <c r="F162" t="s">
        <v>189</v>
      </c>
    </row>
    <row r="163" spans="1:6">
      <c r="A163" t="s">
        <v>252</v>
      </c>
      <c r="B163" s="14" t="s">
        <v>280</v>
      </c>
      <c r="C163" s="6">
        <v>6301.88</v>
      </c>
      <c r="D163" s="7">
        <v>46006</v>
      </c>
      <c r="F163" t="s">
        <v>253</v>
      </c>
    </row>
    <row r="164" spans="1:6">
      <c r="A164" t="s">
        <v>255</v>
      </c>
      <c r="B164" s="14" t="s">
        <v>280</v>
      </c>
      <c r="C164" s="6">
        <v>1865.57</v>
      </c>
      <c r="D164" s="7">
        <v>46006</v>
      </c>
      <c r="F164" t="s">
        <v>256</v>
      </c>
    </row>
    <row r="165" spans="1:6">
      <c r="A165" t="s">
        <v>198</v>
      </c>
      <c r="B165" s="14" t="s">
        <v>288</v>
      </c>
      <c r="C165" s="6">
        <v>6325.73</v>
      </c>
      <c r="D165" s="7">
        <v>46006</v>
      </c>
      <c r="F165" t="s">
        <v>199</v>
      </c>
    </row>
    <row r="166" spans="1:6">
      <c r="A166" t="s">
        <v>232</v>
      </c>
      <c r="B166" s="14" t="s">
        <v>280</v>
      </c>
      <c r="C166" s="6">
        <v>7995.31</v>
      </c>
      <c r="D166" s="7">
        <v>46006</v>
      </c>
      <c r="F166" t="s">
        <v>233</v>
      </c>
    </row>
    <row r="167" spans="1:6">
      <c r="A167" t="s">
        <v>240</v>
      </c>
      <c r="B167" s="14" t="s">
        <v>280</v>
      </c>
      <c r="C167" s="6">
        <v>6301.88</v>
      </c>
      <c r="D167" s="7">
        <v>46006</v>
      </c>
      <c r="F167" t="s">
        <v>241</v>
      </c>
    </row>
    <row r="168" spans="1:6">
      <c r="A168" t="s">
        <v>176</v>
      </c>
      <c r="B168" s="14" t="s">
        <v>280</v>
      </c>
      <c r="C168" s="6">
        <v>6527.67</v>
      </c>
      <c r="D168" s="7">
        <v>46006</v>
      </c>
      <c r="F168" t="s">
        <v>177</v>
      </c>
    </row>
    <row r="169" spans="1:6">
      <c r="A169" t="s">
        <v>184</v>
      </c>
      <c r="B169" s="14" t="s">
        <v>280</v>
      </c>
      <c r="C169" s="6">
        <v>6301.88</v>
      </c>
      <c r="D169" s="7">
        <v>46006</v>
      </c>
      <c r="F169" t="s">
        <v>185</v>
      </c>
    </row>
    <row r="170" spans="1:6">
      <c r="A170" t="s">
        <v>192</v>
      </c>
      <c r="B170" s="14" t="s">
        <v>288</v>
      </c>
      <c r="C170" s="6">
        <v>6325.73</v>
      </c>
      <c r="D170" s="7">
        <v>46006</v>
      </c>
      <c r="F170" t="s">
        <v>193</v>
      </c>
    </row>
    <row r="171" spans="1:6">
      <c r="A171" t="s">
        <v>289</v>
      </c>
      <c r="B171" s="14" t="s">
        <v>280</v>
      </c>
      <c r="C171" s="6">
        <v>3464.63</v>
      </c>
      <c r="D171" s="7">
        <v>46006</v>
      </c>
      <c r="F171" t="s">
        <v>290</v>
      </c>
    </row>
    <row r="172" spans="1:6">
      <c r="A172" t="s">
        <v>190</v>
      </c>
      <c r="B172" s="14" t="s">
        <v>280</v>
      </c>
      <c r="C172" s="6">
        <v>6301.88</v>
      </c>
      <c r="D172" s="7">
        <v>46006</v>
      </c>
      <c r="F172" t="s">
        <v>191</v>
      </c>
    </row>
    <row r="173" spans="1:6">
      <c r="A173" t="s">
        <v>270</v>
      </c>
      <c r="B173" s="14" t="s">
        <v>280</v>
      </c>
      <c r="C173" s="6">
        <v>6301.88</v>
      </c>
      <c r="D173" s="7">
        <v>46006</v>
      </c>
      <c r="F173" t="s">
        <v>271</v>
      </c>
    </row>
    <row r="174" spans="1:6">
      <c r="A174" t="s">
        <v>154</v>
      </c>
      <c r="B174" s="14" t="s">
        <v>280</v>
      </c>
      <c r="C174" s="6">
        <v>6301.88</v>
      </c>
      <c r="D174" s="7">
        <v>46006</v>
      </c>
      <c r="F174" t="s">
        <v>155</v>
      </c>
    </row>
    <row r="175" spans="1:6">
      <c r="A175" t="s">
        <v>210</v>
      </c>
      <c r="B175" s="14" t="s">
        <v>280</v>
      </c>
      <c r="C175" s="6">
        <v>6809.9</v>
      </c>
      <c r="D175" s="7">
        <v>46006</v>
      </c>
      <c r="F175" t="s">
        <v>211</v>
      </c>
    </row>
    <row r="176" spans="1:6">
      <c r="A176" t="s">
        <v>291</v>
      </c>
      <c r="B176" s="14" t="s">
        <v>292</v>
      </c>
      <c r="C176" s="6">
        <v>5870.76</v>
      </c>
      <c r="D176" s="7">
        <v>46006</v>
      </c>
      <c r="F176" t="s">
        <v>293</v>
      </c>
    </row>
    <row r="177" spans="1:6">
      <c r="A177" t="s">
        <v>232</v>
      </c>
      <c r="B177" s="14" t="s">
        <v>294</v>
      </c>
      <c r="C177" s="6">
        <v>6592.24</v>
      </c>
      <c r="D177" s="7">
        <v>45994</v>
      </c>
      <c r="F177" t="s">
        <v>233</v>
      </c>
    </row>
    <row r="178" spans="1:6">
      <c r="A178" t="s">
        <v>190</v>
      </c>
      <c r="B178" s="14" t="s">
        <v>295</v>
      </c>
      <c r="C178" s="6">
        <v>3977.12</v>
      </c>
      <c r="D178" s="7">
        <v>45980</v>
      </c>
      <c r="F178" t="s">
        <v>191</v>
      </c>
    </row>
    <row r="179" spans="1:6">
      <c r="A179" t="s">
        <v>225</v>
      </c>
      <c r="B179" s="14" t="s">
        <v>296</v>
      </c>
      <c r="C179" s="6">
        <v>6707.94</v>
      </c>
      <c r="D179" s="7">
        <v>45978</v>
      </c>
      <c r="F179" t="s">
        <v>226</v>
      </c>
    </row>
    <row r="180" spans="1:6">
      <c r="A180" t="s">
        <v>297</v>
      </c>
      <c r="B180" s="14" t="s">
        <v>298</v>
      </c>
      <c r="C180" s="6">
        <v>2665.1</v>
      </c>
      <c r="D180" s="7">
        <v>45978</v>
      </c>
      <c r="F180" t="s">
        <v>299</v>
      </c>
    </row>
    <row r="181" spans="1:6">
      <c r="A181" t="s">
        <v>230</v>
      </c>
      <c r="B181" s="14" t="s">
        <v>300</v>
      </c>
      <c r="C181" s="6">
        <v>7658.29</v>
      </c>
      <c r="D181" s="7">
        <v>45978</v>
      </c>
      <c r="F181" t="s">
        <v>231</v>
      </c>
    </row>
    <row r="182" spans="1:6">
      <c r="A182" t="s">
        <v>172</v>
      </c>
      <c r="B182" s="14" t="s">
        <v>296</v>
      </c>
      <c r="C182" s="6">
        <v>8036.03</v>
      </c>
      <c r="D182" s="7">
        <v>45978</v>
      </c>
      <c r="F182" t="s">
        <v>173</v>
      </c>
    </row>
    <row r="183" spans="1:6">
      <c r="A183" t="s">
        <v>208</v>
      </c>
      <c r="B183" s="14" t="s">
        <v>296</v>
      </c>
      <c r="C183" s="6">
        <v>8261.82</v>
      </c>
      <c r="D183" s="7">
        <v>45978</v>
      </c>
      <c r="F183" t="s">
        <v>209</v>
      </c>
    </row>
    <row r="184" spans="1:6">
      <c r="A184" t="s">
        <v>234</v>
      </c>
      <c r="B184" s="14" t="s">
        <v>296</v>
      </c>
      <c r="C184" s="6">
        <v>8261.82</v>
      </c>
      <c r="D184" s="7">
        <v>45978</v>
      </c>
      <c r="F184" t="s">
        <v>235</v>
      </c>
    </row>
    <row r="185" spans="1:6">
      <c r="A185" t="s">
        <v>278</v>
      </c>
      <c r="B185" s="14" t="s">
        <v>296</v>
      </c>
      <c r="C185" s="6">
        <v>8261.82</v>
      </c>
      <c r="D185" s="7">
        <v>45978</v>
      </c>
      <c r="F185" t="s">
        <v>279</v>
      </c>
    </row>
    <row r="186" spans="1:6">
      <c r="A186" t="s">
        <v>285</v>
      </c>
      <c r="B186" s="14" t="s">
        <v>301</v>
      </c>
      <c r="C186" s="6">
        <v>2132.08</v>
      </c>
      <c r="D186" s="7">
        <v>45978</v>
      </c>
      <c r="F186" t="s">
        <v>286</v>
      </c>
    </row>
    <row r="187" spans="1:6">
      <c r="A187" t="s">
        <v>156</v>
      </c>
      <c r="B187" s="14" t="s">
        <v>302</v>
      </c>
      <c r="C187" s="6">
        <v>3198.12</v>
      </c>
      <c r="D187" s="7">
        <v>45978</v>
      </c>
      <c r="F187" t="s">
        <v>157</v>
      </c>
    </row>
    <row r="188" spans="1:6">
      <c r="A188" t="s">
        <v>184</v>
      </c>
      <c r="B188" s="14" t="s">
        <v>296</v>
      </c>
      <c r="C188" s="6">
        <v>6850.63</v>
      </c>
      <c r="D188" s="7">
        <v>45978</v>
      </c>
      <c r="F188" t="s">
        <v>185</v>
      </c>
    </row>
    <row r="189" spans="1:6">
      <c r="A189" t="s">
        <v>289</v>
      </c>
      <c r="B189" s="14" t="s">
        <v>296</v>
      </c>
      <c r="C189" s="6">
        <v>8261.82</v>
      </c>
      <c r="D189" s="7">
        <v>45978</v>
      </c>
      <c r="F189" t="s">
        <v>290</v>
      </c>
    </row>
    <row r="190" spans="1:6">
      <c r="A190" t="s">
        <v>270</v>
      </c>
      <c r="B190" s="14" t="s">
        <v>296</v>
      </c>
      <c r="C190" s="6">
        <v>6681.29</v>
      </c>
      <c r="D190" s="7">
        <v>45978</v>
      </c>
      <c r="F190" t="s">
        <v>271</v>
      </c>
    </row>
    <row r="191" spans="1:6">
      <c r="A191" t="s">
        <v>154</v>
      </c>
      <c r="B191" s="14" t="s">
        <v>296</v>
      </c>
      <c r="C191" s="6">
        <v>6670.94</v>
      </c>
      <c r="D191" s="7">
        <v>45978</v>
      </c>
      <c r="F191" t="s">
        <v>155</v>
      </c>
    </row>
    <row r="192" spans="1:6">
      <c r="A192" t="s">
        <v>210</v>
      </c>
      <c r="B192" s="14" t="s">
        <v>296</v>
      </c>
      <c r="C192" s="6">
        <v>8261.82</v>
      </c>
      <c r="D192" s="7">
        <v>45978</v>
      </c>
      <c r="F192" t="s">
        <v>211</v>
      </c>
    </row>
    <row r="193" spans="1:6">
      <c r="A193" t="s">
        <v>176</v>
      </c>
      <c r="B193" s="14" t="s">
        <v>296</v>
      </c>
      <c r="C193" s="6">
        <v>8261.82</v>
      </c>
      <c r="D193" s="7">
        <v>45978</v>
      </c>
      <c r="F193" t="s">
        <v>177</v>
      </c>
    </row>
    <row r="194" spans="1:6">
      <c r="A194" t="s">
        <v>227</v>
      </c>
      <c r="B194" s="14" t="s">
        <v>296</v>
      </c>
      <c r="C194" s="6">
        <v>8261.82</v>
      </c>
      <c r="D194" s="7">
        <v>45978</v>
      </c>
      <c r="F194" t="s">
        <v>228</v>
      </c>
    </row>
    <row r="195" spans="1:6">
      <c r="A195" t="s">
        <v>240</v>
      </c>
      <c r="B195" s="14" t="s">
        <v>296</v>
      </c>
      <c r="C195" s="6">
        <v>8036.03</v>
      </c>
      <c r="D195" s="7">
        <v>45978</v>
      </c>
      <c r="F195" t="s">
        <v>241</v>
      </c>
    </row>
    <row r="196" spans="1:6">
      <c r="A196" t="s">
        <v>252</v>
      </c>
      <c r="B196" s="14" t="s">
        <v>296</v>
      </c>
      <c r="C196" s="6">
        <v>7753.79</v>
      </c>
      <c r="D196" s="7">
        <v>45978</v>
      </c>
      <c r="F196" t="s">
        <v>253</v>
      </c>
    </row>
    <row r="197" spans="1:6">
      <c r="A197" t="s">
        <v>303</v>
      </c>
      <c r="B197" s="14" t="s">
        <v>296</v>
      </c>
      <c r="C197" s="6">
        <v>266.51</v>
      </c>
      <c r="D197" s="7">
        <v>45978</v>
      </c>
      <c r="F197" t="s">
        <v>304</v>
      </c>
    </row>
    <row r="198" spans="1:6">
      <c r="A198" t="s">
        <v>255</v>
      </c>
      <c r="B198" s="14" t="s">
        <v>301</v>
      </c>
      <c r="C198" s="6">
        <v>2132.08</v>
      </c>
      <c r="D198" s="7">
        <v>45978</v>
      </c>
      <c r="F198" t="s">
        <v>256</v>
      </c>
    </row>
    <row r="199" spans="1:6">
      <c r="A199" t="s">
        <v>305</v>
      </c>
      <c r="B199" s="14" t="s">
        <v>296</v>
      </c>
      <c r="C199" s="6">
        <v>420.13</v>
      </c>
      <c r="D199" s="7">
        <v>45971</v>
      </c>
      <c r="F199" t="s">
        <v>306</v>
      </c>
    </row>
    <row r="200" spans="1:6">
      <c r="A200" t="s">
        <v>305</v>
      </c>
      <c r="B200" s="14" t="s">
        <v>300</v>
      </c>
      <c r="C200" s="6">
        <v>4128.93</v>
      </c>
      <c r="D200" s="7">
        <v>45967</v>
      </c>
      <c r="F200" t="s">
        <v>306</v>
      </c>
    </row>
    <row r="201" spans="1:6">
      <c r="A201" t="s">
        <v>307</v>
      </c>
      <c r="B201" s="14" t="s">
        <v>296</v>
      </c>
      <c r="C201" s="6">
        <v>1509.59</v>
      </c>
      <c r="D201" s="7">
        <v>45966</v>
      </c>
      <c r="F201" t="s">
        <v>308</v>
      </c>
    </row>
    <row r="202" spans="1:6">
      <c r="A202" t="s">
        <v>305</v>
      </c>
      <c r="B202" s="14" t="s">
        <v>309</v>
      </c>
      <c r="C202" s="6">
        <v>4377.6400000000003</v>
      </c>
      <c r="D202" s="7">
        <v>45961</v>
      </c>
      <c r="F202" t="s">
        <v>306</v>
      </c>
    </row>
    <row r="203" spans="1:6">
      <c r="A203" t="s">
        <v>234</v>
      </c>
      <c r="B203" s="14" t="s">
        <v>310</v>
      </c>
      <c r="C203" s="6">
        <v>253.02</v>
      </c>
      <c r="D203" s="7">
        <v>45951</v>
      </c>
      <c r="F203" t="s">
        <v>235</v>
      </c>
    </row>
    <row r="204" spans="1:6">
      <c r="A204" t="s">
        <v>289</v>
      </c>
      <c r="B204" s="14" t="s">
        <v>311</v>
      </c>
      <c r="C204" s="6">
        <v>1771.13</v>
      </c>
      <c r="D204" s="7">
        <v>45950</v>
      </c>
      <c r="F204" t="s">
        <v>290</v>
      </c>
    </row>
    <row r="205" spans="1:6">
      <c r="A205" t="s">
        <v>305</v>
      </c>
      <c r="B205" s="14" t="s">
        <v>312</v>
      </c>
      <c r="C205" s="6">
        <v>2530.1799999999998</v>
      </c>
      <c r="D205" s="7">
        <v>45945</v>
      </c>
      <c r="F205" t="s">
        <v>306</v>
      </c>
    </row>
    <row r="206" spans="1:6">
      <c r="A206" t="s">
        <v>208</v>
      </c>
      <c r="B206" s="14" t="s">
        <v>313</v>
      </c>
      <c r="C206" s="6">
        <v>3542.26</v>
      </c>
      <c r="D206" s="7">
        <v>45945</v>
      </c>
      <c r="F206" t="s">
        <v>209</v>
      </c>
    </row>
    <row r="207" spans="1:6">
      <c r="A207" t="s">
        <v>176</v>
      </c>
      <c r="B207" s="14" t="s">
        <v>314</v>
      </c>
      <c r="C207" s="6">
        <v>6521.47</v>
      </c>
      <c r="D207" s="7">
        <v>45945</v>
      </c>
      <c r="F207" t="s">
        <v>177</v>
      </c>
    </row>
    <row r="208" spans="1:6">
      <c r="A208" t="s">
        <v>184</v>
      </c>
      <c r="B208" s="14" t="s">
        <v>312</v>
      </c>
      <c r="C208" s="6">
        <v>7590.56</v>
      </c>
      <c r="D208" s="7">
        <v>45945</v>
      </c>
      <c r="F208" t="s">
        <v>185</v>
      </c>
    </row>
    <row r="209" spans="1:6">
      <c r="A209" t="s">
        <v>270</v>
      </c>
      <c r="B209" s="14" t="s">
        <v>312</v>
      </c>
      <c r="C209" s="6">
        <v>7590.56</v>
      </c>
      <c r="D209" s="7">
        <v>45945</v>
      </c>
      <c r="F209" t="s">
        <v>271</v>
      </c>
    </row>
    <row r="210" spans="1:6">
      <c r="A210" t="s">
        <v>154</v>
      </c>
      <c r="B210" s="14" t="s">
        <v>312</v>
      </c>
      <c r="C210" s="6">
        <v>5979.11</v>
      </c>
      <c r="D210" s="7">
        <v>45945</v>
      </c>
      <c r="F210" t="s">
        <v>155</v>
      </c>
    </row>
    <row r="211" spans="1:6">
      <c r="A211" t="s">
        <v>240</v>
      </c>
      <c r="B211" s="14" t="s">
        <v>312</v>
      </c>
      <c r="C211" s="6">
        <v>7590.56</v>
      </c>
      <c r="D211" s="7">
        <v>45945</v>
      </c>
      <c r="F211" t="s">
        <v>241</v>
      </c>
    </row>
    <row r="212" spans="1:6">
      <c r="A212" t="s">
        <v>227</v>
      </c>
      <c r="B212" s="14" t="s">
        <v>309</v>
      </c>
      <c r="C212" s="6">
        <v>4807.3500000000004</v>
      </c>
      <c r="D212" s="7">
        <v>45945</v>
      </c>
      <c r="F212" t="s">
        <v>228</v>
      </c>
    </row>
    <row r="213" spans="1:6">
      <c r="A213" t="s">
        <v>225</v>
      </c>
      <c r="B213" s="14" t="s">
        <v>312</v>
      </c>
      <c r="C213" s="6">
        <v>6569.98</v>
      </c>
      <c r="D213" s="7">
        <v>45945</v>
      </c>
      <c r="F213" t="s">
        <v>226</v>
      </c>
    </row>
    <row r="214" spans="1:6">
      <c r="A214" t="s">
        <v>303</v>
      </c>
      <c r="B214" s="14" t="s">
        <v>313</v>
      </c>
      <c r="C214" s="6">
        <v>3542.26</v>
      </c>
      <c r="D214" s="7">
        <v>45945</v>
      </c>
      <c r="F214" t="s">
        <v>304</v>
      </c>
    </row>
    <row r="215" spans="1:6">
      <c r="A215" t="s">
        <v>252</v>
      </c>
      <c r="B215" s="14" t="s">
        <v>312</v>
      </c>
      <c r="C215" s="6">
        <v>7590.56</v>
      </c>
      <c r="D215" s="7">
        <v>45945</v>
      </c>
      <c r="F215" t="s">
        <v>253</v>
      </c>
    </row>
    <row r="216" spans="1:6">
      <c r="A216" t="s">
        <v>278</v>
      </c>
      <c r="B216" s="14" t="s">
        <v>315</v>
      </c>
      <c r="C216" s="6">
        <v>5256.38</v>
      </c>
      <c r="D216" s="7">
        <v>45945</v>
      </c>
      <c r="F216" t="s">
        <v>279</v>
      </c>
    </row>
    <row r="217" spans="1:6">
      <c r="A217" t="s">
        <v>316</v>
      </c>
      <c r="B217" s="14" t="s">
        <v>312</v>
      </c>
      <c r="C217" s="6">
        <v>4554.33</v>
      </c>
      <c r="D217" s="7">
        <v>45945</v>
      </c>
      <c r="F217" t="s">
        <v>317</v>
      </c>
    </row>
    <row r="218" spans="1:6">
      <c r="A218" t="s">
        <v>172</v>
      </c>
      <c r="B218" s="14" t="s">
        <v>312</v>
      </c>
      <c r="C218" s="6">
        <v>7590.56</v>
      </c>
      <c r="D218" s="7">
        <v>45945</v>
      </c>
      <c r="F218" t="s">
        <v>173</v>
      </c>
    </row>
    <row r="219" spans="1:6">
      <c r="A219" t="s">
        <v>210</v>
      </c>
      <c r="B219" s="14" t="s">
        <v>315</v>
      </c>
      <c r="C219" s="6">
        <v>5256.38</v>
      </c>
      <c r="D219" s="7">
        <v>45945</v>
      </c>
      <c r="F219" t="s">
        <v>211</v>
      </c>
    </row>
    <row r="220" spans="1:6">
      <c r="A220" t="s">
        <v>172</v>
      </c>
      <c r="B220" s="14" t="s">
        <v>318</v>
      </c>
      <c r="C220" s="6">
        <v>759.06</v>
      </c>
      <c r="D220" s="7">
        <v>45923</v>
      </c>
      <c r="F220" t="s">
        <v>173</v>
      </c>
    </row>
    <row r="221" spans="1:6">
      <c r="A221" t="s">
        <v>240</v>
      </c>
      <c r="B221" s="14" t="s">
        <v>318</v>
      </c>
      <c r="C221" s="6">
        <v>759.06</v>
      </c>
      <c r="D221" s="7">
        <v>45923</v>
      </c>
      <c r="F221" t="s">
        <v>241</v>
      </c>
    </row>
    <row r="222" spans="1:6">
      <c r="A222" t="s">
        <v>319</v>
      </c>
      <c r="B222" s="14" t="s">
        <v>320</v>
      </c>
      <c r="C222" s="6">
        <v>2192.34</v>
      </c>
      <c r="D222" s="7">
        <v>45916</v>
      </c>
      <c r="F222" t="s">
        <v>321</v>
      </c>
    </row>
    <row r="223" spans="1:6">
      <c r="A223" t="s">
        <v>322</v>
      </c>
      <c r="B223" s="14" t="s">
        <v>323</v>
      </c>
      <c r="C223" s="6">
        <v>3479.69</v>
      </c>
      <c r="D223" s="7">
        <v>45916</v>
      </c>
      <c r="F223" t="s">
        <v>324</v>
      </c>
    </row>
    <row r="224" spans="1:6">
      <c r="A224" t="s">
        <v>154</v>
      </c>
      <c r="B224" s="14" t="s">
        <v>320</v>
      </c>
      <c r="C224" s="6">
        <v>6178.41</v>
      </c>
      <c r="D224" s="7">
        <v>45916</v>
      </c>
      <c r="F224" t="s">
        <v>155</v>
      </c>
    </row>
    <row r="225" spans="1:6">
      <c r="A225" t="s">
        <v>325</v>
      </c>
      <c r="B225" s="14" t="s">
        <v>320</v>
      </c>
      <c r="C225" s="6">
        <v>1594.43</v>
      </c>
      <c r="D225" s="7">
        <v>45916</v>
      </c>
      <c r="F225" t="s">
        <v>326</v>
      </c>
    </row>
    <row r="226" spans="1:6">
      <c r="A226" t="s">
        <v>225</v>
      </c>
      <c r="B226" s="14" t="s">
        <v>320</v>
      </c>
      <c r="C226" s="6">
        <v>7843.58</v>
      </c>
      <c r="D226" s="7">
        <v>45916</v>
      </c>
      <c r="F226" t="s">
        <v>226</v>
      </c>
    </row>
    <row r="227" spans="1:6">
      <c r="A227" t="s">
        <v>327</v>
      </c>
      <c r="B227" s="14" t="s">
        <v>320</v>
      </c>
      <c r="C227" s="6">
        <v>759.06</v>
      </c>
      <c r="D227" s="7">
        <v>45916</v>
      </c>
      <c r="F227" t="s">
        <v>328</v>
      </c>
    </row>
    <row r="228" spans="1:6">
      <c r="A228" t="s">
        <v>316</v>
      </c>
      <c r="B228" s="14" t="s">
        <v>320</v>
      </c>
      <c r="C228" s="6">
        <v>7843.58</v>
      </c>
      <c r="D228" s="7">
        <v>45916</v>
      </c>
      <c r="F228" t="s">
        <v>317</v>
      </c>
    </row>
    <row r="229" spans="1:6">
      <c r="A229" t="s">
        <v>329</v>
      </c>
      <c r="B229" s="14" t="s">
        <v>320</v>
      </c>
      <c r="C229" s="6">
        <v>253.02</v>
      </c>
      <c r="D229" s="7">
        <v>45916</v>
      </c>
      <c r="F229" t="s">
        <v>330</v>
      </c>
    </row>
    <row r="230" spans="1:6">
      <c r="A230" t="s">
        <v>305</v>
      </c>
      <c r="B230" s="14" t="s">
        <v>320</v>
      </c>
      <c r="C230" s="6">
        <v>7843.58</v>
      </c>
      <c r="D230" s="7">
        <v>45916</v>
      </c>
      <c r="F230" t="s">
        <v>306</v>
      </c>
    </row>
    <row r="231" spans="1:6">
      <c r="A231" t="s">
        <v>331</v>
      </c>
      <c r="B231" s="14" t="s">
        <v>332</v>
      </c>
      <c r="C231" s="6">
        <v>3991.28</v>
      </c>
      <c r="D231" s="7">
        <v>45916</v>
      </c>
      <c r="F231" t="s">
        <v>333</v>
      </c>
    </row>
    <row r="232" spans="1:6">
      <c r="A232" t="s">
        <v>270</v>
      </c>
      <c r="B232" s="14" t="s">
        <v>334</v>
      </c>
      <c r="C232" s="6">
        <v>6990.5</v>
      </c>
      <c r="D232" s="7">
        <v>45916</v>
      </c>
      <c r="F232" t="s">
        <v>271</v>
      </c>
    </row>
    <row r="233" spans="1:6">
      <c r="A233" t="s">
        <v>327</v>
      </c>
      <c r="B233" s="14" t="s">
        <v>335</v>
      </c>
      <c r="C233" s="6">
        <v>2550.87</v>
      </c>
      <c r="D233" s="7">
        <v>45916</v>
      </c>
      <c r="F233" t="s">
        <v>328</v>
      </c>
    </row>
    <row r="234" spans="1:6">
      <c r="A234" t="s">
        <v>184</v>
      </c>
      <c r="B234" s="14" t="s">
        <v>336</v>
      </c>
      <c r="C234" s="6">
        <v>6268.45</v>
      </c>
      <c r="D234" s="7">
        <v>45916</v>
      </c>
      <c r="F234" t="s">
        <v>185</v>
      </c>
    </row>
    <row r="235" spans="1:6">
      <c r="A235" t="s">
        <v>252</v>
      </c>
      <c r="B235" s="14" t="s">
        <v>337</v>
      </c>
      <c r="C235" s="6">
        <v>2024.15</v>
      </c>
      <c r="D235" s="7">
        <v>45916</v>
      </c>
      <c r="F235" t="s">
        <v>253</v>
      </c>
    </row>
    <row r="236" spans="1:6">
      <c r="A236" t="s">
        <v>329</v>
      </c>
      <c r="B236" s="14" t="s">
        <v>338</v>
      </c>
      <c r="C236" s="6">
        <v>4068.98</v>
      </c>
      <c r="D236" s="7">
        <v>45911</v>
      </c>
      <c r="E236" t="s">
        <v>248</v>
      </c>
      <c r="F236" t="s">
        <v>330</v>
      </c>
    </row>
    <row r="237" spans="1:6">
      <c r="A237" t="s">
        <v>339</v>
      </c>
      <c r="B237" s="14" t="s">
        <v>320</v>
      </c>
      <c r="C237" s="6">
        <v>1934.09</v>
      </c>
      <c r="D237" s="7">
        <v>45910</v>
      </c>
      <c r="F237" t="s">
        <v>340</v>
      </c>
    </row>
    <row r="238" spans="1:6">
      <c r="A238" t="s">
        <v>341</v>
      </c>
      <c r="B238" s="14" t="s">
        <v>320</v>
      </c>
      <c r="C238" s="6">
        <v>2320.9</v>
      </c>
      <c r="D238" s="7">
        <v>45910</v>
      </c>
      <c r="F238" t="s">
        <v>342</v>
      </c>
    </row>
    <row r="239" spans="1:6">
      <c r="A239" t="s">
        <v>316</v>
      </c>
      <c r="B239" s="14" t="s">
        <v>343</v>
      </c>
      <c r="C239" s="6">
        <v>759.06</v>
      </c>
      <c r="D239" s="7">
        <v>45903</v>
      </c>
      <c r="F239" t="s">
        <v>317</v>
      </c>
    </row>
    <row r="240" spans="1:6">
      <c r="A240" t="s">
        <v>305</v>
      </c>
      <c r="B240" s="14" t="s">
        <v>344</v>
      </c>
      <c r="C240" s="6">
        <v>2220.15</v>
      </c>
      <c r="D240" s="7">
        <v>45903</v>
      </c>
      <c r="F240" t="s">
        <v>306</v>
      </c>
    </row>
    <row r="241" spans="1:6">
      <c r="A241" t="s">
        <v>225</v>
      </c>
      <c r="B241" s="14" t="s">
        <v>345</v>
      </c>
      <c r="C241" s="6">
        <v>4713.33</v>
      </c>
      <c r="D241" s="7">
        <v>45884</v>
      </c>
      <c r="F241" t="s">
        <v>226</v>
      </c>
    </row>
    <row r="242" spans="1:6">
      <c r="A242" t="s">
        <v>319</v>
      </c>
      <c r="B242" s="14" t="s">
        <v>346</v>
      </c>
      <c r="C242" s="6">
        <v>7789.86</v>
      </c>
      <c r="D242" s="7">
        <v>45884</v>
      </c>
      <c r="F242" t="s">
        <v>321</v>
      </c>
    </row>
    <row r="243" spans="1:6">
      <c r="A243" t="s">
        <v>327</v>
      </c>
      <c r="B243" s="14" t="s">
        <v>347</v>
      </c>
      <c r="C243" s="6">
        <v>7496.54</v>
      </c>
      <c r="D243" s="7">
        <v>45884</v>
      </c>
      <c r="F243" t="s">
        <v>328</v>
      </c>
    </row>
    <row r="244" spans="1:6">
      <c r="A244" t="s">
        <v>325</v>
      </c>
      <c r="B244" s="14" t="s">
        <v>346</v>
      </c>
      <c r="C244" s="6">
        <v>6334.74</v>
      </c>
      <c r="D244" s="7">
        <v>45884</v>
      </c>
      <c r="F244" t="s">
        <v>326</v>
      </c>
    </row>
    <row r="245" spans="1:6">
      <c r="A245" t="s">
        <v>341</v>
      </c>
      <c r="B245" s="14" t="s">
        <v>346</v>
      </c>
      <c r="C245" s="6">
        <v>6191.66</v>
      </c>
      <c r="D245" s="7">
        <v>45884</v>
      </c>
      <c r="F245" t="s">
        <v>342</v>
      </c>
    </row>
    <row r="246" spans="1:6">
      <c r="A246" t="s">
        <v>339</v>
      </c>
      <c r="B246" s="14" t="s">
        <v>346</v>
      </c>
      <c r="C246" s="6">
        <v>6191.66</v>
      </c>
      <c r="D246" s="7">
        <v>45884</v>
      </c>
      <c r="F246" t="s">
        <v>340</v>
      </c>
    </row>
    <row r="247" spans="1:6">
      <c r="A247" t="s">
        <v>348</v>
      </c>
      <c r="B247" s="14" t="s">
        <v>346</v>
      </c>
      <c r="C247" s="6">
        <v>3036.23</v>
      </c>
      <c r="D247" s="7">
        <v>45884</v>
      </c>
      <c r="F247" t="s">
        <v>349</v>
      </c>
    </row>
    <row r="248" spans="1:6">
      <c r="A248" t="s">
        <v>154</v>
      </c>
      <c r="B248" s="14" t="s">
        <v>346</v>
      </c>
      <c r="C248" s="6">
        <v>6178.41</v>
      </c>
      <c r="D248" s="7">
        <v>45884</v>
      </c>
      <c r="F248" t="s">
        <v>155</v>
      </c>
    </row>
    <row r="249" spans="1:6">
      <c r="A249" t="s">
        <v>348</v>
      </c>
      <c r="B249" s="14" t="s">
        <v>350</v>
      </c>
      <c r="C249" s="6">
        <v>449.02</v>
      </c>
      <c r="D249" s="7">
        <v>45866</v>
      </c>
      <c r="F249" t="s">
        <v>349</v>
      </c>
    </row>
    <row r="250" spans="1:6">
      <c r="A250" t="s">
        <v>351</v>
      </c>
      <c r="B250" s="14" t="s">
        <v>352</v>
      </c>
      <c r="C250" s="6">
        <v>3289.24</v>
      </c>
      <c r="D250" s="7">
        <v>45861</v>
      </c>
      <c r="F250" t="s">
        <v>353</v>
      </c>
    </row>
    <row r="251" spans="1:6">
      <c r="A251" t="s">
        <v>351</v>
      </c>
      <c r="B251" s="14" t="s">
        <v>354</v>
      </c>
      <c r="C251" s="6">
        <v>412.02</v>
      </c>
      <c r="D251" s="7">
        <v>45854</v>
      </c>
      <c r="F251" t="s">
        <v>353</v>
      </c>
    </row>
    <row r="252" spans="1:6">
      <c r="A252" t="s">
        <v>319</v>
      </c>
      <c r="B252" s="14" t="s">
        <v>352</v>
      </c>
      <c r="C252" s="6">
        <v>7749.56</v>
      </c>
      <c r="D252" s="7">
        <v>45853</v>
      </c>
      <c r="F252" t="s">
        <v>321</v>
      </c>
    </row>
    <row r="253" spans="1:6">
      <c r="A253" t="s">
        <v>339</v>
      </c>
      <c r="B253" s="14" t="s">
        <v>352</v>
      </c>
      <c r="C253" s="6">
        <v>6688.39</v>
      </c>
      <c r="D253" s="7">
        <v>45853</v>
      </c>
      <c r="F253" t="s">
        <v>340</v>
      </c>
    </row>
    <row r="254" spans="1:6">
      <c r="A254" t="s">
        <v>154</v>
      </c>
      <c r="B254" s="14" t="s">
        <v>352</v>
      </c>
      <c r="C254" s="6">
        <v>6838.56</v>
      </c>
      <c r="D254" s="7">
        <v>45853</v>
      </c>
      <c r="F254" t="s">
        <v>155</v>
      </c>
    </row>
    <row r="255" spans="1:6">
      <c r="A255" t="s">
        <v>341</v>
      </c>
      <c r="B255" s="14" t="s">
        <v>352</v>
      </c>
      <c r="C255" s="6">
        <v>6479.89</v>
      </c>
      <c r="D255" s="7">
        <v>45853</v>
      </c>
      <c r="F255" t="s">
        <v>342</v>
      </c>
    </row>
    <row r="256" spans="1:6">
      <c r="A256" t="s">
        <v>325</v>
      </c>
      <c r="B256" s="14" t="s">
        <v>352</v>
      </c>
      <c r="C256" s="6">
        <v>6301.4</v>
      </c>
      <c r="D256" s="7">
        <v>45853</v>
      </c>
      <c r="F256" t="s">
        <v>326</v>
      </c>
    </row>
    <row r="257" spans="1:6">
      <c r="A257" t="s">
        <v>355</v>
      </c>
      <c r="B257" s="14" t="s">
        <v>352</v>
      </c>
      <c r="C257" s="6">
        <v>3108.22</v>
      </c>
      <c r="D257" s="7">
        <v>45847</v>
      </c>
      <c r="F257" t="s">
        <v>356</v>
      </c>
    </row>
    <row r="258" spans="1:6">
      <c r="A258" t="s">
        <v>355</v>
      </c>
      <c r="B258" s="14" t="s">
        <v>357</v>
      </c>
      <c r="C258" s="6">
        <v>896.3</v>
      </c>
      <c r="D258" s="7">
        <v>45845</v>
      </c>
      <c r="E258" t="s">
        <v>248</v>
      </c>
      <c r="F258" t="s">
        <v>356</v>
      </c>
    </row>
    <row r="259" spans="1:6">
      <c r="A259" t="s">
        <v>341</v>
      </c>
      <c r="B259" s="14" t="s">
        <v>358</v>
      </c>
      <c r="C259" s="6">
        <v>7611.57</v>
      </c>
      <c r="D259" s="7">
        <v>45824</v>
      </c>
      <c r="F259" t="s">
        <v>342</v>
      </c>
    </row>
    <row r="260" spans="1:6">
      <c r="A260" t="s">
        <v>325</v>
      </c>
      <c r="B260" s="14" t="s">
        <v>358</v>
      </c>
      <c r="C260" s="6">
        <v>7843.58</v>
      </c>
      <c r="D260" s="7">
        <v>45824</v>
      </c>
      <c r="F260" t="s">
        <v>326</v>
      </c>
    </row>
    <row r="261" spans="1:6">
      <c r="A261" t="s">
        <v>154</v>
      </c>
      <c r="B261" s="14" t="s">
        <v>358</v>
      </c>
      <c r="C261" s="6">
        <v>7843.58</v>
      </c>
      <c r="D261" s="7">
        <v>45824</v>
      </c>
      <c r="F261" t="s">
        <v>155</v>
      </c>
    </row>
    <row r="262" spans="1:6">
      <c r="A262" t="s">
        <v>339</v>
      </c>
      <c r="B262" s="14" t="s">
        <v>358</v>
      </c>
      <c r="C262" s="6">
        <v>7611.57</v>
      </c>
      <c r="D262" s="7">
        <v>45824</v>
      </c>
      <c r="F262" t="s">
        <v>340</v>
      </c>
    </row>
    <row r="263" spans="1:6">
      <c r="A263" t="s">
        <v>325</v>
      </c>
      <c r="B263" s="14" t="s">
        <v>359</v>
      </c>
      <c r="C263" s="6">
        <v>6015.43</v>
      </c>
      <c r="D263" s="7">
        <v>45792</v>
      </c>
      <c r="F263" t="s">
        <v>326</v>
      </c>
    </row>
    <row r="264" spans="1:6">
      <c r="A264" t="s">
        <v>341</v>
      </c>
      <c r="B264" s="14" t="s">
        <v>360</v>
      </c>
      <c r="C264" s="6">
        <v>4087.56</v>
      </c>
      <c r="D264" s="7">
        <v>45792</v>
      </c>
      <c r="F264" t="s">
        <v>342</v>
      </c>
    </row>
    <row r="265" spans="1:6">
      <c r="A265" t="s">
        <v>339</v>
      </c>
      <c r="B265" s="14" t="s">
        <v>361</v>
      </c>
      <c r="C265" s="6">
        <v>3105.41</v>
      </c>
      <c r="D265" s="7">
        <v>45792</v>
      </c>
      <c r="F265" t="s">
        <v>340</v>
      </c>
    </row>
    <row r="266" spans="1:6">
      <c r="A266" t="s">
        <v>154</v>
      </c>
      <c r="B266" s="14" t="s">
        <v>362</v>
      </c>
      <c r="C266" s="6">
        <v>3289.24</v>
      </c>
      <c r="D266" s="7">
        <v>45792</v>
      </c>
      <c r="F266" t="s">
        <v>155</v>
      </c>
    </row>
    <row r="267" spans="1:6">
      <c r="A267" t="s">
        <v>363</v>
      </c>
      <c r="B267" s="14" t="s">
        <v>364</v>
      </c>
      <c r="C267" s="6">
        <v>597.91</v>
      </c>
      <c r="D267" s="7">
        <v>45763</v>
      </c>
      <c r="F267" t="s">
        <v>365</v>
      </c>
    </row>
    <row r="268" spans="1:6">
      <c r="A268" t="s">
        <v>366</v>
      </c>
      <c r="B268" s="14" t="s">
        <v>364</v>
      </c>
      <c r="C268" s="6">
        <v>2192.34</v>
      </c>
      <c r="D268" s="7">
        <v>45763</v>
      </c>
      <c r="F268" t="s">
        <v>367</v>
      </c>
    </row>
    <row r="269" spans="1:6">
      <c r="A269" t="s">
        <v>368</v>
      </c>
      <c r="B269" s="14" t="s">
        <v>369</v>
      </c>
      <c r="C269" s="6">
        <v>4901.17</v>
      </c>
      <c r="D269" s="7">
        <v>45762</v>
      </c>
      <c r="F269" t="s">
        <v>370</v>
      </c>
    </row>
    <row r="270" spans="1:6">
      <c r="A270" t="s">
        <v>371</v>
      </c>
      <c r="B270" s="14" t="s">
        <v>372</v>
      </c>
      <c r="C270" s="6">
        <v>5181.8999999999996</v>
      </c>
      <c r="D270" s="7">
        <v>45733</v>
      </c>
      <c r="F270" t="s">
        <v>373</v>
      </c>
    </row>
    <row r="271" spans="1:6">
      <c r="A271" t="s">
        <v>374</v>
      </c>
      <c r="B271" s="14" t="s">
        <v>372</v>
      </c>
      <c r="C271" s="6">
        <v>2790.26</v>
      </c>
      <c r="D271" s="7">
        <v>45733</v>
      </c>
      <c r="F271" t="s">
        <v>375</v>
      </c>
    </row>
    <row r="272" spans="1:6">
      <c r="A272" t="s">
        <v>363</v>
      </c>
      <c r="B272" s="14" t="s">
        <v>372</v>
      </c>
      <c r="C272" s="6">
        <v>5580.5</v>
      </c>
      <c r="D272" s="7">
        <v>45733</v>
      </c>
      <c r="F272" t="s">
        <v>365</v>
      </c>
    </row>
    <row r="273" spans="1:6">
      <c r="A273" t="s">
        <v>366</v>
      </c>
      <c r="B273" s="14" t="s">
        <v>372</v>
      </c>
      <c r="C273" s="6">
        <v>6063.94</v>
      </c>
      <c r="D273" s="7">
        <v>45733</v>
      </c>
      <c r="F273" t="s">
        <v>367</v>
      </c>
    </row>
    <row r="274" spans="1:6">
      <c r="A274" t="s">
        <v>376</v>
      </c>
      <c r="B274" s="14" t="s">
        <v>377</v>
      </c>
      <c r="C274" s="6">
        <v>2989.56</v>
      </c>
      <c r="D274" s="7">
        <v>45707</v>
      </c>
      <c r="F274" t="s">
        <v>378</v>
      </c>
    </row>
    <row r="275" spans="1:6">
      <c r="A275" t="s">
        <v>376</v>
      </c>
      <c r="B275" s="14" t="s">
        <v>379</v>
      </c>
      <c r="C275" s="6">
        <v>6178.41</v>
      </c>
      <c r="D275" s="7">
        <v>45706</v>
      </c>
      <c r="F275" t="s">
        <v>378</v>
      </c>
    </row>
    <row r="276" spans="1:6">
      <c r="A276" t="s">
        <v>363</v>
      </c>
      <c r="B276" s="14" t="s">
        <v>377</v>
      </c>
      <c r="C276" s="6">
        <v>6178.41</v>
      </c>
      <c r="D276" s="7">
        <v>45706</v>
      </c>
      <c r="F276" t="s">
        <v>365</v>
      </c>
    </row>
    <row r="277" spans="1:6">
      <c r="A277" t="s">
        <v>380</v>
      </c>
      <c r="B277" s="14" t="s">
        <v>377</v>
      </c>
      <c r="C277" s="6">
        <v>2989.56</v>
      </c>
      <c r="D277" s="7">
        <v>45706</v>
      </c>
      <c r="F277" t="s">
        <v>381</v>
      </c>
    </row>
    <row r="278" spans="1:6">
      <c r="A278" t="s">
        <v>371</v>
      </c>
      <c r="B278" s="14" t="s">
        <v>377</v>
      </c>
      <c r="C278" s="6">
        <v>6178.41</v>
      </c>
      <c r="D278" s="7">
        <v>45706</v>
      </c>
      <c r="F278" t="s">
        <v>373</v>
      </c>
    </row>
    <row r="279" spans="1:6">
      <c r="A279" t="s">
        <v>382</v>
      </c>
      <c r="B279" s="14" t="s">
        <v>377</v>
      </c>
      <c r="C279" s="6">
        <v>506.03</v>
      </c>
      <c r="D279" s="7">
        <v>45706</v>
      </c>
      <c r="F279" t="s">
        <v>383</v>
      </c>
    </row>
    <row r="280" spans="1:6">
      <c r="A280" t="s">
        <v>366</v>
      </c>
      <c r="B280" s="14" t="s">
        <v>377</v>
      </c>
      <c r="C280" s="6">
        <v>7843.58</v>
      </c>
      <c r="D280" s="7">
        <v>45706</v>
      </c>
      <c r="F280" t="s">
        <v>367</v>
      </c>
    </row>
    <row r="281" spans="1:6">
      <c r="A281" t="s">
        <v>374</v>
      </c>
      <c r="B281" s="14" t="s">
        <v>377</v>
      </c>
      <c r="C281" s="6">
        <v>6178.41</v>
      </c>
      <c r="D281" s="7">
        <v>45706</v>
      </c>
      <c r="F281" t="s">
        <v>375</v>
      </c>
    </row>
    <row r="282" spans="1:6">
      <c r="A282" t="s">
        <v>382</v>
      </c>
      <c r="B282" s="14" t="s">
        <v>384</v>
      </c>
      <c r="C282" s="6">
        <v>3366.94</v>
      </c>
      <c r="D282" s="7">
        <v>45701</v>
      </c>
      <c r="E282" t="s">
        <v>248</v>
      </c>
      <c r="F282" t="s">
        <v>383</v>
      </c>
    </row>
    <row r="283" spans="1:6">
      <c r="A283" t="s">
        <v>385</v>
      </c>
      <c r="B283" s="14" t="s">
        <v>379</v>
      </c>
      <c r="C283" s="6">
        <v>5381.2</v>
      </c>
      <c r="D283" s="7">
        <v>45684</v>
      </c>
      <c r="F283" t="s">
        <v>386</v>
      </c>
    </row>
    <row r="284" spans="1:6">
      <c r="A284" t="s">
        <v>374</v>
      </c>
      <c r="B284" s="14" t="s">
        <v>379</v>
      </c>
      <c r="C284" s="6">
        <v>6178.41</v>
      </c>
      <c r="D284" s="7">
        <v>45680</v>
      </c>
      <c r="F284" t="s">
        <v>375</v>
      </c>
    </row>
    <row r="285" spans="1:6">
      <c r="A285" t="s">
        <v>387</v>
      </c>
      <c r="B285" s="14" t="s">
        <v>388</v>
      </c>
      <c r="C285" s="6">
        <v>896.3</v>
      </c>
      <c r="D285" s="7">
        <v>45673</v>
      </c>
      <c r="F285" t="s">
        <v>389</v>
      </c>
    </row>
    <row r="286" spans="1:6">
      <c r="A286" t="s">
        <v>363</v>
      </c>
      <c r="B286" s="14" t="s">
        <v>379</v>
      </c>
      <c r="C286" s="6">
        <v>6178.41</v>
      </c>
      <c r="D286" s="7">
        <v>45672</v>
      </c>
      <c r="F286" t="s">
        <v>365</v>
      </c>
    </row>
    <row r="287" spans="1:6">
      <c r="A287" t="s">
        <v>371</v>
      </c>
      <c r="B287" s="14" t="s">
        <v>379</v>
      </c>
      <c r="C287" s="6">
        <v>6178.41</v>
      </c>
      <c r="D287" s="7">
        <v>45672</v>
      </c>
      <c r="F287" t="s">
        <v>373</v>
      </c>
    </row>
    <row r="288" spans="1:6">
      <c r="A288" t="s">
        <v>390</v>
      </c>
      <c r="B288" s="14" t="s">
        <v>379</v>
      </c>
      <c r="C288" s="6">
        <v>3986.07</v>
      </c>
      <c r="D288" s="7">
        <v>45672</v>
      </c>
      <c r="F288" t="s">
        <v>391</v>
      </c>
    </row>
    <row r="289" spans="1:6">
      <c r="A289" t="s">
        <v>366</v>
      </c>
      <c r="B289" s="14" t="s">
        <v>392</v>
      </c>
      <c r="C289" s="6">
        <v>5060.38</v>
      </c>
      <c r="D289" s="7">
        <v>45672</v>
      </c>
      <c r="F289" t="s">
        <v>367</v>
      </c>
    </row>
    <row r="290" spans="1:6">
      <c r="A290" t="s">
        <v>380</v>
      </c>
      <c r="B290" s="14" t="s">
        <v>379</v>
      </c>
      <c r="C290" s="6">
        <v>6178.41</v>
      </c>
      <c r="D290" s="7">
        <v>45672</v>
      </c>
      <c r="F290" t="s">
        <v>381</v>
      </c>
    </row>
    <row r="291" spans="1:6">
      <c r="A291" t="s">
        <v>393</v>
      </c>
      <c r="B291" s="14" t="s">
        <v>394</v>
      </c>
      <c r="C291" s="6">
        <v>4979.29</v>
      </c>
      <c r="D291" s="7">
        <v>45664</v>
      </c>
      <c r="E291" t="s">
        <v>248</v>
      </c>
      <c r="F291" t="s">
        <v>395</v>
      </c>
    </row>
    <row r="292" spans="1:6">
      <c r="A292" t="s">
        <v>376</v>
      </c>
      <c r="B292" s="14" t="s">
        <v>394</v>
      </c>
      <c r="C292" s="6">
        <v>5979.11</v>
      </c>
      <c r="D292" s="7">
        <v>45652</v>
      </c>
      <c r="F292" t="s">
        <v>378</v>
      </c>
    </row>
    <row r="293" spans="1:6">
      <c r="A293" t="s">
        <v>380</v>
      </c>
      <c r="B293" s="14" t="s">
        <v>394</v>
      </c>
      <c r="C293" s="6">
        <v>5979.11</v>
      </c>
      <c r="D293" s="7">
        <v>45642</v>
      </c>
      <c r="F293" t="s">
        <v>381</v>
      </c>
    </row>
    <row r="294" spans="1:6">
      <c r="A294" t="s">
        <v>385</v>
      </c>
      <c r="B294" s="14" t="s">
        <v>394</v>
      </c>
      <c r="C294" s="6">
        <v>5979.11</v>
      </c>
      <c r="D294" s="7">
        <v>45642</v>
      </c>
      <c r="F294" t="s">
        <v>386</v>
      </c>
    </row>
    <row r="295" spans="1:6">
      <c r="A295" t="s">
        <v>371</v>
      </c>
      <c r="B295" s="14" t="s">
        <v>394</v>
      </c>
      <c r="C295" s="6">
        <v>5979.11</v>
      </c>
      <c r="D295" s="7">
        <v>45642</v>
      </c>
      <c r="F295" t="s">
        <v>373</v>
      </c>
    </row>
    <row r="296" spans="1:6">
      <c r="A296" t="s">
        <v>363</v>
      </c>
      <c r="B296" s="14" t="s">
        <v>396</v>
      </c>
      <c r="C296" s="6">
        <v>5577.2</v>
      </c>
      <c r="D296" s="7">
        <v>45642</v>
      </c>
      <c r="F296" t="s">
        <v>365</v>
      </c>
    </row>
    <row r="297" spans="1:6">
      <c r="A297" t="s">
        <v>397</v>
      </c>
      <c r="B297" s="14" t="s">
        <v>394</v>
      </c>
      <c r="C297" s="6">
        <v>5979.11</v>
      </c>
      <c r="D297" s="7">
        <v>45642</v>
      </c>
      <c r="F297" t="s">
        <v>398</v>
      </c>
    </row>
    <row r="298" spans="1:6">
      <c r="A298" t="s">
        <v>390</v>
      </c>
      <c r="B298" s="14" t="s">
        <v>394</v>
      </c>
      <c r="C298" s="6">
        <v>5979.11</v>
      </c>
      <c r="D298" s="7">
        <v>45642</v>
      </c>
      <c r="F298" t="s">
        <v>391</v>
      </c>
    </row>
    <row r="299" spans="1:6">
      <c r="A299" t="s">
        <v>374</v>
      </c>
      <c r="B299" s="14" t="s">
        <v>394</v>
      </c>
      <c r="C299" s="6">
        <v>5979.11</v>
      </c>
      <c r="D299" s="7">
        <v>45642</v>
      </c>
      <c r="F299" t="s">
        <v>375</v>
      </c>
    </row>
    <row r="300" spans="1:6">
      <c r="A300" t="s">
        <v>399</v>
      </c>
      <c r="B300" s="14" t="s">
        <v>394</v>
      </c>
      <c r="C300" s="6">
        <v>1195.83</v>
      </c>
      <c r="D300" s="7">
        <v>45642</v>
      </c>
      <c r="F300" t="s">
        <v>400</v>
      </c>
    </row>
    <row r="301" spans="1:6">
      <c r="A301" t="s">
        <v>401</v>
      </c>
      <c r="B301" s="14" t="s">
        <v>394</v>
      </c>
      <c r="C301" s="6">
        <v>1395.13</v>
      </c>
      <c r="D301" s="7">
        <v>45642</v>
      </c>
      <c r="F301" t="s">
        <v>402</v>
      </c>
    </row>
    <row r="302" spans="1:6">
      <c r="A302" t="s">
        <v>393</v>
      </c>
      <c r="B302" s="14" t="s">
        <v>403</v>
      </c>
      <c r="C302" s="6">
        <v>2786.94</v>
      </c>
      <c r="D302" s="7">
        <v>45635</v>
      </c>
      <c r="F302" t="s">
        <v>395</v>
      </c>
    </row>
    <row r="303" spans="1:6">
      <c r="A303" t="s">
        <v>374</v>
      </c>
      <c r="B303" s="14" t="s">
        <v>404</v>
      </c>
      <c r="C303" s="6">
        <v>6178.41</v>
      </c>
      <c r="D303" s="7">
        <v>45611</v>
      </c>
      <c r="F303" t="s">
        <v>375</v>
      </c>
    </row>
    <row r="304" spans="1:6">
      <c r="A304" t="s">
        <v>371</v>
      </c>
      <c r="B304" s="14" t="s">
        <v>404</v>
      </c>
      <c r="C304" s="6">
        <v>6178.41</v>
      </c>
      <c r="D304" s="7">
        <v>45611</v>
      </c>
      <c r="F304" t="s">
        <v>373</v>
      </c>
    </row>
    <row r="305" spans="1:6">
      <c r="A305" t="s">
        <v>385</v>
      </c>
      <c r="B305" s="14" t="s">
        <v>404</v>
      </c>
      <c r="C305" s="6">
        <v>6178.41</v>
      </c>
      <c r="D305" s="7">
        <v>45611</v>
      </c>
      <c r="F305" t="s">
        <v>386</v>
      </c>
    </row>
    <row r="306" spans="1:6">
      <c r="A306" t="s">
        <v>363</v>
      </c>
      <c r="B306" s="14" t="s">
        <v>404</v>
      </c>
      <c r="C306" s="6">
        <v>4583.99</v>
      </c>
      <c r="D306" s="7">
        <v>45611</v>
      </c>
      <c r="F306" t="s">
        <v>365</v>
      </c>
    </row>
    <row r="307" spans="1:6">
      <c r="A307" t="s">
        <v>390</v>
      </c>
      <c r="B307" s="14" t="s">
        <v>404</v>
      </c>
      <c r="C307" s="6">
        <v>6178.41</v>
      </c>
      <c r="D307" s="7">
        <v>45611</v>
      </c>
      <c r="F307" t="s">
        <v>391</v>
      </c>
    </row>
    <row r="308" spans="1:6">
      <c r="A308" t="s">
        <v>397</v>
      </c>
      <c r="B308" s="14" t="s">
        <v>404</v>
      </c>
      <c r="C308" s="6">
        <v>6178.41</v>
      </c>
      <c r="D308" s="7">
        <v>45611</v>
      </c>
      <c r="F308" t="s">
        <v>398</v>
      </c>
    </row>
    <row r="309" spans="1:6">
      <c r="A309" t="s">
        <v>399</v>
      </c>
      <c r="B309" s="14" t="s">
        <v>404</v>
      </c>
      <c r="C309" s="6">
        <v>7789.86</v>
      </c>
      <c r="D309" s="7">
        <v>45611</v>
      </c>
      <c r="F309" t="s">
        <v>400</v>
      </c>
    </row>
    <row r="310" spans="1:6">
      <c r="A310" t="s">
        <v>380</v>
      </c>
      <c r="B310" s="14" t="s">
        <v>404</v>
      </c>
      <c r="C310" s="6">
        <v>6178.41</v>
      </c>
      <c r="D310" s="7">
        <v>45611</v>
      </c>
      <c r="F310" t="s">
        <v>381</v>
      </c>
    </row>
    <row r="311" spans="1:6">
      <c r="A311" t="s">
        <v>376</v>
      </c>
      <c r="B311" s="14" t="s">
        <v>404</v>
      </c>
      <c r="C311" s="6">
        <v>6178.41</v>
      </c>
      <c r="D311" s="7">
        <v>45611</v>
      </c>
      <c r="F311" t="s">
        <v>378</v>
      </c>
    </row>
    <row r="312" spans="1:6">
      <c r="A312" t="s">
        <v>401</v>
      </c>
      <c r="B312" s="14" t="s">
        <v>404</v>
      </c>
      <c r="C312" s="6">
        <v>6178.41</v>
      </c>
      <c r="D312" s="7">
        <v>45611</v>
      </c>
      <c r="F312" t="s">
        <v>402</v>
      </c>
    </row>
    <row r="313" spans="1:6">
      <c r="A313" t="s">
        <v>374</v>
      </c>
      <c r="B313" s="14" t="s">
        <v>405</v>
      </c>
      <c r="C313" s="6">
        <v>6182.73</v>
      </c>
      <c r="D313" s="7">
        <v>45586</v>
      </c>
      <c r="F313" t="s">
        <v>375</v>
      </c>
    </row>
    <row r="314" spans="1:6">
      <c r="A314" t="s">
        <v>393</v>
      </c>
      <c r="B314" s="14" t="s">
        <v>405</v>
      </c>
      <c r="C314" s="6">
        <v>6378.73</v>
      </c>
      <c r="D314" s="7">
        <v>45583</v>
      </c>
      <c r="E314" t="s">
        <v>248</v>
      </c>
      <c r="F314" t="s">
        <v>395</v>
      </c>
    </row>
    <row r="315" spans="1:6">
      <c r="A315" t="s">
        <v>380</v>
      </c>
      <c r="B315" s="14" t="s">
        <v>405</v>
      </c>
      <c r="C315" s="6">
        <v>6182.73</v>
      </c>
      <c r="D315" s="7">
        <v>45580</v>
      </c>
      <c r="F315" t="s">
        <v>381</v>
      </c>
    </row>
    <row r="316" spans="1:6">
      <c r="A316" t="s">
        <v>385</v>
      </c>
      <c r="B316" s="14" t="s">
        <v>405</v>
      </c>
      <c r="C316" s="6">
        <v>6182.73</v>
      </c>
      <c r="D316" s="7">
        <v>45580</v>
      </c>
      <c r="F316" t="s">
        <v>386</v>
      </c>
    </row>
    <row r="317" spans="1:6">
      <c r="A317" t="s">
        <v>363</v>
      </c>
      <c r="B317" s="14" t="s">
        <v>405</v>
      </c>
      <c r="C317" s="6">
        <v>6182.73</v>
      </c>
      <c r="D317" s="7">
        <v>45580</v>
      </c>
      <c r="F317" t="s">
        <v>365</v>
      </c>
    </row>
    <row r="318" spans="1:6">
      <c r="A318" t="s">
        <v>376</v>
      </c>
      <c r="B318" s="14" t="s">
        <v>405</v>
      </c>
      <c r="C318" s="6">
        <v>6182.73</v>
      </c>
      <c r="D318" s="7">
        <v>45580</v>
      </c>
      <c r="F318" t="s">
        <v>378</v>
      </c>
    </row>
    <row r="319" spans="1:6">
      <c r="A319" t="s">
        <v>371</v>
      </c>
      <c r="B319" s="14" t="s">
        <v>405</v>
      </c>
      <c r="C319" s="6">
        <v>6182.73</v>
      </c>
      <c r="D319" s="7">
        <v>45580</v>
      </c>
      <c r="F319" t="s">
        <v>373</v>
      </c>
    </row>
    <row r="320" spans="1:6">
      <c r="A320" t="s">
        <v>401</v>
      </c>
      <c r="B320" s="14" t="s">
        <v>405</v>
      </c>
      <c r="C320" s="6">
        <v>6182.73</v>
      </c>
      <c r="D320" s="7">
        <v>45580</v>
      </c>
      <c r="F320" t="s">
        <v>402</v>
      </c>
    </row>
    <row r="321" spans="1:6">
      <c r="A321" t="s">
        <v>397</v>
      </c>
      <c r="B321" s="14" t="s">
        <v>405</v>
      </c>
      <c r="C321" s="6">
        <v>6182.73</v>
      </c>
      <c r="D321" s="7">
        <v>45580</v>
      </c>
      <c r="F321" t="s">
        <v>398</v>
      </c>
    </row>
    <row r="322" spans="1:6">
      <c r="A322" t="s">
        <v>390</v>
      </c>
      <c r="B322" s="14" t="s">
        <v>405</v>
      </c>
      <c r="C322" s="6">
        <v>6182.73</v>
      </c>
      <c r="D322" s="7">
        <v>45580</v>
      </c>
      <c r="F322" t="s">
        <v>391</v>
      </c>
    </row>
    <row r="323" spans="1:6">
      <c r="A323" t="s">
        <v>399</v>
      </c>
      <c r="B323" s="14" t="s">
        <v>405</v>
      </c>
      <c r="C323" s="6">
        <v>4960.3999999999996</v>
      </c>
      <c r="D323" s="7">
        <v>45580</v>
      </c>
      <c r="F323" t="s">
        <v>400</v>
      </c>
    </row>
    <row r="324" spans="1:6">
      <c r="B324" s="14"/>
      <c r="C324" s="6"/>
      <c r="D324" s="7"/>
    </row>
    <row r="325" spans="1:6">
      <c r="B325" s="14"/>
      <c r="C325" s="6"/>
      <c r="D325" s="7"/>
    </row>
    <row r="326" spans="1:6">
      <c r="B326" s="14"/>
      <c r="C326" s="6"/>
      <c r="D326" s="7"/>
    </row>
    <row r="327" spans="1:6">
      <c r="B327" s="14"/>
      <c r="C327" s="6"/>
      <c r="D327" s="7"/>
    </row>
    <row r="328" spans="1:6">
      <c r="B328" s="14"/>
      <c r="C328" s="6"/>
      <c r="D328" s="7"/>
    </row>
    <row r="329" spans="1:6">
      <c r="B329" s="14"/>
      <c r="C329" s="6"/>
      <c r="D329" s="7"/>
    </row>
    <row r="330" spans="1:6">
      <c r="B330" s="14"/>
      <c r="C330" s="6"/>
      <c r="D330" s="7"/>
    </row>
    <row r="331" spans="1:6">
      <c r="B331" s="14"/>
      <c r="C331" s="6"/>
      <c r="D331" s="7"/>
    </row>
    <row r="332" spans="1:6">
      <c r="B332" s="14"/>
      <c r="C332" s="6"/>
      <c r="D332" s="7"/>
    </row>
    <row r="333" spans="1:6">
      <c r="B333" s="14"/>
      <c r="C333" s="6"/>
      <c r="D333" s="7"/>
    </row>
    <row r="334" spans="1:6">
      <c r="B334" s="14"/>
      <c r="C334" s="6"/>
      <c r="D334" s="7"/>
    </row>
    <row r="335" spans="1:6">
      <c r="B335" s="14"/>
      <c r="C335" s="6"/>
      <c r="D335" s="7"/>
    </row>
    <row r="336" spans="1:6">
      <c r="B336" s="14"/>
      <c r="C336" s="6"/>
      <c r="D336" s="7"/>
    </row>
    <row r="337" spans="2:4">
      <c r="B337" s="14"/>
      <c r="C337" s="6"/>
      <c r="D337" s="7"/>
    </row>
    <row r="338" spans="2:4">
      <c r="B338" s="14"/>
      <c r="C338" s="6"/>
      <c r="D338" s="7"/>
    </row>
    <row r="339" spans="2:4">
      <c r="B339" s="14"/>
      <c r="C339" s="6"/>
      <c r="D339" s="7"/>
    </row>
    <row r="340" spans="2:4">
      <c r="B340" s="14"/>
      <c r="C340" s="6"/>
      <c r="D340" s="7"/>
    </row>
    <row r="341" spans="2:4">
      <c r="B341" s="14"/>
      <c r="C341" s="6"/>
      <c r="D341" s="7"/>
    </row>
    <row r="342" spans="2:4">
      <c r="B342" s="14"/>
      <c r="C342" s="6"/>
      <c r="D342" s="7"/>
    </row>
    <row r="343" spans="2:4">
      <c r="B343" s="14"/>
      <c r="C343" s="6"/>
      <c r="D343" s="7"/>
    </row>
    <row r="344" spans="2:4">
      <c r="B344" s="14"/>
      <c r="C344" s="6"/>
      <c r="D344" s="7"/>
    </row>
    <row r="345" spans="2:4">
      <c r="B345" s="14"/>
      <c r="C345" s="6"/>
      <c r="D345" s="7"/>
    </row>
    <row r="346" spans="2:4">
      <c r="B346" s="14"/>
      <c r="C346" s="6"/>
      <c r="D346" s="7"/>
    </row>
    <row r="347" spans="2:4">
      <c r="B347" s="14"/>
      <c r="C347" s="6"/>
      <c r="D347" s="7"/>
    </row>
    <row r="348" spans="2:4">
      <c r="B348" s="14"/>
      <c r="C348" s="6"/>
      <c r="D348" s="7"/>
    </row>
    <row r="349" spans="2:4">
      <c r="B349" s="14"/>
      <c r="C349" s="6"/>
      <c r="D349" s="7"/>
    </row>
    <row r="350" spans="2:4">
      <c r="B350" s="14"/>
      <c r="C350" s="6"/>
      <c r="D350" s="7"/>
    </row>
    <row r="351" spans="2:4">
      <c r="B351" s="14"/>
      <c r="C351" s="6"/>
      <c r="D351" s="7"/>
    </row>
    <row r="352" spans="2:4">
      <c r="B352" s="14"/>
      <c r="C352" s="6"/>
      <c r="D352" s="7"/>
    </row>
    <row r="353" spans="2:8">
      <c r="B353" s="14"/>
      <c r="C353" s="6"/>
      <c r="D353" s="7"/>
    </row>
    <row r="354" spans="2:8">
      <c r="B354" s="14"/>
      <c r="C354" s="6"/>
      <c r="D354" s="7"/>
    </row>
    <row r="355" spans="2:8">
      <c r="B355" s="14"/>
      <c r="C355" s="6"/>
      <c r="D355" s="7"/>
    </row>
    <row r="356" spans="2:8">
      <c r="B356" s="14"/>
      <c r="C356" s="6"/>
      <c r="D356" s="7"/>
    </row>
    <row r="357" spans="2:8">
      <c r="B357" s="14"/>
      <c r="C357" s="6"/>
      <c r="D357" s="7"/>
    </row>
    <row r="358" spans="2:8">
      <c r="B358" s="14"/>
      <c r="C358" s="6"/>
      <c r="D358" s="7"/>
    </row>
    <row r="359" spans="2:8">
      <c r="B359" s="14"/>
      <c r="C359" s="6"/>
      <c r="D359" s="7"/>
    </row>
    <row r="360" spans="2:8">
      <c r="B360" s="14"/>
      <c r="C360" s="6"/>
      <c r="D360" s="7"/>
    </row>
    <row r="361" spans="2:8">
      <c r="B361" s="14"/>
      <c r="C361" s="6"/>
      <c r="D361" s="7"/>
      <c r="H361" s="1"/>
    </row>
    <row r="362" spans="2:8">
      <c r="B362" s="14"/>
      <c r="C362" s="6"/>
      <c r="D362" s="7"/>
    </row>
    <row r="363" spans="2:8">
      <c r="B363" s="14"/>
      <c r="C363" s="6"/>
      <c r="D363" s="7"/>
    </row>
    <row r="364" spans="2:8">
      <c r="B364" s="14"/>
      <c r="C364" s="6"/>
      <c r="D364" s="7"/>
    </row>
    <row r="365" spans="2:8">
      <c r="B365" s="14"/>
      <c r="C365" s="6"/>
      <c r="D365" s="7"/>
    </row>
    <row r="366" spans="2:8">
      <c r="B366" s="14"/>
      <c r="C366" s="6"/>
      <c r="D366" s="7"/>
    </row>
    <row r="367" spans="2:8">
      <c r="B367" s="14"/>
      <c r="C367" s="6"/>
      <c r="D367" s="7"/>
    </row>
    <row r="368" spans="2:8">
      <c r="B368" s="14"/>
      <c r="C368" s="6"/>
      <c r="D368" s="7"/>
    </row>
    <row r="369" spans="2:4">
      <c r="B369" s="14"/>
      <c r="C369" s="6"/>
      <c r="D369" s="7"/>
    </row>
    <row r="370" spans="2:4">
      <c r="B370" s="14"/>
      <c r="C370" s="6"/>
      <c r="D370" s="7"/>
    </row>
    <row r="371" spans="2:4">
      <c r="B371" s="14"/>
      <c r="C371" s="6"/>
      <c r="D371" s="7"/>
    </row>
    <row r="372" spans="2:4">
      <c r="B372" s="14"/>
      <c r="C372" s="6"/>
      <c r="D372" s="7"/>
    </row>
    <row r="373" spans="2:4">
      <c r="B373" s="14"/>
      <c r="C373" s="6"/>
      <c r="D373" s="7"/>
    </row>
    <row r="374" spans="2:4">
      <c r="B374" s="14"/>
      <c r="C374" s="6"/>
      <c r="D374" s="7"/>
    </row>
    <row r="375" spans="2:4">
      <c r="B375" s="14"/>
      <c r="C375" s="6"/>
      <c r="D375" s="7"/>
    </row>
    <row r="376" spans="2:4">
      <c r="B376" s="14"/>
      <c r="C376" s="6"/>
      <c r="D376" s="7"/>
    </row>
    <row r="377" spans="2:4">
      <c r="B377" s="14"/>
      <c r="C377" s="6"/>
      <c r="D377" s="7"/>
    </row>
    <row r="378" spans="2:4">
      <c r="B378" s="14"/>
      <c r="C378" s="6"/>
      <c r="D378" s="7"/>
    </row>
    <row r="379" spans="2:4">
      <c r="B379" s="14"/>
      <c r="C379" s="6"/>
      <c r="D379" s="7"/>
    </row>
    <row r="380" spans="2:4">
      <c r="B380" s="14"/>
      <c r="C380" s="6"/>
      <c r="D380" s="7"/>
    </row>
    <row r="381" spans="2:4">
      <c r="B381" s="14"/>
      <c r="C381" s="6"/>
      <c r="D381" s="7"/>
    </row>
    <row r="382" spans="2:4">
      <c r="B382" s="14"/>
      <c r="C382" s="6"/>
      <c r="D382" s="7"/>
    </row>
    <row r="383" spans="2:4">
      <c r="B383" s="14"/>
      <c r="C383" s="6"/>
      <c r="D383" s="7"/>
    </row>
    <row r="384" spans="2:4">
      <c r="B384" s="14"/>
      <c r="C384" s="6"/>
      <c r="D384" s="7"/>
    </row>
    <row r="385" spans="2:4">
      <c r="B385" s="14"/>
      <c r="C385" s="6"/>
      <c r="D385" s="7"/>
    </row>
    <row r="386" spans="2:4">
      <c r="B386" s="14"/>
      <c r="C386" s="6"/>
      <c r="D386" s="7"/>
    </row>
    <row r="387" spans="2:4">
      <c r="B387" s="14"/>
      <c r="C387" s="6"/>
      <c r="D387" s="7"/>
    </row>
    <row r="388" spans="2:4">
      <c r="B388" s="14"/>
      <c r="C388" s="6"/>
      <c r="D388" s="7"/>
    </row>
    <row r="389" spans="2:4">
      <c r="B389" s="14"/>
      <c r="C389" s="6"/>
      <c r="D389" s="7"/>
    </row>
    <row r="390" spans="2:4">
      <c r="B390" s="14"/>
      <c r="C390" s="6"/>
      <c r="D390" s="7"/>
    </row>
    <row r="391" spans="2:4">
      <c r="B391" s="14"/>
      <c r="C391" s="6"/>
      <c r="D391" s="7"/>
    </row>
    <row r="392" spans="2:4">
      <c r="B392" s="14"/>
      <c r="C392" s="6"/>
      <c r="D392" s="7"/>
    </row>
    <row r="393" spans="2:4">
      <c r="B393" s="14"/>
      <c r="C393" s="6"/>
      <c r="D393" s="7"/>
    </row>
    <row r="394" spans="2:4">
      <c r="B394" s="14"/>
      <c r="C394" s="6"/>
      <c r="D394" s="7"/>
    </row>
    <row r="395" spans="2:4">
      <c r="B395" s="14"/>
      <c r="C395" s="6"/>
      <c r="D395" s="7"/>
    </row>
    <row r="396" spans="2:4">
      <c r="B396" s="14"/>
      <c r="C396" s="6"/>
      <c r="D396" s="7"/>
    </row>
    <row r="397" spans="2:4">
      <c r="B397" s="14"/>
      <c r="C397" s="6"/>
      <c r="D397" s="7"/>
    </row>
    <row r="398" spans="2:4">
      <c r="B398" s="14"/>
      <c r="C398" s="6"/>
      <c r="D398" s="7"/>
    </row>
    <row r="399" spans="2:4">
      <c r="B399" s="14"/>
      <c r="C399" s="6"/>
      <c r="D399" s="7"/>
    </row>
    <row r="400" spans="2:4">
      <c r="B400" s="14"/>
      <c r="C400" s="6"/>
      <c r="D400" s="7"/>
    </row>
    <row r="401" spans="2:4">
      <c r="B401" s="14"/>
      <c r="C401" s="6"/>
      <c r="D401" s="7"/>
    </row>
    <row r="402" spans="2:4">
      <c r="B402" s="14"/>
      <c r="C402" s="6"/>
      <c r="D402" s="7"/>
    </row>
    <row r="403" spans="2:4">
      <c r="B403" s="14"/>
      <c r="C403" s="6"/>
      <c r="D403" s="7"/>
    </row>
    <row r="404" spans="2:4">
      <c r="B404" s="14"/>
      <c r="C404" s="6"/>
      <c r="D404" s="7"/>
    </row>
    <row r="405" spans="2:4">
      <c r="B405" s="14"/>
      <c r="C405" s="6"/>
      <c r="D405" s="7"/>
    </row>
    <row r="406" spans="2:4">
      <c r="B406" s="14"/>
      <c r="C406" s="6"/>
      <c r="D406" s="7"/>
    </row>
    <row r="407" spans="2:4">
      <c r="B407" s="14"/>
      <c r="C407" s="6"/>
      <c r="D407" s="7"/>
    </row>
    <row r="408" spans="2:4">
      <c r="B408" s="14"/>
      <c r="C408" s="6"/>
      <c r="D408" s="7"/>
    </row>
    <row r="409" spans="2:4">
      <c r="B409" s="14"/>
      <c r="C409" s="6"/>
      <c r="D409" s="7"/>
    </row>
    <row r="410" spans="2:4">
      <c r="B410" s="14"/>
      <c r="C410" s="6"/>
      <c r="D410" s="7"/>
    </row>
    <row r="411" spans="2:4">
      <c r="B411" s="14"/>
      <c r="C411" s="6"/>
      <c r="D411" s="7"/>
    </row>
    <row r="412" spans="2:4">
      <c r="B412" s="14"/>
      <c r="C412" s="6"/>
      <c r="D412" s="7"/>
    </row>
    <row r="413" spans="2:4">
      <c r="B413" s="14"/>
      <c r="C413" s="6"/>
      <c r="D413" s="7"/>
    </row>
    <row r="414" spans="2:4">
      <c r="B414" s="14"/>
      <c r="C414" s="6"/>
      <c r="D414" s="7"/>
    </row>
    <row r="415" spans="2:4">
      <c r="B415" s="14"/>
      <c r="C415" s="6"/>
      <c r="D415" s="7"/>
    </row>
    <row r="416" spans="2:4">
      <c r="B416" s="14"/>
      <c r="C416" s="6"/>
      <c r="D416" s="7"/>
    </row>
    <row r="417" spans="2:8">
      <c r="B417" s="14"/>
      <c r="C417" s="6"/>
      <c r="D417" s="7"/>
    </row>
    <row r="418" spans="2:8">
      <c r="B418" s="14"/>
      <c r="C418" s="6"/>
      <c r="D418" s="7"/>
    </row>
    <row r="419" spans="2:8">
      <c r="B419" s="14"/>
      <c r="C419" s="6"/>
      <c r="D419" s="7"/>
    </row>
    <row r="420" spans="2:8">
      <c r="B420" s="14"/>
      <c r="C420" s="6"/>
      <c r="D420" s="7"/>
    </row>
    <row r="421" spans="2:8">
      <c r="B421" s="14"/>
      <c r="C421" s="6"/>
      <c r="D421" s="7"/>
    </row>
    <row r="422" spans="2:8">
      <c r="B422" s="14"/>
      <c r="C422" s="6"/>
      <c r="D422" s="7"/>
    </row>
    <row r="423" spans="2:8">
      <c r="B423" s="14"/>
      <c r="C423" s="6"/>
      <c r="D423" s="7"/>
    </row>
    <row r="424" spans="2:8">
      <c r="B424" s="14"/>
      <c r="C424" s="6"/>
      <c r="D424" s="7"/>
    </row>
    <row r="425" spans="2:8">
      <c r="B425" s="14"/>
      <c r="C425" s="6"/>
      <c r="D425" s="7"/>
    </row>
    <row r="426" spans="2:8">
      <c r="B426" s="14"/>
      <c r="C426" s="6"/>
      <c r="D426" s="7"/>
      <c r="H426" s="1"/>
    </row>
    <row r="427" spans="2:8">
      <c r="B427" s="14"/>
      <c r="C427" s="6"/>
      <c r="D427" s="7"/>
    </row>
    <row r="428" spans="2:8">
      <c r="B428" s="14"/>
      <c r="C428" s="6"/>
      <c r="D428" s="7"/>
    </row>
    <row r="429" spans="2:8">
      <c r="B429" s="14"/>
      <c r="C429" s="6"/>
      <c r="D429" s="7"/>
    </row>
    <row r="430" spans="2:8">
      <c r="B430" s="14"/>
      <c r="C430" s="6"/>
      <c r="D430" s="7"/>
    </row>
    <row r="431" spans="2:8">
      <c r="B431" s="14"/>
      <c r="C431" s="6"/>
      <c r="D431" s="7"/>
    </row>
    <row r="432" spans="2:8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4">
      <c r="B449" s="14"/>
      <c r="C449" s="6"/>
      <c r="D449" s="7"/>
    </row>
    <row r="450" spans="2:4">
      <c r="B450" s="14"/>
      <c r="C450" s="6"/>
      <c r="D450" s="7"/>
    </row>
    <row r="451" spans="2:4">
      <c r="B451" s="14"/>
      <c r="C451" s="6"/>
      <c r="D451" s="7"/>
    </row>
    <row r="452" spans="2:4">
      <c r="B452" s="14"/>
      <c r="C452" s="6"/>
      <c r="D452" s="7"/>
    </row>
    <row r="453" spans="2:4">
      <c r="B453" s="14"/>
      <c r="C453" s="6"/>
      <c r="D453" s="7"/>
    </row>
    <row r="454" spans="2:4">
      <c r="B454" s="14"/>
      <c r="C454" s="6"/>
      <c r="D454" s="7"/>
    </row>
    <row r="455" spans="2:4">
      <c r="B455" s="14"/>
      <c r="C455" s="6"/>
      <c r="D455" s="7"/>
    </row>
    <row r="456" spans="2:4">
      <c r="B456" s="14"/>
      <c r="C456" s="6"/>
      <c r="D456" s="7"/>
    </row>
    <row r="457" spans="2:4">
      <c r="B457" s="14"/>
      <c r="C457" s="6"/>
      <c r="D457" s="7"/>
    </row>
    <row r="458" spans="2:4">
      <c r="B458" s="14"/>
      <c r="C458" s="6"/>
      <c r="D458" s="7"/>
    </row>
    <row r="459" spans="2:4">
      <c r="B459" s="14"/>
      <c r="C459" s="6"/>
      <c r="D459" s="7"/>
    </row>
    <row r="460" spans="2:4">
      <c r="B460" s="14"/>
      <c r="C460" s="6"/>
      <c r="D460" s="7"/>
    </row>
    <row r="461" spans="2:4">
      <c r="B461" s="14"/>
      <c r="C461" s="6"/>
      <c r="D461" s="7"/>
    </row>
    <row r="462" spans="2:4">
      <c r="B462" s="14"/>
      <c r="C462" s="6"/>
      <c r="D462" s="7"/>
    </row>
    <row r="463" spans="2:4">
      <c r="B463" s="14"/>
      <c r="C463" s="6"/>
      <c r="D463" s="7"/>
    </row>
    <row r="464" spans="2:4">
      <c r="B464" s="14"/>
      <c r="C464" s="6"/>
      <c r="D464" s="7"/>
    </row>
    <row r="465" spans="2:4">
      <c r="B465" s="14"/>
      <c r="C465" s="6"/>
      <c r="D465" s="7"/>
    </row>
    <row r="466" spans="2:4">
      <c r="B466" s="14"/>
      <c r="C466" s="6"/>
      <c r="D466" s="7"/>
    </row>
    <row r="467" spans="2:4">
      <c r="B467" s="14"/>
      <c r="C467" s="6"/>
      <c r="D467" s="7"/>
    </row>
    <row r="468" spans="2:4">
      <c r="B468" s="14"/>
      <c r="C468" s="6"/>
      <c r="D468" s="7"/>
    </row>
    <row r="469" spans="2:4">
      <c r="B469" s="14"/>
      <c r="C469" s="6"/>
      <c r="D469" s="7"/>
    </row>
    <row r="470" spans="2:4">
      <c r="B470" s="14"/>
      <c r="C470" s="6"/>
      <c r="D470" s="7"/>
    </row>
    <row r="471" spans="2:4">
      <c r="B471" s="14"/>
      <c r="C471" s="6"/>
      <c r="D471" s="7"/>
    </row>
    <row r="472" spans="2:4">
      <c r="B472" s="14"/>
      <c r="C472" s="6"/>
      <c r="D472" s="7"/>
    </row>
    <row r="473" spans="2:4">
      <c r="B473" s="14"/>
      <c r="C473" s="6"/>
      <c r="D473" s="7"/>
    </row>
    <row r="474" spans="2:4">
      <c r="B474" s="14"/>
      <c r="C474" s="6"/>
      <c r="D474" s="7"/>
    </row>
    <row r="475" spans="2:4">
      <c r="B475" s="14"/>
      <c r="C475" s="6"/>
      <c r="D475" s="7"/>
    </row>
    <row r="476" spans="2:4">
      <c r="B476" s="14"/>
      <c r="C476" s="6"/>
      <c r="D476" s="7"/>
    </row>
    <row r="477" spans="2:4">
      <c r="B477" s="14"/>
      <c r="C477" s="6"/>
      <c r="D477" s="7"/>
    </row>
    <row r="478" spans="2:4">
      <c r="B478" s="14"/>
      <c r="C478" s="6"/>
      <c r="D478" s="7"/>
    </row>
    <row r="479" spans="2:4">
      <c r="B479" s="14"/>
      <c r="C479" s="6"/>
      <c r="D479" s="7"/>
    </row>
    <row r="480" spans="2:4">
      <c r="B480" s="14"/>
      <c r="C480" s="6"/>
      <c r="D480" s="7"/>
    </row>
    <row r="481" spans="2:17">
      <c r="B481" s="14"/>
      <c r="C481" s="6"/>
      <c r="D481" s="7"/>
    </row>
    <row r="482" spans="2:17">
      <c r="B482" s="14"/>
      <c r="C482" s="6"/>
      <c r="D482" s="7"/>
    </row>
    <row r="483" spans="2:17">
      <c r="B483" s="14"/>
      <c r="C483" s="6"/>
      <c r="D483" s="7"/>
    </row>
    <row r="484" spans="2:17">
      <c r="B484" s="14"/>
      <c r="C484" s="6"/>
      <c r="D484" s="7"/>
    </row>
    <row r="485" spans="2:17">
      <c r="B485" s="14"/>
      <c r="C485" s="6"/>
      <c r="D485" s="7"/>
    </row>
    <row r="486" spans="2:17">
      <c r="B486" s="14"/>
      <c r="C486" s="6"/>
      <c r="D486" s="7"/>
    </row>
    <row r="487" spans="2:17">
      <c r="B487" s="14"/>
      <c r="C487" s="6"/>
      <c r="D487" s="7"/>
    </row>
    <row r="488" spans="2:17">
      <c r="B488" s="14"/>
      <c r="C488" s="6"/>
      <c r="D488" s="7"/>
    </row>
    <row r="489" spans="2:17">
      <c r="B489" s="14"/>
      <c r="C489" s="6"/>
      <c r="D489" s="7"/>
    </row>
    <row r="490" spans="2:17">
      <c r="B490" s="14"/>
      <c r="C490" s="6"/>
      <c r="D490" s="7"/>
    </row>
    <row r="491" spans="2:17">
      <c r="B491" s="14"/>
      <c r="C491" s="6"/>
      <c r="D491" s="7"/>
    </row>
    <row r="492" spans="2:17">
      <c r="B492" s="14"/>
      <c r="C492" s="6"/>
      <c r="D492" s="7"/>
      <c r="H492" s="3"/>
      <c r="L492" s="3"/>
      <c r="M492" s="3"/>
      <c r="N492" s="3"/>
      <c r="O492" s="3"/>
      <c r="Q492" s="3"/>
    </row>
    <row r="493" spans="2:17">
      <c r="B493" s="14"/>
      <c r="C493" s="6"/>
      <c r="D493" s="7"/>
      <c r="H493" s="3"/>
      <c r="L493" s="3"/>
      <c r="M493" s="3"/>
      <c r="N493" s="3"/>
      <c r="O493" s="3"/>
      <c r="Q493" s="3"/>
    </row>
    <row r="494" spans="2:17">
      <c r="B494" s="14"/>
      <c r="C494" s="6"/>
      <c r="D494" s="7"/>
      <c r="H494" s="3"/>
      <c r="L494" s="3"/>
      <c r="M494" s="3"/>
      <c r="N494" s="3"/>
      <c r="O494" s="3"/>
      <c r="Q494" s="3"/>
    </row>
    <row r="495" spans="2:17">
      <c r="B495" s="14"/>
      <c r="C495" s="6"/>
      <c r="D495" s="7"/>
      <c r="H495" s="3"/>
      <c r="L495" s="3"/>
      <c r="M495" s="3"/>
      <c r="N495" s="3"/>
      <c r="O495" s="3"/>
      <c r="Q495" s="3"/>
    </row>
    <row r="496" spans="2:17">
      <c r="B496" s="14"/>
      <c r="C496" s="6"/>
      <c r="D496" s="7"/>
      <c r="H496" s="3"/>
      <c r="L496" s="3"/>
      <c r="M496" s="3"/>
      <c r="N496" s="3"/>
      <c r="O496" s="3"/>
      <c r="Q496" s="3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  <row r="1984" spans="2:4">
      <c r="B1984" s="14"/>
      <c r="C1984" s="6"/>
      <c r="D1984" s="7"/>
    </row>
    <row r="1985" spans="2:4">
      <c r="B1985" s="14"/>
      <c r="C1985" s="6"/>
      <c r="D1985" s="7"/>
    </row>
    <row r="1986" spans="2:4">
      <c r="B1986" s="14"/>
      <c r="C1986" s="6"/>
      <c r="D1986" s="7"/>
    </row>
    <row r="1987" spans="2:4">
      <c r="B1987" s="14"/>
      <c r="C1987" s="6"/>
      <c r="D1987" s="7"/>
    </row>
    <row r="1988" spans="2:4">
      <c r="B1988" s="14"/>
      <c r="C1988" s="6"/>
      <c r="D1988" s="7"/>
    </row>
    <row r="1989" spans="2:4">
      <c r="B1989" s="14"/>
      <c r="C1989" s="6"/>
      <c r="D1989" s="7"/>
    </row>
    <row r="1990" spans="2:4">
      <c r="B1990" s="14"/>
      <c r="C1990" s="6"/>
      <c r="D1990" s="7"/>
    </row>
    <row r="1991" spans="2:4">
      <c r="B1991" s="14"/>
      <c r="C1991" s="6"/>
      <c r="D1991" s="7"/>
    </row>
    <row r="1992" spans="2:4">
      <c r="B1992" s="14"/>
      <c r="C1992" s="6"/>
      <c r="D1992" s="7"/>
    </row>
    <row r="1993" spans="2:4">
      <c r="B1993" s="14"/>
      <c r="C1993" s="6"/>
      <c r="D1993" s="7"/>
    </row>
    <row r="1994" spans="2:4">
      <c r="B1994" s="14"/>
      <c r="C1994" s="6"/>
      <c r="D1994" s="7"/>
    </row>
    <row r="1995" spans="2:4">
      <c r="B1995" s="14"/>
      <c r="C1995" s="6"/>
      <c r="D1995" s="7"/>
    </row>
    <row r="1996" spans="2:4">
      <c r="B1996" s="14"/>
      <c r="C1996" s="6"/>
      <c r="D1996" s="7"/>
    </row>
    <row r="1997" spans="2:4">
      <c r="B1997" s="14"/>
      <c r="C1997" s="6"/>
      <c r="D1997" s="7"/>
    </row>
    <row r="1998" spans="2:4">
      <c r="B1998" s="14"/>
      <c r="C1998" s="6"/>
      <c r="D1998" s="7"/>
    </row>
    <row r="1999" spans="2:4">
      <c r="B1999" s="14"/>
      <c r="C1999" s="6"/>
      <c r="D1999" s="7"/>
    </row>
    <row r="2000" spans="2:4">
      <c r="B2000" s="14"/>
      <c r="C2000" s="6"/>
      <c r="D2000" s="7"/>
    </row>
    <row r="2001" spans="2:4">
      <c r="B2001" s="14"/>
      <c r="C2001" s="6"/>
      <c r="D2001" s="7"/>
    </row>
    <row r="2002" spans="2:4">
      <c r="B2002" s="14"/>
      <c r="C2002" s="6"/>
      <c r="D2002" s="7"/>
    </row>
    <row r="2003" spans="2:4">
      <c r="B2003" s="14"/>
      <c r="C2003" s="6"/>
      <c r="D2003" s="7"/>
    </row>
    <row r="2004" spans="2:4">
      <c r="B2004" s="14"/>
      <c r="C2004" s="6"/>
      <c r="D2004" s="7"/>
    </row>
    <row r="2005" spans="2:4">
      <c r="B2005" s="14"/>
      <c r="C2005" s="6"/>
      <c r="D2005" s="7"/>
    </row>
    <row r="2006" spans="2:4">
      <c r="B2006" s="14"/>
      <c r="C2006" s="6"/>
      <c r="D2006" s="7"/>
    </row>
    <row r="2007" spans="2:4">
      <c r="B2007" s="14"/>
      <c r="C2007" s="6"/>
      <c r="D2007" s="7"/>
    </row>
    <row r="2008" spans="2:4">
      <c r="B2008" s="14"/>
      <c r="C2008" s="6"/>
      <c r="D2008" s="7"/>
    </row>
    <row r="2009" spans="2:4">
      <c r="B2009" s="14"/>
      <c r="C2009" s="6"/>
      <c r="D2009" s="7"/>
    </row>
    <row r="2010" spans="2:4">
      <c r="B2010" s="14"/>
      <c r="C2010" s="6"/>
      <c r="D2010" s="7"/>
    </row>
    <row r="2011" spans="2:4">
      <c r="B2011" s="14"/>
      <c r="C2011" s="6"/>
      <c r="D2011" s="7"/>
    </row>
    <row r="2012" spans="2:4">
      <c r="B2012" s="14"/>
      <c r="C2012" s="6"/>
      <c r="D2012" s="7"/>
    </row>
    <row r="2013" spans="2:4">
      <c r="B2013" s="14"/>
      <c r="C2013" s="6"/>
      <c r="D2013" s="7"/>
    </row>
    <row r="2014" spans="2:4">
      <c r="B2014" s="14"/>
      <c r="C2014" s="6"/>
      <c r="D2014" s="7"/>
    </row>
  </sheetData>
  <sortState xmlns:xlrd2="http://schemas.microsoft.com/office/spreadsheetml/2017/richdata2" ref="A3:J293">
    <sortCondition descending="1" ref="D3:D293"/>
  </sortState>
  <conditionalFormatting sqref="A5736 A5803 A5807 A6524:A6527">
    <cfRule type="containsText" dxfId="0" priority="1" operator="containsText" text="TO BE PAID">
      <formula>NOT(ISERROR(SEARCH("TO BE PAID",A5736)))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workbookViewId="0">
      <selection activeCell="G36" sqref="G36"/>
    </sheetView>
  </sheetViews>
  <sheetFormatPr defaultColWidth="15.140625" defaultRowHeight="12.75"/>
  <cols>
    <col min="1" max="1" width="27.5703125" bestFit="1" customWidth="1"/>
    <col min="2" max="2" width="12" customWidth="1"/>
    <col min="3" max="3" width="11.285156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N3" sqref="N3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2.285156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1" width="9.140625" customWidth="1"/>
    <col min="12" max="12" width="11.28515625" bestFit="1" customWidth="1"/>
    <col min="13" max="13" width="9.140625" customWidth="1"/>
    <col min="14" max="14" width="11.28515625" bestFit="1" customWidth="1"/>
    <col min="15" max="16" width="9.140625" customWidth="1"/>
    <col min="17" max="17" width="17.42578125" bestFit="1" customWidth="1"/>
  </cols>
  <sheetData>
    <row r="1" spans="1:19" ht="12.75" customHeight="1">
      <c r="A1" s="3" t="str" cm="1">
        <f t="array" ref="A1:A2">_xlfn.UNIQUE('Future payment'!D:D)</f>
        <v>Paid Date</v>
      </c>
      <c r="D1" t="s">
        <v>4</v>
      </c>
      <c r="F1" s="3" t="str" cm="1">
        <f t="array" ref="F1:F62">_xlfn.UNIQUE('Payment Summary'!D:D)</f>
        <v>Paid Date</v>
      </c>
      <c r="I1" t="s">
        <v>7</v>
      </c>
    </row>
    <row r="2" spans="1:19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46129</v>
      </c>
      <c r="G2" s="1">
        <f>SUMIF('Payment Summary'!D:D,'Future Summary'!F2,'Payment Summary'!C:C)</f>
        <v>3997.66</v>
      </c>
      <c r="H2" s="1">
        <f>VLOOKUP(F2,PAYMENTS!A:C,3,FALSE)</f>
        <v>3997.66</v>
      </c>
      <c r="I2" t="str">
        <f t="shared" ref="I2:I17" si="1">IF(G2=H2,"Equal","Not Equal")</f>
        <v>Equal</v>
      </c>
      <c r="L2" s="69">
        <f>G2-H2</f>
        <v>0</v>
      </c>
      <c r="N2" s="69"/>
    </row>
    <row r="3" spans="1:19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46127</v>
      </c>
      <c r="G3" s="1">
        <f>SUMIF('Payment Summary'!D:D,'Future Summary'!F3,'Payment Summary'!C:C)</f>
        <v>197020.49000000005</v>
      </c>
      <c r="H3" s="1">
        <f>VLOOKUP(F3,PAYMENTS!A:C,3,FALSE)</f>
        <v>197020.49</v>
      </c>
      <c r="I3" t="str">
        <f t="shared" si="1"/>
        <v>Equal</v>
      </c>
      <c r="L3" s="69">
        <f t="shared" ref="L3:L17" si="2">G3-H3</f>
        <v>0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46104</v>
      </c>
      <c r="G4" s="1">
        <f>SUMIF('Payment Summary'!D:D,'Future Summary'!F4,'Payment Summary'!C:C)</f>
        <v>1599.07</v>
      </c>
      <c r="H4" s="1">
        <f>VLOOKUP(F4,PAYMENTS!A:C,3,FALSE)</f>
        <v>945.26</v>
      </c>
      <c r="I4" t="str">
        <f t="shared" si="1"/>
        <v>Not Equal</v>
      </c>
      <c r="L4" s="69">
        <f t="shared" si="2"/>
        <v>653.80999999999995</v>
      </c>
      <c r="P4" s="9" t="s">
        <v>406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46100</v>
      </c>
      <c r="G5" s="1">
        <f>SUMIF('Payment Summary'!D:D,'Future Summary'!F5,'Payment Summary'!C:C)</f>
        <v>8714.4599999999991</v>
      </c>
      <c r="H5" s="1">
        <f>VLOOKUP(F5,PAYMENTS!A:C,3,FALSE)</f>
        <v>0</v>
      </c>
      <c r="I5" t="str">
        <f t="shared" si="1"/>
        <v>Not Equal</v>
      </c>
      <c r="L5" s="69">
        <f t="shared" si="2"/>
        <v>8714.4599999999991</v>
      </c>
      <c r="P5" s="9" t="s">
        <v>406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46099</v>
      </c>
      <c r="G6" s="1">
        <f>SUMIF('Payment Summary'!D:D,'Future Summary'!F6,'Payment Summary'!C:C)</f>
        <v>1599.07</v>
      </c>
      <c r="H6" s="1">
        <f>VLOOKUP(F6,PAYMENTS!A:C,3,FALSE)</f>
        <v>0</v>
      </c>
      <c r="I6" t="str">
        <f t="shared" si="1"/>
        <v>Not Equal</v>
      </c>
      <c r="L6" s="69">
        <f t="shared" si="2"/>
        <v>1599.07</v>
      </c>
      <c r="P6" s="9" t="s">
        <v>406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46097</v>
      </c>
      <c r="G7" s="1">
        <f>SUMIF('Payment Summary'!D:D,'Future Summary'!F7,'Payment Summary'!C:C)</f>
        <v>205613.80000000002</v>
      </c>
      <c r="H7" s="1">
        <f>VLOOKUP(F7,PAYMENTS!A:C,3,FALSE)</f>
        <v>205613.8</v>
      </c>
      <c r="I7" t="str">
        <f t="shared" si="1"/>
        <v>Equal</v>
      </c>
      <c r="L7" s="69">
        <f t="shared" si="2"/>
        <v>0</v>
      </c>
      <c r="P7" s="9" t="s">
        <v>406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46094</v>
      </c>
      <c r="G8" s="1">
        <f>SUMIF('Payment Summary'!D:D,'Future Summary'!F8,'Payment Summary'!C:C)</f>
        <v>13333.53</v>
      </c>
      <c r="H8" s="1">
        <f>VLOOKUP(F8,PAYMENTS!A:C,3,FALSE)</f>
        <v>9660.52</v>
      </c>
      <c r="I8" t="str">
        <f t="shared" si="1"/>
        <v>Not Equal</v>
      </c>
      <c r="L8" s="69">
        <f t="shared" si="2"/>
        <v>3673.01</v>
      </c>
      <c r="P8" s="9" t="s">
        <v>406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46092</v>
      </c>
      <c r="G9" s="1">
        <f>SUMIF('Payment Summary'!D:D,'Future Summary'!F9,'Payment Summary'!C:C)</f>
        <v>1271.6400000000001</v>
      </c>
      <c r="H9" s="1">
        <f>VLOOKUP(F9,PAYMENTS!A:C,3,FALSE)</f>
        <v>0</v>
      </c>
      <c r="I9" t="str">
        <f t="shared" si="1"/>
        <v>Not Equal</v>
      </c>
      <c r="L9" s="69">
        <f t="shared" si="2"/>
        <v>1271.6400000000001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46073</v>
      </c>
      <c r="G10" s="1">
        <f>SUMIF('Payment Summary'!D:D,'Future Summary'!F10,'Payment Summary'!C:C)</f>
        <v>4264.17</v>
      </c>
      <c r="H10" s="1">
        <f>VLOOKUP(F10,PAYMENTS!A:C,3,FALSE)</f>
        <v>2874.56</v>
      </c>
      <c r="I10" t="str">
        <f t="shared" si="1"/>
        <v>Not Equal</v>
      </c>
      <c r="L10" s="69">
        <f t="shared" si="2"/>
        <v>1389.6100000000001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46072</v>
      </c>
      <c r="G11" s="1">
        <f>SUMIF('Payment Summary'!D:D,'Future Summary'!F11,'Payment Summary'!C:C)</f>
        <v>6511.94</v>
      </c>
      <c r="H11" s="1">
        <f>VLOOKUP(F11,PAYMENTS!A:C,3,FALSE)</f>
        <v>0</v>
      </c>
      <c r="I11" t="str">
        <f t="shared" si="1"/>
        <v>Not Equal</v>
      </c>
      <c r="L11" s="69">
        <f t="shared" si="2"/>
        <v>6511.94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46070</v>
      </c>
      <c r="G12" s="1">
        <f>SUMIF('Payment Summary'!D:D,'Future Summary'!F12,'Payment Summary'!C:C)</f>
        <v>214756.81</v>
      </c>
      <c r="H12" s="1">
        <f>VLOOKUP(F12,PAYMENTS!A:C,3,FALSE)</f>
        <v>203663.29</v>
      </c>
      <c r="I12" t="str">
        <f t="shared" si="1"/>
        <v>Not Equal</v>
      </c>
      <c r="L12" s="69">
        <f t="shared" si="2"/>
        <v>11093.51999999999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46048</v>
      </c>
      <c r="G13" s="1">
        <f>SUMIF('Payment Summary'!D:D,'Future Summary'!F13,'Payment Summary'!C:C)</f>
        <v>420.13</v>
      </c>
      <c r="H13" s="1">
        <f>VLOOKUP(F13,PAYMENTS!A:C,3,FALSE)</f>
        <v>0</v>
      </c>
      <c r="I13" t="str">
        <f t="shared" si="1"/>
        <v>Not Equal</v>
      </c>
      <c r="L13" s="69">
        <f t="shared" si="2"/>
        <v>420.13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46043</v>
      </c>
      <c r="G14" s="1">
        <f>SUMIF('Payment Summary'!D:D,'Future Summary'!F14,'Payment Summary'!C:C)</f>
        <v>1332.55</v>
      </c>
      <c r="H14" s="1">
        <f>VLOOKUP(F14,PAYMENTS!A:C,3,FALSE)</f>
        <v>0</v>
      </c>
      <c r="I14" t="str">
        <f t="shared" si="1"/>
        <v>Not Equal</v>
      </c>
      <c r="L14" s="69">
        <f t="shared" si="2"/>
        <v>1332.55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46038</v>
      </c>
      <c r="G15" s="1">
        <f>SUMIF('Payment Summary'!D:D,'Future Summary'!F15,'Payment Summary'!C:C)</f>
        <v>185303.87000000002</v>
      </c>
      <c r="H15" s="1">
        <f>VLOOKUP(F15,PAYMENTS!A:C,3,FALSE)</f>
        <v>181425.26</v>
      </c>
      <c r="I15" t="str">
        <f t="shared" si="1"/>
        <v>Not Equal</v>
      </c>
      <c r="L15" s="69">
        <f t="shared" si="2"/>
        <v>3878.6100000000151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46013</v>
      </c>
      <c r="G16" s="1">
        <f>SUMIF('Payment Summary'!D:D,'Future Summary'!F16,'Payment Summary'!C:C)</f>
        <v>7882.41</v>
      </c>
      <c r="H16" s="1">
        <f>VLOOKUP(F16,PAYMENTS!A:C,3,FALSE)</f>
        <v>4974.04</v>
      </c>
      <c r="I16" t="str">
        <f t="shared" si="1"/>
        <v>Not Equal</v>
      </c>
      <c r="L16" s="69">
        <f t="shared" si="2"/>
        <v>2908.37</v>
      </c>
    </row>
    <row r="17" spans="2:12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46010</v>
      </c>
      <c r="G17" s="1">
        <f>SUMIF('Payment Summary'!D:D,'Future Summary'!F17,'Payment Summary'!C:C)</f>
        <v>6059.22</v>
      </c>
      <c r="H17" s="1">
        <f>VLOOKUP(F17,PAYMENTS!A:C,3,FALSE)</f>
        <v>0</v>
      </c>
      <c r="I17" t="str">
        <f t="shared" si="1"/>
        <v>Not Equal</v>
      </c>
      <c r="L17" s="69">
        <f t="shared" si="2"/>
        <v>6059.22</v>
      </c>
    </row>
    <row r="18" spans="2:12" ht="12.75" customHeight="1">
      <c r="B18" s="1" t="e">
        <f>SUMIF(#REF!,#REF!,#REF!)</f>
        <v>#REF!</v>
      </c>
      <c r="F18" s="3">
        <v>46007</v>
      </c>
      <c r="G18" s="1"/>
      <c r="H18" s="1"/>
    </row>
    <row r="19" spans="2:12" ht="12.75" customHeight="1">
      <c r="B19" s="1" t="e">
        <f>SUMIF(#REF!,#REF!,#REF!)</f>
        <v>#REF!</v>
      </c>
      <c r="F19" s="3">
        <v>46006</v>
      </c>
      <c r="G19" s="1"/>
      <c r="H19" s="1"/>
    </row>
    <row r="20" spans="2:12" ht="12.75" customHeight="1">
      <c r="B20" s="1" t="e">
        <f>SUMIF(#REF!,#REF!,#REF!)</f>
        <v>#REF!</v>
      </c>
      <c r="F20" s="3">
        <v>45994</v>
      </c>
      <c r="G20" s="1"/>
      <c r="H20" s="1"/>
    </row>
    <row r="21" spans="2:12" ht="12.75" customHeight="1">
      <c r="B21" s="1" t="e">
        <f>SUMIF(#REF!,#REF!,#REF!)</f>
        <v>#REF!</v>
      </c>
      <c r="F21" s="3">
        <v>45980</v>
      </c>
      <c r="G21" s="1"/>
      <c r="H21" s="1"/>
    </row>
    <row r="22" spans="2:12" ht="12.75" customHeight="1">
      <c r="B22" s="1" t="e">
        <f>SUMIF(#REF!,#REF!,#REF!)</f>
        <v>#REF!</v>
      </c>
      <c r="F22" s="3">
        <v>45978</v>
      </c>
      <c r="G22" s="1"/>
      <c r="H22" s="1"/>
    </row>
    <row r="23" spans="2:12" ht="12.75" customHeight="1">
      <c r="B23" s="1" t="e">
        <f>SUMIF(#REF!,#REF!,#REF!)</f>
        <v>#REF!</v>
      </c>
      <c r="F23" s="3">
        <v>45971</v>
      </c>
      <c r="G23" s="1"/>
      <c r="H23" s="1"/>
    </row>
    <row r="24" spans="2:12" ht="12.75" customHeight="1">
      <c r="B24" s="1" t="e">
        <f>SUMIF(#REF!,#REF!,#REF!)</f>
        <v>#REF!</v>
      </c>
      <c r="F24" s="3">
        <v>45967</v>
      </c>
      <c r="G24" s="1"/>
      <c r="H24" s="1"/>
    </row>
    <row r="25" spans="2:12" ht="12.75" customHeight="1">
      <c r="B25" s="1" t="e">
        <f>SUMIF(#REF!,#REF!,#REF!)</f>
        <v>#REF!</v>
      </c>
      <c r="F25" s="3">
        <v>45966</v>
      </c>
      <c r="G25" s="1"/>
      <c r="H25" s="1"/>
    </row>
    <row r="26" spans="2:12" ht="12.75" customHeight="1">
      <c r="B26" s="1" t="e">
        <f>SUMIF(#REF!,#REF!,#REF!)</f>
        <v>#REF!</v>
      </c>
      <c r="F26" s="3">
        <v>45961</v>
      </c>
      <c r="G26" s="1"/>
      <c r="H26" s="1"/>
    </row>
    <row r="27" spans="2:12" ht="12.75" customHeight="1">
      <c r="B27" s="1" t="e">
        <f>SUMIF(#REF!,#REF!,#REF!)</f>
        <v>#REF!</v>
      </c>
      <c r="F27" s="3">
        <v>45951</v>
      </c>
      <c r="G27" s="1"/>
      <c r="H27" s="1"/>
    </row>
    <row r="28" spans="2:12" ht="12.75" customHeight="1">
      <c r="B28" s="1" t="e">
        <f>SUMIF(#REF!,#REF!,#REF!)</f>
        <v>#REF!</v>
      </c>
      <c r="F28" s="3">
        <v>45950</v>
      </c>
      <c r="G28" s="1"/>
      <c r="H28" s="1"/>
    </row>
    <row r="29" spans="2:12" ht="12.75" customHeight="1">
      <c r="B29" s="1" t="e">
        <f>SUMIF(#REF!,#REF!,#REF!)</f>
        <v>#REF!</v>
      </c>
      <c r="F29" s="3">
        <v>45945</v>
      </c>
      <c r="G29" s="1"/>
      <c r="H29" s="1"/>
    </row>
    <row r="30" spans="2:12" ht="12.75" customHeight="1">
      <c r="B30" s="1" t="e">
        <f>SUMIF(#REF!,#REF!,#REF!)</f>
        <v>#REF!</v>
      </c>
      <c r="F30" s="3">
        <v>45923</v>
      </c>
      <c r="G30" s="1"/>
      <c r="H30" s="1"/>
    </row>
    <row r="31" spans="2:12" ht="12.75" customHeight="1">
      <c r="B31" s="1" t="e">
        <f>SUMIF(#REF!,#REF!,#REF!)</f>
        <v>#REF!</v>
      </c>
      <c r="F31" s="3">
        <v>45916</v>
      </c>
      <c r="G31" s="1"/>
      <c r="H31" s="1"/>
    </row>
    <row r="32" spans="2:12" ht="12.75" customHeight="1">
      <c r="B32" s="1" t="e">
        <f>SUMIF(#REF!,#REF!,#REF!)</f>
        <v>#REF!</v>
      </c>
      <c r="F32" s="3">
        <v>45911</v>
      </c>
      <c r="G32" s="1"/>
      <c r="H32" s="1"/>
    </row>
    <row r="33" spans="2:8" ht="12.75" customHeight="1">
      <c r="B33" s="1" t="e">
        <f>SUMIF(#REF!,#REF!,#REF!)</f>
        <v>#REF!</v>
      </c>
      <c r="F33" s="3">
        <v>45910</v>
      </c>
      <c r="G33" s="1"/>
      <c r="H33" s="1"/>
    </row>
    <row r="34" spans="2:8" ht="12.75" customHeight="1">
      <c r="B34" s="1" t="e">
        <f>SUMIF(#REF!,#REF!,#REF!)</f>
        <v>#REF!</v>
      </c>
      <c r="F34" s="3">
        <v>45903</v>
      </c>
      <c r="G34" s="1"/>
      <c r="H34" s="1"/>
    </row>
    <row r="35" spans="2:8" ht="12.75" customHeight="1">
      <c r="B35" s="1" t="e">
        <f>SUMIF(#REF!,#REF!,#REF!)</f>
        <v>#REF!</v>
      </c>
      <c r="F35" s="3">
        <v>45884</v>
      </c>
      <c r="G35" s="1"/>
      <c r="H35" s="1"/>
    </row>
    <row r="36" spans="2:8" ht="12.75" customHeight="1">
      <c r="B36" s="1" t="e">
        <f>SUMIF(#REF!,#REF!,#REF!)</f>
        <v>#REF!</v>
      </c>
      <c r="F36" s="3">
        <v>45866</v>
      </c>
      <c r="G36" s="1"/>
      <c r="H36" s="1"/>
    </row>
    <row r="37" spans="2:8" ht="12.75" customHeight="1">
      <c r="B37" s="1" t="e">
        <f>SUMIF(#REF!,#REF!,#REF!)</f>
        <v>#REF!</v>
      </c>
      <c r="F37" s="3">
        <v>45861</v>
      </c>
      <c r="G37" s="1"/>
      <c r="H37" s="1"/>
    </row>
    <row r="38" spans="2:8" ht="12.75" customHeight="1">
      <c r="B38" s="1" t="e">
        <f>SUMIF(#REF!,#REF!,#REF!)</f>
        <v>#REF!</v>
      </c>
      <c r="F38" s="3">
        <v>45854</v>
      </c>
      <c r="G38" s="1"/>
      <c r="H38" s="1"/>
    </row>
    <row r="39" spans="2:8" ht="12.75" customHeight="1">
      <c r="B39" s="1" t="e">
        <f>SUMIF(#REF!,#REF!,#REF!)</f>
        <v>#REF!</v>
      </c>
      <c r="F39" s="3">
        <v>45853</v>
      </c>
      <c r="G39" s="1"/>
      <c r="H39" s="1"/>
    </row>
    <row r="40" spans="2:8" ht="12.75" customHeight="1">
      <c r="B40" s="1" t="e">
        <f>SUMIF(#REF!,#REF!,#REF!)</f>
        <v>#REF!</v>
      </c>
      <c r="F40" s="3">
        <v>45847</v>
      </c>
      <c r="G40" s="1"/>
      <c r="H40" s="1"/>
    </row>
    <row r="41" spans="2:8" ht="12.75" customHeight="1">
      <c r="B41" s="1" t="e">
        <f>SUMIF(#REF!,#REF!,#REF!)</f>
        <v>#REF!</v>
      </c>
      <c r="F41" s="3">
        <v>45845</v>
      </c>
      <c r="G41" s="1"/>
      <c r="H41" s="1"/>
    </row>
    <row r="42" spans="2:8" ht="12.75" customHeight="1">
      <c r="B42" s="1" t="e">
        <f>SUMIF(#REF!,#REF!,#REF!)</f>
        <v>#REF!</v>
      </c>
      <c r="F42" s="3">
        <v>45824</v>
      </c>
      <c r="G42" s="1"/>
      <c r="H42" s="1"/>
    </row>
    <row r="43" spans="2:8" ht="12.75" customHeight="1">
      <c r="F43" s="3">
        <v>45792</v>
      </c>
      <c r="G43" s="1"/>
      <c r="H43" s="1"/>
    </row>
    <row r="44" spans="2:8" ht="12.75" customHeight="1">
      <c r="F44" s="3">
        <v>45763</v>
      </c>
      <c r="G44" s="1"/>
      <c r="H44" s="1"/>
    </row>
    <row r="45" spans="2:8" ht="12.75" customHeight="1">
      <c r="F45" s="3">
        <v>45762</v>
      </c>
      <c r="G45" s="1"/>
      <c r="H45" s="1"/>
    </row>
    <row r="46" spans="2:8" ht="12.75" customHeight="1">
      <c r="F46" s="3">
        <v>45733</v>
      </c>
      <c r="G46" s="1"/>
      <c r="H46" s="1"/>
    </row>
    <row r="47" spans="2:8" ht="12.75" customHeight="1">
      <c r="F47" s="3">
        <v>45707</v>
      </c>
      <c r="G47" s="1"/>
      <c r="H47" s="1"/>
    </row>
    <row r="48" spans="2:8" ht="12.75" customHeight="1">
      <c r="F48" s="3">
        <v>45706</v>
      </c>
      <c r="G48" s="1"/>
      <c r="H48" s="1"/>
    </row>
    <row r="49" spans="6:8" ht="12.75" customHeight="1">
      <c r="F49" s="3">
        <v>45701</v>
      </c>
      <c r="G49" s="1"/>
      <c r="H49" s="1"/>
    </row>
    <row r="50" spans="6:8" ht="12.75" customHeight="1">
      <c r="F50" s="3">
        <v>45684</v>
      </c>
      <c r="G50" s="1"/>
      <c r="H50" s="1"/>
    </row>
    <row r="51" spans="6:8" ht="12.75" customHeight="1">
      <c r="F51" s="3">
        <v>45680</v>
      </c>
      <c r="G51" s="1"/>
      <c r="H51" s="1"/>
    </row>
    <row r="52" spans="6:8" ht="12.75" customHeight="1">
      <c r="F52" s="3">
        <v>45673</v>
      </c>
      <c r="G52" s="1"/>
      <c r="H52" s="1"/>
    </row>
    <row r="53" spans="6:8" ht="12.75" customHeight="1">
      <c r="F53" s="3">
        <v>45672</v>
      </c>
      <c r="G53" s="1"/>
      <c r="H53" s="1"/>
    </row>
    <row r="54" spans="6:8" ht="12.75" customHeight="1">
      <c r="F54" s="3">
        <v>45664</v>
      </c>
      <c r="G54" s="1"/>
      <c r="H54" s="1"/>
    </row>
    <row r="55" spans="6:8" ht="12.75" customHeight="1">
      <c r="F55" s="3">
        <v>45652</v>
      </c>
      <c r="G55" s="1"/>
      <c r="H55" s="1"/>
    </row>
    <row r="56" spans="6:8" ht="12.75" customHeight="1">
      <c r="F56" s="3">
        <v>45642</v>
      </c>
      <c r="G56" s="1"/>
      <c r="H56" s="1"/>
    </row>
    <row r="57" spans="6:8" ht="12.75" customHeight="1">
      <c r="F57" s="3">
        <v>45635</v>
      </c>
      <c r="G57" s="1"/>
      <c r="H57" s="1"/>
    </row>
    <row r="58" spans="6:8" ht="12.75" customHeight="1">
      <c r="F58" s="3">
        <v>45611</v>
      </c>
      <c r="G58" s="1"/>
      <c r="H58" s="1"/>
    </row>
    <row r="59" spans="6:8" ht="12.75" customHeight="1">
      <c r="F59" s="3">
        <v>45586</v>
      </c>
      <c r="G59" s="1"/>
      <c r="H59" s="1"/>
    </row>
    <row r="60" spans="6:8" ht="12.75" customHeight="1">
      <c r="F60" s="3">
        <v>45583</v>
      </c>
      <c r="G60" s="1"/>
      <c r="H60" s="1"/>
    </row>
    <row r="61" spans="6:8" ht="12.75" customHeight="1">
      <c r="F61" s="3">
        <v>45580</v>
      </c>
      <c r="G61" s="1"/>
      <c r="H61" s="1"/>
    </row>
    <row r="62" spans="6:8" ht="12.75" customHeight="1">
      <c r="F62" s="3">
        <v>0</v>
      </c>
      <c r="G62" s="1"/>
      <c r="H62" s="1"/>
    </row>
    <row r="63" spans="6:8" ht="12.75" customHeight="1">
      <c r="G63" s="1"/>
    </row>
    <row r="64" spans="6:8" ht="12.75" customHeight="1">
      <c r="G64" s="1"/>
    </row>
    <row r="65" spans="7:7" ht="12.75" customHeight="1">
      <c r="G65" s="1"/>
    </row>
    <row r="66" spans="7:7" ht="12.75" customHeight="1">
      <c r="G66" s="1"/>
    </row>
    <row r="67" spans="7:7" ht="12.75" customHeight="1">
      <c r="G67" s="1"/>
    </row>
    <row r="68" spans="7:7" ht="12.75" customHeight="1">
      <c r="G68" s="1"/>
    </row>
    <row r="69" spans="7:7" ht="12.75" customHeight="1">
      <c r="G69" s="1"/>
    </row>
    <row r="70" spans="7:7" ht="12.75" customHeight="1">
      <c r="G70" s="1"/>
    </row>
    <row r="71" spans="7:7" ht="12.75" customHeight="1">
      <c r="G71" s="1"/>
    </row>
    <row r="72" spans="7:7" ht="12.75" customHeight="1">
      <c r="G72" s="1"/>
    </row>
    <row r="73" spans="7:7" ht="12.75" customHeight="1">
      <c r="G73" s="1"/>
    </row>
    <row r="74" spans="7:7" ht="12.75" customHeight="1">
      <c r="G74" s="1"/>
    </row>
    <row r="75" spans="7:7" ht="12.75" customHeight="1">
      <c r="G75" s="1"/>
    </row>
    <row r="76" spans="7:7" ht="12.75" customHeight="1">
      <c r="G76" s="1"/>
    </row>
    <row r="77" spans="7:7" ht="12.75" customHeight="1">
      <c r="G77" s="1"/>
    </row>
    <row r="78" spans="7:7" ht="12.75" customHeight="1">
      <c r="G78" s="1"/>
    </row>
    <row r="79" spans="7:7" ht="12.75" customHeight="1">
      <c r="G79" s="1"/>
    </row>
    <row r="80" spans="7:7" ht="12.75" customHeight="1">
      <c r="G80" s="1"/>
    </row>
    <row r="81" spans="7:7" ht="12.75" customHeight="1">
      <c r="G81" s="1"/>
    </row>
    <row r="82" spans="7:7" ht="12.75" customHeight="1">
      <c r="G82" s="1"/>
    </row>
    <row r="83" spans="7:7" ht="12.75" customHeight="1">
      <c r="G83" s="1"/>
    </row>
    <row r="84" spans="7:7" ht="12.75" customHeight="1">
      <c r="G84" s="1"/>
    </row>
    <row r="85" spans="7:7" ht="12.75" customHeight="1">
      <c r="G85" s="1"/>
    </row>
    <row r="86" spans="7:7" ht="12.75" customHeight="1">
      <c r="G86" s="1"/>
    </row>
    <row r="87" spans="7:7" ht="12.75" customHeight="1">
      <c r="G87" s="1"/>
    </row>
    <row r="88" spans="7:7" ht="12.75" customHeight="1">
      <c r="G88" s="1"/>
    </row>
    <row r="89" spans="7:7" ht="12.75" customHeight="1">
      <c r="G89" s="1"/>
    </row>
    <row r="90" spans="7:7" ht="12.75" customHeight="1">
      <c r="G90" s="1"/>
    </row>
    <row r="91" spans="7:7" ht="12.75" customHeight="1">
      <c r="G91" s="1"/>
    </row>
    <row r="92" spans="7:7" ht="12.75" customHeight="1">
      <c r="G92" s="1"/>
    </row>
    <row r="93" spans="7:7" ht="12.75" customHeight="1">
      <c r="G93" s="1"/>
    </row>
    <row r="94" spans="7:7" ht="12.75" customHeight="1">
      <c r="G94" s="1"/>
    </row>
    <row r="95" spans="7:7" ht="12.75" customHeight="1">
      <c r="G95" s="1"/>
    </row>
    <row r="96" spans="7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F24" sqref="F24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144</v>
      </c>
      <c r="C1" s="50" t="s">
        <v>407</v>
      </c>
      <c r="D1" s="51" t="s">
        <v>408</v>
      </c>
      <c r="E1" s="52" t="s">
        <v>409</v>
      </c>
      <c r="F1" s="53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tabSelected="1" workbookViewId="0">
      <selection activeCell="G22" sqref="G22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410</v>
      </c>
      <c r="B1" s="55" t="s">
        <v>411</v>
      </c>
      <c r="C1" s="56" t="s">
        <v>412</v>
      </c>
      <c r="D1" s="55" t="s">
        <v>413</v>
      </c>
      <c r="E1" s="56" t="s">
        <v>141</v>
      </c>
      <c r="F1" s="57" t="s">
        <v>414</v>
      </c>
      <c r="G1" s="62" t="s">
        <v>415</v>
      </c>
      <c r="H1" s="62" t="s">
        <v>416</v>
      </c>
      <c r="I1" s="62" t="s">
        <v>417</v>
      </c>
      <c r="K1" s="62" t="s">
        <v>418</v>
      </c>
      <c r="L1" t="s">
        <v>419</v>
      </c>
    </row>
    <row r="2" spans="1:12" ht="15">
      <c r="A2" s="61">
        <v>2024</v>
      </c>
      <c r="B2" s="58">
        <v>12.780099999999999</v>
      </c>
      <c r="C2" s="59">
        <v>33494.01</v>
      </c>
      <c r="D2" s="60">
        <f>B2*C2</f>
        <v>428056.79720099998</v>
      </c>
      <c r="E2" s="59">
        <v>790249.11</v>
      </c>
      <c r="F2" s="59">
        <f>D2-E2</f>
        <v>-362192.31279900001</v>
      </c>
    </row>
    <row r="3" spans="1:12" ht="15">
      <c r="A3" s="61">
        <v>2025</v>
      </c>
      <c r="B3" s="58">
        <v>21.1675</v>
      </c>
      <c r="C3" s="59">
        <v>34465.339999999997</v>
      </c>
      <c r="D3" s="60">
        <f t="shared" ref="D3:D4" si="0">B3*C3</f>
        <v>729545.08444999997</v>
      </c>
      <c r="E3" s="59">
        <v>532445.71</v>
      </c>
      <c r="F3" s="59">
        <f t="shared" ref="F3:F4" si="1">D3-E3</f>
        <v>197099.37445</v>
      </c>
    </row>
    <row r="4" spans="1:12" ht="15">
      <c r="A4" s="61">
        <v>2026</v>
      </c>
      <c r="B4" s="58">
        <v>47.743200000000002</v>
      </c>
      <c r="C4" s="59">
        <v>35361.440000000002</v>
      </c>
      <c r="D4" s="60">
        <f t="shared" si="0"/>
        <v>1688268.3022080001</v>
      </c>
      <c r="E4" s="59">
        <v>1150572.3</v>
      </c>
      <c r="F4" s="59">
        <f t="shared" si="1"/>
        <v>537696.00220800005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2026-04-24T15:55:53Z</dcterms:modified>
</cp:coreProperties>
</file>