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Automation\Files\AgenciesHospice\"/>
    </mc:Choice>
  </mc:AlternateContent>
  <xr:revisionPtr revIDLastSave="0" documentId="13_ncr:1_{6992092B-E53F-4526-9523-88A0E4ACE15B}" xr6:coauthVersionLast="47" xr6:coauthVersionMax="47" xr10:uidLastSave="{00000000-0000-0000-0000-000000000000}"/>
  <bookViews>
    <workbookView showHorizontalScroll="0" showVerticalScroll="0" xWindow="-120" yWindow="-120" windowWidth="38640" windowHeight="15720" activeTab="1" xr2:uid="{00000000-000D-0000-FFFF-FFFF00000000}"/>
  </bookViews>
  <sheets>
    <sheet name="Claims FY26" sheetId="14" r:id="rId1"/>
    <sheet name="Claims FY25" sheetId="15" r:id="rId2"/>
    <sheet name="PAYMENTS" sheetId="2" r:id="rId3"/>
    <sheet name="Payment Summary" sheetId="11" r:id="rId4"/>
    <sheet name="Future payment" sheetId="4" r:id="rId5"/>
    <sheet name="Future Summary" sheetId="5" r:id="rId6"/>
    <sheet name="In Process" sheetId="12" r:id="rId7"/>
    <sheet name="Cap" sheetId="13" r:id="rId8"/>
  </sheets>
  <calcPr calcId="191029" fullCalcOnLoad="1"/>
  <customWorkbookViews>
    <customWorkbookView name="Filter 1" guid="{A0CAE20E-9122-4930-BCDD-9DF555004942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<sst xmlns="http://schemas.openxmlformats.org/spreadsheetml/2006/main" count="210" uniqueCount="210">
  <si>
    <t>PATIENTS NAME</t>
  </si>
  <si>
    <t>Status</t>
  </si>
  <si>
    <t>SOC</t>
  </si>
  <si>
    <t>DC Status</t>
  </si>
  <si>
    <t>End Date</t>
  </si>
  <si>
    <t>Month 1</t>
  </si>
  <si>
    <t>Paid 1</t>
  </si>
  <si>
    <t>Status 1</t>
  </si>
  <si>
    <t>Month2</t>
  </si>
  <si>
    <t>Paid 2</t>
  </si>
  <si>
    <t>Status 2</t>
  </si>
  <si>
    <t>Month3</t>
  </si>
  <si>
    <t>Paid 3</t>
  </si>
  <si>
    <t>Status 3</t>
  </si>
  <si>
    <t>Month4</t>
  </si>
  <si>
    <t>Paid 4</t>
  </si>
  <si>
    <t>Status 4</t>
  </si>
  <si>
    <t>Month5</t>
  </si>
  <si>
    <t>Paid 5</t>
  </si>
  <si>
    <t>Status 5</t>
  </si>
  <si>
    <t>Month6</t>
  </si>
  <si>
    <t>Paid 6</t>
  </si>
  <si>
    <t>Status 6</t>
  </si>
  <si>
    <t>Month7</t>
  </si>
  <si>
    <t>Paid7</t>
  </si>
  <si>
    <t>Status7</t>
  </si>
  <si>
    <t>Month8</t>
  </si>
  <si>
    <t>Paid8</t>
  </si>
  <si>
    <t>Status8</t>
  </si>
  <si>
    <t>Month9</t>
  </si>
  <si>
    <t>Paid 9</t>
  </si>
  <si>
    <t>Status9</t>
  </si>
  <si>
    <t>Month10</t>
  </si>
  <si>
    <t>PAid10</t>
  </si>
  <si>
    <t>Status10</t>
  </si>
  <si>
    <t>Month11</t>
  </si>
  <si>
    <t>Paid11</t>
  </si>
  <si>
    <t>Status11</t>
  </si>
  <si>
    <t>Month12</t>
  </si>
  <si>
    <t>Paid12</t>
  </si>
  <si>
    <t>Status12</t>
  </si>
  <si>
    <t>Status 7</t>
  </si>
  <si>
    <t>HIC/MBI</t>
  </si>
  <si>
    <t>Haas, Loreen</t>
  </si>
  <si>
    <t>Approved</t>
  </si>
  <si>
    <t>Active</t>
  </si>
  <si>
    <t>7PE1XQ3FD04</t>
  </si>
  <si>
    <t>Min, Kyung</t>
  </si>
  <si>
    <t>2T27G24CF45</t>
  </si>
  <si>
    <t>Presley, Robert</t>
  </si>
  <si>
    <t>7QK4DX2CV02</t>
  </si>
  <si>
    <t>Ohkawahira, Hidemi</t>
  </si>
  <si>
    <t>5QJ1J63EM25</t>
  </si>
  <si>
    <t>Schnabel, Dawn</t>
  </si>
  <si>
    <t>7QH2CA8RN15</t>
  </si>
  <si>
    <t>Wilson, Anthony</t>
  </si>
  <si>
    <t>1EP6GW7UD42</t>
  </si>
  <si>
    <t>Stewart, Gary</t>
  </si>
  <si>
    <t>1D24QC3CW88</t>
  </si>
  <si>
    <t>Chriqui, Maurice M</t>
  </si>
  <si>
    <t>3FM4C63RT62</t>
  </si>
  <si>
    <t>Harris, Charlene</t>
  </si>
  <si>
    <t>3GH4H62DE90</t>
  </si>
  <si>
    <t>Gonzalez Suarez, Reyez</t>
  </si>
  <si>
    <t>1WC7RT7FE53</t>
  </si>
  <si>
    <t>Crowder, Mary</t>
  </si>
  <si>
    <t>4EM1CV3VV34</t>
  </si>
  <si>
    <t>Curling, Ronald</t>
  </si>
  <si>
    <t>5WK2XR5KA97</t>
  </si>
  <si>
    <t>Thompson, Mariah</t>
  </si>
  <si>
    <t>7PG5TR5RF40</t>
  </si>
  <si>
    <t>Odie, Carl</t>
  </si>
  <si>
    <t>5WX5QY2EP60</t>
  </si>
  <si>
    <t>Stone, Marilyn</t>
  </si>
  <si>
    <t>1RG3C29WG99</t>
  </si>
  <si>
    <t>Kaminsky, Zora M</t>
  </si>
  <si>
    <t>4PC4VA6QE92</t>
  </si>
  <si>
    <t>Swanson, Joy</t>
  </si>
  <si>
    <t>1QF1RX0NM02</t>
  </si>
  <si>
    <t>Schifini, Albert</t>
  </si>
  <si>
    <t>8FA6A92AA49</t>
  </si>
  <si>
    <t>Gaylard, Phyllis</t>
  </si>
  <si>
    <t>6HD7UE9XN71</t>
  </si>
  <si>
    <t>Ratliff, David E</t>
  </si>
  <si>
    <t>3Y06GJ5AM30</t>
  </si>
  <si>
    <t>Echarren, Elena</t>
  </si>
  <si>
    <t>9CH0VY4XX23</t>
  </si>
  <si>
    <t>Moore, Shirlee</t>
  </si>
  <si>
    <t>3CG4Q30XF80</t>
  </si>
  <si>
    <t>Klaus, Grant G</t>
  </si>
  <si>
    <t>5J70A90VR19</t>
  </si>
  <si>
    <t>Gomez Huerta, Francisco</t>
  </si>
  <si>
    <t>5R93JY1YG92</t>
  </si>
  <si>
    <t>Hawkins, Thomas</t>
  </si>
  <si>
    <t>Accepted</t>
  </si>
  <si>
    <t>4CG9HN2KY43</t>
  </si>
  <si>
    <t>zelevyanskaya, vera</t>
  </si>
  <si>
    <t>3RT0HC5TT37</t>
  </si>
  <si>
    <t>tucker, martin</t>
  </si>
  <si>
    <t>4U81T44EP08</t>
  </si>
  <si>
    <t>villasenor, carole</t>
  </si>
  <si>
    <t>8K27AY0QJ67</t>
  </si>
  <si>
    <t>schwartz, sheila</t>
  </si>
  <si>
    <t>6R29G33NQ23</t>
  </si>
  <si>
    <t>garcia, davina</t>
  </si>
  <si>
    <t>3KG3W51ET18</t>
  </si>
  <si>
    <t>wacker, ruth</t>
  </si>
  <si>
    <t>8UW5QU7CP77</t>
  </si>
  <si>
    <t>dixon, guandzale</t>
  </si>
  <si>
    <t>7EH0X57VY14</t>
  </si>
  <si>
    <t>ayala molina, david</t>
  </si>
  <si>
    <t>8JN8X53YE52</t>
  </si>
  <si>
    <t>winger, david</t>
  </si>
  <si>
    <t>9G60PU8KF19</t>
  </si>
  <si>
    <t>kharitonov, alexander</t>
  </si>
  <si>
    <t>4WT7F41RU20</t>
  </si>
  <si>
    <t>bell, clarkson</t>
  </si>
  <si>
    <t>8AN6TD7FK77</t>
  </si>
  <si>
    <t>DATE</t>
  </si>
  <si>
    <t>DEPOSIT</t>
  </si>
  <si>
    <t>AMOUNT</t>
  </si>
  <si>
    <t>SUSPENSE</t>
  </si>
  <si>
    <t>TOTAL</t>
  </si>
  <si>
    <t>NOTES</t>
  </si>
  <si>
    <t>PAST DUE</t>
  </si>
  <si>
    <t>November</t>
  </si>
  <si>
    <t/>
  </si>
  <si>
    <t>Total</t>
  </si>
  <si>
    <t>December</t>
  </si>
  <si>
    <t>Start Date</t>
  </si>
  <si>
    <t>Reimb</t>
  </si>
  <si>
    <t>Paid Date</t>
  </si>
  <si>
    <t>Notes</t>
  </si>
  <si>
    <t>3/3/2026</t>
  </si>
  <si>
    <t>3/19/2026</t>
  </si>
  <si>
    <t>3/6/2026</t>
  </si>
  <si>
    <t>Kaminsky, Zora</t>
  </si>
  <si>
    <t>3/1/2026</t>
  </si>
  <si>
    <t>3/24/2026</t>
  </si>
  <si>
    <t>2/25/2026</t>
  </si>
  <si>
    <t>2/28/2026</t>
  </si>
  <si>
    <t>2/20/2026</t>
  </si>
  <si>
    <t>2/1/2026</t>
  </si>
  <si>
    <t>Cap Repayment</t>
  </si>
  <si>
    <t>Garcia, Davina</t>
  </si>
  <si>
    <t>Chriqui, Maurice</t>
  </si>
  <si>
    <t>1/11/2026</t>
  </si>
  <si>
    <t>1/8/2026</t>
  </si>
  <si>
    <t>1/7/2026</t>
  </si>
  <si>
    <t>1/1/2026</t>
  </si>
  <si>
    <t>12/5/2025</t>
  </si>
  <si>
    <t>12/1/2025</t>
  </si>
  <si>
    <t>10/13/2025</t>
  </si>
  <si>
    <t>Adjustment</t>
  </si>
  <si>
    <t>10/29/2025</t>
  </si>
  <si>
    <t>10/1/2025</t>
  </si>
  <si>
    <t>11/5/2025</t>
  </si>
  <si>
    <t>10/3/2025</t>
  </si>
  <si>
    <t>11/11/2025</t>
  </si>
  <si>
    <t>11/1/2025</t>
  </si>
  <si>
    <t>9/1/2025</t>
  </si>
  <si>
    <t>Zelevyanskaya, Vera</t>
  </si>
  <si>
    <t>8/1/2025</t>
  </si>
  <si>
    <t>7/1/2025</t>
  </si>
  <si>
    <t>6/1/2025</t>
  </si>
  <si>
    <t>Bell, Clarkson</t>
  </si>
  <si>
    <t>5/3/2025</t>
  </si>
  <si>
    <t>5/1/2025</t>
  </si>
  <si>
    <t>Ayala Molina, David</t>
  </si>
  <si>
    <t>4/1/2025</t>
  </si>
  <si>
    <t>Winger, David</t>
  </si>
  <si>
    <t>4/3/2025</t>
  </si>
  <si>
    <t>Kharitonov, Alexander</t>
  </si>
  <si>
    <t>4/9/2025</t>
  </si>
  <si>
    <t>3/31/2025</t>
  </si>
  <si>
    <t>Dixon, Guandzale</t>
  </si>
  <si>
    <t>3/1/2025</t>
  </si>
  <si>
    <t>Schwartz, Sheila</t>
  </si>
  <si>
    <t>3/17/2025</t>
  </si>
  <si>
    <t>2/1/2025</t>
  </si>
  <si>
    <t>1/14/2025</t>
  </si>
  <si>
    <t>1/1/2025</t>
  </si>
  <si>
    <t>1/10/2025</t>
  </si>
  <si>
    <t>Wacker, Ruth</t>
  </si>
  <si>
    <t>1/23/2025</t>
  </si>
  <si>
    <t>Villasenor, Carole</t>
  </si>
  <si>
    <t>12/4/2024</t>
  </si>
  <si>
    <t>12/1/2024</t>
  </si>
  <si>
    <t>Tucker, Martin</t>
  </si>
  <si>
    <t>11/26/2024</t>
  </si>
  <si>
    <t>11/1/2024</t>
  </si>
  <si>
    <t>10/29/2024</t>
  </si>
  <si>
    <t>10/1/2024</t>
  </si>
  <si>
    <t>9/1/2024</t>
  </si>
  <si>
    <t>Black, Victoria</t>
  </si>
  <si>
    <t>6UM8Q28WF52</t>
  </si>
  <si>
    <t> </t>
  </si>
  <si>
    <t>Submit Date</t>
  </si>
  <si>
    <t>Projected Reimb</t>
  </si>
  <si>
    <t>Projected Paid Date</t>
  </si>
  <si>
    <t>Year</t>
  </si>
  <si>
    <t>PS&amp;R</t>
  </si>
  <si>
    <t>Annual Cap</t>
  </si>
  <si>
    <t>Cap Amount</t>
  </si>
  <si>
    <t>Actual Cap</t>
  </si>
  <si>
    <t>Projected Count</t>
  </si>
  <si>
    <t>Projected Total</t>
  </si>
  <si>
    <t>Projected Cap</t>
  </si>
  <si>
    <t>CCN</t>
  </si>
  <si>
    <t>A11743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</si>
</sst>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m/d/yyyy"/>
  </numFmts>
  <fonts count="15">
    <font>
      <sz val="10"/>
      <color rgb="FF000000"/>
      <name val="Arial"/>
    </font>
    <font>
      <b/>
      <sz val="12"/>
      <color rgb="FF000000"/>
      <name val="Arial"/>
      <family val="2"/>
    </font>
    <font>
      <b/>
      <sz val="14"/>
      <color rgb="FF000000"/>
      <name val="Arial"/>
      <family val="2"/>
    </font>
    <font>
      <sz val="10"/>
      <color rgb="FF000000"/>
      <name val="Arial"/>
      <family val="2"/>
    </font>
    <font>
      <b/>
      <sz val="11"/>
      <color indexed="9"/>
      <name val="Calibri"/>
      <family val="2"/>
    </font>
    <font>
      <b/>
      <sz val="12"/>
      <color theme="1"/>
      <name val="Arial"/>
      <family val="2"/>
    </font>
    <font>
      <sz val="11"/>
      <color rgb="FF000000"/>
      <name val="Lucida Console"/>
      <family val="3"/>
    </font>
    <font>
      <b/>
      <sz val="11"/>
      <color theme="1"/>
      <name val="Aptos Narrow"/>
      <family val="2"/>
      <scheme val="minor"/>
    </font>
    <font>
      <b/>
      <u/>
      <sz val="11"/>
      <color rgb="FF000000"/>
      <name val="Calibri"/>
      <family val="2"/>
    </font>
    <font>
      <b/>
      <u/>
      <sz val="11"/>
      <color rgb="FF0000FF"/>
      <name val="Calibri"/>
      <family val="2"/>
    </font>
    <font>
      <sz val="10"/>
      <color rgb="FF0000FF"/>
      <name val="Arial"/>
      <family val="2"/>
    </font>
    <font>
      <sz val="11"/>
      <color rgb="FF000000"/>
      <name val="Calibri"/>
      <family val="2"/>
    </font>
    <font>
      <b/>
      <sz val="12"/>
      <name val="Calibri"/>
      <family val="2"/>
    </font>
    <font>
      <sz val="10"/>
      <color rgb="FFFF0000"/>
      <name val="Arial"/>
      <family val="2"/>
    </font>
    <font>
      <sz val="10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indexed="23"/>
      </patternFill>
    </fill>
    <fill>
      <patternFill patternType="solid">
        <fgColor rgb="FFFF99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applyNumberFormat="1" fontId="3" applyFont="0" fillId="0" applyFill="0" borderId="0" applyBorder="0" applyProtection="0" applyAlignment="0"/>
    <xf numFmtId="0" fontId="3" applyFont="1" fillId="0" borderId="0"/>
  </cellStyleXfs>
  <cellXfs count="63">
    <xf numFmtId="0" fontId="0" fillId="0" borderId="0" xfId="0"/>
    <xf numFmtId="44" applyNumberFormat="1" fontId="0" applyFont="1" fillId="0" borderId="0" xfId="1"/>
    <xf numFmtId="0" fontId="2" applyFont="1" fillId="0" borderId="0" xfId="0" applyAlignment="1">
      <alignment horizontal="center" vertical="center"/>
    </xf>
    <xf numFmtId="14" applyNumberFormat="1" fontId="0" fillId="0" borderId="0" xfId="0"/>
    <xf numFmtId="44" applyNumberFormat="1" fontId="0" applyFont="1" fillId="0" borderId="0" xfId="1" applyAlignment="1">
      <alignment horizontal="right"/>
    </xf>
    <xf numFmtId="14" applyNumberFormat="1" fontId="0" fillId="0" borderId="0" xfId="0" applyAlignment="1">
      <alignment horizontal="right"/>
    </xf>
    <xf numFmtId="14" applyNumberFormat="1" fontId="5" applyFont="1" fillId="0" borderId="2" applyBorder="1" xfId="0"/>
    <xf numFmtId="0" fontId="6" applyFont="1" fillId="0" borderId="0" xfId="0"/>
    <xf numFmtId="44" applyNumberFormat="1" fontId="1" applyFont="1" fillId="0" borderId="0" xfId="1" applyAlignment="1">
      <alignment horizontal="center" vertical="center"/>
    </xf>
    <xf numFmtId="44" applyNumberFormat="1" fontId="1" applyFont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2" applyFont="1" fillId="0" borderId="0" xfId="0"/>
    <xf numFmtId="164" applyNumberFormat="1" fontId="5" applyFont="1" fillId="0" borderId="3" applyBorder="1" xfId="0"/>
    <xf numFmtId="0" fontId="5" applyFont="1" fillId="0" borderId="0" xfId="0"/>
    <xf numFmtId="0" fontId="7" applyFont="1" fillId="0" borderId="0" xfId="0"/>
    <xf numFmtId="14" applyNumberFormat="1" fontId="5" applyFont="1" fillId="0" borderId="0" xfId="0"/>
    <xf numFmtId="164" applyNumberFormat="1" fontId="5" applyFont="1" fillId="0" borderId="4" applyBorder="1" xfId="0"/>
    <xf numFmtId="164" applyNumberFormat="1" fontId="5" applyFont="1" fillId="0" borderId="0" xfId="0"/>
    <xf numFmtId="14" applyNumberFormat="1" fontId="5" applyFont="1" fillId="0" borderId="2" applyBorder="1" xfId="0" applyAlignment="1">
      <alignment horizontal="center"/>
    </xf>
    <xf numFmtId="14" applyNumberFormat="1" fontId="1" applyFont="1" fillId="0" borderId="1" applyBorder="1" xfId="0" applyAlignment="1">
      <alignment horizontal="right"/>
    </xf>
    <xf numFmtId="14" applyNumberFormat="1" fontId="1" applyFont="1" fillId="0" borderId="2" applyBorder="1" xfId="0" applyAlignment="1">
      <alignment horizontal="right"/>
    </xf>
    <xf numFmtId="164" applyNumberFormat="1" fontId="1" applyFont="1" fillId="0" borderId="3" applyBorder="1" xfId="0" applyAlignment="1">
      <alignment horizontal="center"/>
    </xf>
    <xf numFmtId="14" applyNumberFormat="1" fontId="5" applyFont="1" fillId="2" applyFill="1" borderId="5" applyBorder="1" xfId="0" applyAlignment="1">
      <alignment horizontal="center"/>
    </xf>
    <xf numFmtId="14" applyNumberFormat="1" fontId="5" applyFont="1" fillId="2" applyFill="1" borderId="6" applyBorder="1" xfId="0" applyAlignment="1">
      <alignment horizontal="center"/>
    </xf>
    <xf numFmtId="44" applyNumberFormat="1" fontId="1" applyFont="1" fillId="2" applyFill="1" borderId="4" applyBorder="1" xfId="0" applyAlignment="1">
      <alignment horizontal="center"/>
    </xf>
    <xf numFmtId="14" applyNumberFormat="1" fontId="1" applyFont="1" fillId="2" applyFill="1" borderId="1" applyBorder="1" xfId="0" applyAlignment="1">
      <alignment horizontal="center"/>
    </xf>
    <xf numFmtId="14" applyNumberFormat="1" fontId="1" applyFont="1" fillId="2" applyFill="1" borderId="2" applyBorder="1" xfId="0" applyAlignment="1">
      <alignment horizontal="center"/>
    </xf>
    <xf numFmtId="164" applyNumberFormat="1" fontId="1" applyFont="1" fillId="2" applyFill="1" borderId="3" applyBorder="1" xfId="0" applyAlignment="1">
      <alignment horizontal="center"/>
    </xf>
    <xf numFmtId="0" fontId="4" applyFont="1" fillId="3" applyFill="1" borderId="1" applyBorder="1" xfId="0"/>
    <xf numFmtId="14" applyNumberFormat="1" fontId="4" applyFont="1" fillId="3" applyFill="1" borderId="2" applyBorder="1" xfId="0" applyAlignment="1">
      <alignment horizontal="center"/>
    </xf>
    <xf numFmtId="44" applyNumberFormat="1" fontId="4" applyFont="1" fillId="3" applyFill="1" borderId="2" applyBorder="1" xfId="0"/>
    <xf numFmtId="14" applyNumberFormat="1" fontId="4" applyFont="1" fillId="3" applyFill="1" borderId="2" applyBorder="1" xfId="0" applyAlignment="1">
      <alignment horizontal="center" vertical="center"/>
    </xf>
    <xf numFmtId="0" fontId="4" applyFont="1" fillId="3" applyFill="1" borderId="3" applyBorder="1" xfId="0"/>
    <xf numFmtId="0" fontId="8" applyFont="1" fillId="0" borderId="7" applyBorder="1" xfId="0">
      <alignment wrapText="1"/>
    </xf>
    <xf numFmtId="0" fontId="9" applyFont="1" fillId="0" borderId="7" applyBorder="1" xfId="0" applyAlignment="1">
      <alignment horizontal="center" wrapText="1"/>
    </xf>
    <xf numFmtId="0" fontId="8" applyFont="1" fillId="0" borderId="7" applyBorder="1" xfId="0" applyAlignment="1">
      <alignment horizontal="center" wrapText="1"/>
    </xf>
    <xf numFmtId="0" fontId="10" applyFont="1" fillId="0" borderId="7" applyBorder="1" xfId="0" applyAlignment="1">
      <alignment horizontal="center" wrapText="1"/>
    </xf>
    <xf numFmtId="0" fontId="3" applyFont="1" fillId="0" borderId="7" applyBorder="1" xfId="0" applyAlignment="1">
      <alignment horizontal="right" wrapText="1"/>
    </xf>
    <xf numFmtId="8" applyNumberFormat="1" fontId="3" applyFont="1" fillId="0" borderId="7" applyBorder="1" xfId="0" applyAlignment="1">
      <alignment horizontal="right" wrapText="1"/>
    </xf>
    <xf numFmtId="8" applyNumberFormat="1" fontId="10" applyFont="1" fillId="0" borderId="7" applyBorder="1" xfId="0" applyAlignment="1">
      <alignment horizontal="right" wrapText="1"/>
    </xf>
    <xf numFmtId="0" fontId="11" applyFont="1" fillId="0" borderId="7" applyBorder="1" xfId="0" applyAlignment="1">
      <alignment horizontal="right" wrapText="1"/>
    </xf>
    <xf numFmtId="0" fontId="3" applyFont="1" fillId="0" borderId="0" xfId="0"/>
    <xf numFmtId="14" applyNumberFormat="1" fontId="5" applyFont="1" fillId="0" borderId="1" applyBorder="1" xfId="0"/>
    <xf numFmtId="44" applyNumberFormat="1" fontId="1" applyFont="1" fillId="0" borderId="3" applyBorder="1" xfId="1"/>
    <xf numFmtId="14" applyNumberFormat="1" fontId="12" applyFont="1" fillId="2" applyFill="1" borderId="1" applyBorder="1" xfId="0" applyAlignment="1">
      <alignment horizontal="center"/>
    </xf>
    <xf numFmtId="14" applyNumberFormat="1" fontId="12" applyFont="1" fillId="2" applyFill="1" borderId="2" applyBorder="1" xfId="0" applyAlignment="1">
      <alignment horizontal="center"/>
    </xf>
    <xf numFmtId="44" applyNumberFormat="1" fontId="1" applyFont="1" fillId="2" applyFill="1" borderId="3" applyBorder="1" xfId="0" applyAlignment="1">
      <alignment horizontal="center"/>
    </xf>
    <xf numFmtId="44" applyNumberFormat="1" fontId="1" applyFont="1" fillId="0" borderId="4" applyBorder="1" xfId="1"/>
    <xf numFmtId="44" applyNumberFormat="1" fontId="0" fillId="0" borderId="0" xfId="0"/>
    <xf numFmtId="0" fontId="13" applyFont="1" fillId="0" borderId="0" xfId="0"/>
    <xf numFmtId="0" fontId="13" applyFont="1" fillId="0" borderId="0" xfId="0" applyAlignment="1">
      <alignment horizontal="right"/>
    </xf>
    <xf numFmtId="44" applyNumberFormat="1" fontId="13" applyFont="1" fillId="0" borderId="0" xfId="1" applyAlignment="1">
      <alignment horizontal="right"/>
    </xf>
    <xf numFmtId="14" applyNumberFormat="1" fontId="13" applyFont="1" fillId="0" borderId="0" xfId="0" applyAlignment="1">
      <alignment horizontal="right"/>
    </xf>
    <xf numFmtId="0" fontId="0" fillId="4" applyFill="1" borderId="0" xfId="0"/>
    <xf numFmtId="0" fontId="0" fillId="5" applyFill="1" borderId="0" xfId="0"/>
    <xf numFmtId="0" fontId="0" fillId="6" applyFill="1" borderId="0" xfId="0"/>
    <xf numFmtId="0" fontId="14" applyFont="1" fillId="7" applyFill="1" borderId="0" xfId="0"/>
    <xf numFmtId="0" fontId="14" applyFont="1" fillId="4" applyFill="1" borderId="0" xfId="0"/>
    <xf numFmtId="164" applyNumberFormat="1" fontId="1" applyFont="1" fillId="0" borderId="5" applyBorder="1" xfId="2" applyAlignment="1">
      <alignment horizontal="center"/>
    </xf>
    <xf numFmtId="164" applyNumberFormat="1" fontId="1" applyFont="1" fillId="0" borderId="6" applyBorder="1" xfId="2" applyAlignment="1">
      <alignment horizontal="center"/>
    </xf>
    <xf numFmtId="164" applyNumberFormat="1" fontId="1" applyFont="1" fillId="0" borderId="4" applyBorder="1" xfId="2" applyAlignment="1">
      <alignment horizontal="center"/>
    </xf>
    <xf numFmtId="165" applyNumberFormat="1" fontId="0" fillId="0" borderId="0" xfId="0"/>
  </cellXfs>
  <cellStyles count="3">
    <cellStyle name="Currency" xfId="1" builtinId="4"/>
    <cellStyle name="Normal" xfId="0" builtinId="0"/>
    <cellStyle name="Normal 4" xfId="2" xr:uid="{3D73CD8E-42D3-4B5E-AE52-6F70ACBCEA7E}"/>
  </cellStyles>
  <dxfs count="58"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auto="1"/>
          <bgColor rgb="FF92D050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  <dxf>
      <fill>
        <patternFill patternType="solid">
          <fgColor indexed="64"/>
          <bgColor rgb="ffc00000"/>
        </patternFill>
      </fill>
    </dxf>
    <dxf>
      <fill>
        <patternFill patternType="solid">
          <fgColor indexed="64"/>
          <bgColor rgb="ffff9900"/>
        </patternFill>
      </fill>
    </dxf>
    <dxf>
      <fill>
        <patternFill patternType="solid">
          <fgColor indexed="64"/>
          <bgColor theme="3" tint="0.499984740745262"/>
        </patternFill>
      </fill>
    </dxf>
  </dxfs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0EF61A-B2A0-4B0E-9E4D-0FA13B0A07FD}" name="Table1" displayName="Table1" ref="A1:AQ26" totalsRowShown="0">
  <autoFilter ref="A1:AQ26" xr:uid="{5E0EF61A-B2A0-4B0E-9E4D-0FA13B0A07FD}"/>
  <tableColumns count="43">
    <tableColumn id="1" xr3:uid="{79680C5C-7245-4964-B1DD-119A447D36CD}" name="PATIENTS NAME"/>
    <tableColumn id="2" xr3:uid="{4693F866-C603-43A4-B8F4-71AF87D325BA}" name="Status" dataDxfId="1"/>
    <tableColumn id="3" xr3:uid="{EA6204EC-2A83-42D3-9EB4-41A38D8A1A15}" name="SOC"/>
    <tableColumn id="4" xr3:uid="{023544C2-C1E0-41A1-9390-4D14CD58FF8E}" name="DC Status"/>
    <tableColumn id="5" xr3:uid="{5925DEB5-15B0-484F-A9DD-313F9918DDDC}" name="End Date"/>
    <tableColumn id="6" xr3:uid="{2AB5673F-026B-4199-8DED-F25288388720}" name="Month 1"/>
    <tableColumn id="7" xr3:uid="{1593DA5E-0451-473C-94F3-9A4117ADEF70}" name="Paid 1" dataDxfId="2"/>
    <tableColumn id="8" xr3:uid="{5350386F-49C2-4501-802F-FF762BC0FD6F}" name="Status 1" dataDxfId="1"/>
    <tableColumn id="9" xr3:uid="{3B742A6B-D820-4DBA-B83B-9F18BE6A1134}" name="Month2"/>
    <tableColumn id="10" xr3:uid="{4DFFA928-BD80-4781-8269-73B23015A01F}" name="Paid 2" dataDxfId="2"/>
    <tableColumn id="11" xr3:uid="{08ABB36C-0677-47A4-AD21-741EA9994D91}" name="Status 2" dataDxfId="56"/>
    <tableColumn id="12" xr3:uid="{24653BEB-2EB2-41D9-A198-4888A30C2D75}" name="Month3"/>
    <tableColumn id="13" xr3:uid="{F7F296F6-4E3C-488C-A50E-9F1622C580B3}" name="Paid 3" dataDxfId="57"/>
    <tableColumn id="14" xr3:uid="{C75E07B5-A152-4936-8375-BA2F4652D46F}" name="Status 3" dataDxfId="56"/>
    <tableColumn id="15" xr3:uid="{06C526DD-2A88-4E04-AC5E-75AE727BDC38}" name="Month4"/>
    <tableColumn id="16" xr3:uid="{55CCC9DC-BF06-484C-B2B0-1E01B4927165}" name="Paid 4" dataDxfId="57"/>
    <tableColumn id="17" xr3:uid="{6CD1EC77-DE01-4C7E-B879-8EDFD107D0BA}" name="Status 4" dataDxfId="56"/>
    <tableColumn id="18" xr3:uid="{EEA9E716-A7BC-4992-BC5E-1686C1560BFA}" name="Month5"/>
    <tableColumn id="19" xr3:uid="{B9B7DCFB-4667-4B4E-A0DB-B65216E3CB13}" name="Paid 5" dataDxfId="57"/>
    <tableColumn id="20" xr3:uid="{0542D509-C87D-4769-83D1-CCC62591D5F5}" name="Status 5" dataDxfId="56"/>
    <tableColumn id="21" xr3:uid="{D46CD84E-7AD1-4B5E-A66E-4CBF5FC7D593}" name="Month6"/>
    <tableColumn id="22" xr3:uid="{9BB992EA-9E2C-4740-83C9-05420DDE1E6B}" name="Paid 6" dataDxfId="57"/>
    <tableColumn id="23" xr3:uid="{92012508-DF08-49B4-BB24-D2EE6AE7F45C}" name="Status 6" dataDxfId="56"/>
    <tableColumn id="24" xr3:uid="{B34DE571-528E-456C-8742-810DEC7A8D79}" name="Month7"/>
    <tableColumn id="25" xr3:uid="{932030A6-BC17-4372-87DE-59E887A8265E}" name="Paid7" dataDxfId="57"/>
    <tableColumn id="26" xr3:uid="{F4AC84D8-6123-4626-88E1-FA28690D6FB8}" name="Status7" dataDxfId="56"/>
    <tableColumn id="27" xr3:uid="{29764450-9729-4D30-BDA8-C617C921B758}" name="Month8"/>
    <tableColumn id="28" xr3:uid="{60E94431-06BD-4231-89AB-31C782EBAA87}" name="Paid8" dataDxfId="57"/>
    <tableColumn id="29" xr3:uid="{92C7CB9F-D0D1-4AEE-956B-04CF45DBFF08}" name="Status8" dataDxfId="56"/>
    <tableColumn id="30" xr3:uid="{716F2829-F4EC-4FB7-808B-92DDCCBD4D70}" name="Month9"/>
    <tableColumn id="31" xr3:uid="{A8C0E866-2E3C-48A9-9757-56EC08BD88C9}" name="Paid 9" dataDxfId="57"/>
    <tableColumn id="32" xr3:uid="{16B9DACE-E93A-4B1A-A36E-1DC4A7926F74}" name="Status9" dataDxfId="56"/>
    <tableColumn id="33" xr3:uid="{30D75DCB-D96C-4DB1-BFEB-6459428C9884}" name="Month10"/>
    <tableColumn id="34" xr3:uid="{48D3CA41-3F1F-4355-9BBE-4753CF98ABF0}" name="PAid10" dataDxfId="57"/>
    <tableColumn id="35" xr3:uid="{1FD25FAE-F2ED-43DC-BC57-9F6A7E984BB8}" name="Status10" dataDxfId="56"/>
    <tableColumn id="36" xr3:uid="{57ACB0A5-467D-4FA0-855B-3586D962198E}" name="Month11"/>
    <tableColumn id="37" xr3:uid="{BF27881B-89DC-4F3F-A760-38E67D17FAC1}" name="Paid11" dataDxfId="57"/>
    <tableColumn id="38" xr3:uid="{DA27D578-94B7-4360-9E25-420A9DDB42F0}" name="Status11" dataDxfId="56"/>
    <tableColumn id="39" xr3:uid="{4ECCBFC4-7A76-411A-BF3C-4E9BBAE23C9E}" name="Month12"/>
    <tableColumn id="40" xr3:uid="{09EAE896-6B1D-4CFA-9F73-353DDD0FEA55}" name="Paid12" dataDxfId="57"/>
    <tableColumn id="41" xr3:uid="{D26C8F2A-9E72-4CB7-BC90-7E53A68EB5AF}" name="Status12" dataDxfId="56"/>
    <tableColumn id="42" xr3:uid="{1E0F9172-1C2B-4180-882B-F72F7252AF6A}" name="Status 7" dataDxfId="0"/>
    <tableColumn id="43" xr3:uid="{55306862-031D-4262-B5C4-0D3AD81B1EFF}" name="HIC/MBI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528EB-96F3-45E1-9414-4C0881918F89}" name="Table13" displayName="Table13" ref="A1:AQ26" totalsRowShown="0">
  <autoFilter ref="A1:AQ26" xr:uid="{5E0EF61A-B2A0-4B0E-9E4D-0FA13B0A07FD}"/>
  <tableColumns count="43">
    <tableColumn id="1" xr3:uid="{98171722-563F-4CD9-8C7F-0D0D16A122B2}" name="PATIENTS NAME"/>
    <tableColumn id="2" xr3:uid="{D5A9D10A-2A77-4EBA-8342-E4E68F1F8979}" name="Status" dataDxfId="56"/>
    <tableColumn id="3" xr3:uid="{ADE803E5-2B2A-4A94-9047-38DE5837613A}" name="SOC"/>
    <tableColumn id="4" xr3:uid="{4C76909C-1B70-4357-9177-959EA7D80B15}" name="DC Status"/>
    <tableColumn id="5" xr3:uid="{7342EB60-A678-4226-9BD5-D62AA0EAE90D}" name="End Date"/>
    <tableColumn id="6" xr3:uid="{7B44E49E-40CB-4B81-855B-990B8C463A57}" name="Month 1"/>
    <tableColumn id="7" xr3:uid="{5E9BB1DF-2479-4ABC-9A72-04B91342FF7B}" name="Paid 1" dataDxfId="57"/>
    <tableColumn id="8" xr3:uid="{507F853F-F9A5-45FF-AA86-DA981EA61897}" name="Status 1" dataDxfId="56"/>
    <tableColumn id="9" xr3:uid="{29A9898A-B2E7-427B-8018-978843B6E868}" name="Month2"/>
    <tableColumn id="10" xr3:uid="{917B97FA-0FB7-4B34-A59B-855355F3FD7B}" name="Paid 2" dataDxfId="57"/>
    <tableColumn id="11" xr3:uid="{2F8E84D1-D877-4BFD-9DD4-E56C3E189AD9}" name="Status 2" dataDxfId="56"/>
    <tableColumn id="12" xr3:uid="{571C2B58-4B03-4980-9C8C-C11EB4C198FE}" name="Month3"/>
    <tableColumn id="13" xr3:uid="{79E19063-F01C-40F2-A62C-8295A4D08842}" name="Paid 3" dataDxfId="57"/>
    <tableColumn id="14" xr3:uid="{C2FD4C4A-4BE9-4D33-AEFF-955197A3AA59}" name="Status 3" dataDxfId="56"/>
    <tableColumn id="15" xr3:uid="{296EF9EE-1C46-4F05-B7D8-27BEEE91F7F0}" name="Month4"/>
    <tableColumn id="16" xr3:uid="{756CEA21-95D2-42EC-B2AA-3292D2164D4B}" name="Paid 4" dataDxfId="57"/>
    <tableColumn id="17" xr3:uid="{E2646DA4-C496-4C6C-8CD3-FC62DA38E996}" name="Status 4" dataDxfId="56"/>
    <tableColumn id="18" xr3:uid="{F9F0B96E-28FD-4AE0-8003-57936721D689}" name="Month5"/>
    <tableColumn id="19" xr3:uid="{00B99A12-380A-4482-AD62-52196AD1ECF1}" name="Paid 5" dataDxfId="57"/>
    <tableColumn id="20" xr3:uid="{F84753C3-4659-4DDD-B255-916E7C8C5FED}" name="Status 5" dataDxfId="56"/>
    <tableColumn id="21" xr3:uid="{730DBBDF-F605-4582-BB2B-4621E12381CC}" name="Month6"/>
    <tableColumn id="22" xr3:uid="{99E62618-894D-4060-9953-64330FA93905}" name="Paid 6" dataDxfId="57"/>
    <tableColumn id="23" xr3:uid="{F7A0B547-8339-44F6-9DB5-6556A056C8C1}" name="Status 6" dataDxfId="56"/>
    <tableColumn id="24" xr3:uid="{FF025702-5DD2-4886-81DD-474F62927F42}" name="Month7"/>
    <tableColumn id="25" xr3:uid="{4544EB91-0F7E-44D8-86EE-8FB721133E67}" name="Paid7" dataDxfId="57"/>
    <tableColumn id="26" xr3:uid="{2A5991A2-E602-4DE5-90BD-8B4A3B3372B3}" name="Status7" dataDxfId="56"/>
    <tableColumn id="27" xr3:uid="{29D96C77-CCC6-4A2A-A556-3F47B3315DA0}" name="Month8"/>
    <tableColumn id="28" xr3:uid="{A0051B8C-C833-4F87-8D2C-57C150E67468}" name="Paid8" dataDxfId="57"/>
    <tableColumn id="29" xr3:uid="{F8171329-4AE0-415A-A01B-D45524E4C65E}" name="Status8" dataDxfId="56"/>
    <tableColumn id="30" xr3:uid="{5F5380A1-D1C1-4E39-99D3-A1E7FADCAF5F}" name="Month9"/>
    <tableColumn id="31" xr3:uid="{7C88D953-497D-4E31-9313-85080D6EF278}" name="Paid 9" dataDxfId="57"/>
    <tableColumn id="32" xr3:uid="{CFDD2ECE-74BD-4F74-AF73-C8C1352911C8}" name="Status9" dataDxfId="56"/>
    <tableColumn id="33" xr3:uid="{A91430B1-781B-420A-96E5-6980DE0EC70A}" name="Month10"/>
    <tableColumn id="34" xr3:uid="{0B09F0B8-4EC6-426E-B852-FFADE6C97A06}" name="PAid10" dataDxfId="57"/>
    <tableColumn id="35" xr3:uid="{745B0F33-2E99-4ED9-BB7E-3411115CB964}" name="Status10" dataDxfId="56"/>
    <tableColumn id="36" xr3:uid="{2A9820F0-6ECB-49B5-BFAB-9FD464C317E5}" name="Month11"/>
    <tableColumn id="37" xr3:uid="{27095780-A732-4441-AD8D-F706F00302EB}" name="Paid11" dataDxfId="57"/>
    <tableColumn id="38" xr3:uid="{C3B218B6-DEE8-4161-BD43-768DBCC76C3C}" name="Status11" dataDxfId="56"/>
    <tableColumn id="39" xr3:uid="{765C4F70-A3E2-45AB-A27C-1746FAC1DA68}" name="Month12"/>
    <tableColumn id="40" xr3:uid="{7EE8C5E3-EE63-4970-8AA4-B7405D0E2AC7}" name="Paid12" dataDxfId="57"/>
    <tableColumn id="41" xr3:uid="{0A9D4CF7-6212-4727-BEA6-95602957297C}" name="Status12" dataDxfId="56"/>
    <tableColumn id="42" xr3:uid="{8A4C8E64-72B0-40FB-86DB-504B94F4EFE3}" name="Status 7" dataDxfId="0"/>
    <tableColumn id="43" xr3:uid="{30C7C5BA-294E-468F-A2F8-E23641F66600}" name="HIC/MBI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607D-0599-4232-9928-FC775FF09293}">
  <dimension ref="A1:AQ26"/>
  <sheetViews>
    <sheetView workbookViewId="0">
      <selection activeCell="A2" sqref="A2:AQ26"/>
    </sheetView>
  </sheetViews>
  <sheetFormatPr defaultRowHeight="12.75" x14ac:dyDescent="0.2"/>
  <cols>
    <col min="1" max="1" bestFit="1" width="21.140625" customWidth="1"/>
    <col min="2" max="2" width="8.5703125" customWidth="1" style="54"/>
    <col min="3" max="3" bestFit="1" width="10.140625" customWidth="1"/>
    <col min="4" max="4" width="11.7109375" customWidth="1"/>
    <col min="5" max="5" width="10.85546875" customWidth="1"/>
    <col min="6" max="6" width="9.85546875" customWidth="1"/>
    <col min="7" max="7" width="8.42578125" customWidth="1" style="56"/>
    <col min="8" max="8" width="10.140625" customWidth="1" style="54"/>
    <col min="9" max="9" width="9.28515625" customWidth="1"/>
    <col min="10" max="10" width="8.42578125" customWidth="1" style="56"/>
    <col min="11" max="11" width="10.140625" customWidth="1" style="54"/>
    <col min="12" max="12" width="9.28515625" customWidth="1"/>
    <col min="13" max="13" width="8.42578125" customWidth="1" style="56"/>
    <col min="14" max="14" width="10.140625" customWidth="1" style="54"/>
    <col min="15" max="15" width="9.28515625" customWidth="1"/>
    <col min="16" max="16" width="8.42578125" customWidth="1" style="56"/>
    <col min="17" max="17" width="10.140625" customWidth="1" style="54"/>
    <col min="18" max="18" width="9.28515625" customWidth="1"/>
    <col min="19" max="19" width="8.42578125" customWidth="1" style="56"/>
    <col min="20" max="20" width="10.140625" customWidth="1" style="54"/>
    <col min="21" max="21" width="9.28515625" customWidth="1"/>
    <col min="22" max="22" width="8.42578125" customWidth="1" style="56"/>
    <col min="23" max="23" width="10.140625" customWidth="1" style="54"/>
    <col min="24" max="24" width="9.28515625" customWidth="1"/>
    <col min="25" max="25" width="7.85546875" customWidth="1" style="56"/>
    <col min="26" max="26" width="9.5703125" customWidth="1" style="54"/>
    <col min="27" max="27" width="9.28515625" customWidth="1"/>
    <col min="28" max="28" width="7.85546875" customWidth="1" style="56"/>
    <col min="29" max="29" width="9.5703125" customWidth="1" style="54"/>
    <col min="30" max="30" width="9.28515625" customWidth="1"/>
    <col min="31" max="31" width="8.42578125" customWidth="1" style="56"/>
    <col min="32" max="32" width="9.5703125" customWidth="1" style="54"/>
    <col min="33" max="33" width="10.28515625" customWidth="1"/>
    <col min="34" max="34" width="9.140625" customWidth="1" style="56"/>
    <col min="35" max="35" width="10.5703125" customWidth="1" style="54"/>
    <col min="36" max="36" width="10.28515625" customWidth="1"/>
    <col min="37" max="37" width="8.85546875" customWidth="1" style="56"/>
    <col min="38" max="38" width="10.5703125" customWidth="1" style="54"/>
    <col min="39" max="39" width="10.28515625" customWidth="1"/>
    <col min="40" max="40" width="8.85546875" customWidth="1" style="56"/>
    <col min="41" max="41" width="10.5703125" customWidth="1" style="54"/>
    <col min="42" max="42" width="10.140625" customWidth="1" style="55"/>
    <col min="43" max="43" bestFit="1" width="14.5703125" customWidth="1"/>
  </cols>
  <sheetData>
    <row r="1">
      <c r="A1" s="58" t="s">
        <v>0</v>
      </c>
      <c r="B1" s="58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56" t="s">
        <v>6</v>
      </c>
      <c r="H1" s="54" t="s">
        <v>7</v>
      </c>
      <c r="I1" s="0" t="s">
        <v>8</v>
      </c>
      <c r="J1" s="56" t="s">
        <v>9</v>
      </c>
      <c r="K1" s="54" t="s">
        <v>10</v>
      </c>
      <c r="L1" s="0" t="s">
        <v>11</v>
      </c>
      <c r="M1" s="56" t="s">
        <v>12</v>
      </c>
      <c r="N1" s="54" t="s">
        <v>13</v>
      </c>
      <c r="O1" s="0" t="s">
        <v>14</v>
      </c>
      <c r="P1" s="56" t="s">
        <v>15</v>
      </c>
      <c r="Q1" s="54" t="s">
        <v>16</v>
      </c>
      <c r="R1" s="0" t="s">
        <v>17</v>
      </c>
      <c r="S1" s="56" t="s">
        <v>18</v>
      </c>
      <c r="T1" s="54" t="s">
        <v>19</v>
      </c>
      <c r="U1" s="0" t="s">
        <v>20</v>
      </c>
      <c r="V1" s="56" t="s">
        <v>21</v>
      </c>
      <c r="W1" s="54" t="s">
        <v>22</v>
      </c>
      <c r="X1" s="0" t="s">
        <v>23</v>
      </c>
      <c r="Y1" s="56" t="s">
        <v>24</v>
      </c>
      <c r="Z1" s="54" t="s">
        <v>25</v>
      </c>
      <c r="AA1" s="0" t="s">
        <v>26</v>
      </c>
      <c r="AB1" s="56" t="s">
        <v>27</v>
      </c>
      <c r="AC1" s="54" t="s">
        <v>28</v>
      </c>
      <c r="AD1" s="0" t="s">
        <v>29</v>
      </c>
      <c r="AE1" s="56" t="s">
        <v>30</v>
      </c>
      <c r="AF1" s="54" t="s">
        <v>31</v>
      </c>
      <c r="AG1" s="0" t="s">
        <v>32</v>
      </c>
      <c r="AH1" s="56" t="s">
        <v>33</v>
      </c>
      <c r="AI1" s="54" t="s">
        <v>34</v>
      </c>
      <c r="AJ1" s="0" t="s">
        <v>35</v>
      </c>
      <c r="AK1" s="56" t="s">
        <v>36</v>
      </c>
      <c r="AL1" s="54" t="s">
        <v>37</v>
      </c>
      <c r="AM1" s="0" t="s">
        <v>38</v>
      </c>
      <c r="AN1" s="56" t="s">
        <v>39</v>
      </c>
      <c r="AO1" s="54" t="s">
        <v>40</v>
      </c>
      <c r="AP1" s="55" t="s">
        <v>41</v>
      </c>
      <c r="AQ1" s="57" t="s">
        <v>42</v>
      </c>
    </row>
    <row r="2">
      <c r="A2" s="0" t="s">
        <v>43</v>
      </c>
      <c r="B2" s="54" t="s">
        <v>44</v>
      </c>
      <c r="C2" s="62">
        <v>45933</v>
      </c>
      <c r="D2" s="0" t="s">
        <v>45</v>
      </c>
      <c r="F2" s="62">
        <v>45933</v>
      </c>
      <c r="I2" s="62">
        <v>45962</v>
      </c>
      <c r="L2" s="62">
        <v>45992</v>
      </c>
      <c r="O2" s="62">
        <v>46023</v>
      </c>
      <c r="R2" s="62">
        <v>46054</v>
      </c>
      <c r="U2" s="62">
        <v>46082</v>
      </c>
      <c r="X2" s="62">
        <v>46113</v>
      </c>
      <c r="AA2" s="62">
        <v>46143</v>
      </c>
      <c r="AD2" s="62">
        <v>46174</v>
      </c>
      <c r="AG2" s="62">
        <v>46204</v>
      </c>
      <c r="AJ2" s="62">
        <v>46235</v>
      </c>
      <c r="AM2" s="62">
        <v>46266</v>
      </c>
      <c r="AQ2" s="0" t="s">
        <v>46</v>
      </c>
    </row>
    <row r="3">
      <c r="A3" s="0" t="s">
        <v>47</v>
      </c>
      <c r="B3" s="54" t="s">
        <v>44</v>
      </c>
      <c r="C3" s="62">
        <v>45943</v>
      </c>
      <c r="D3" s="0" t="s">
        <v>45</v>
      </c>
      <c r="F3" s="62">
        <v>45943</v>
      </c>
      <c r="I3" s="62">
        <v>45962</v>
      </c>
      <c r="L3" s="62">
        <v>45992</v>
      </c>
      <c r="O3" s="62">
        <v>46023</v>
      </c>
      <c r="R3" s="62">
        <v>46054</v>
      </c>
      <c r="U3" s="62">
        <v>46082</v>
      </c>
      <c r="X3" s="62">
        <v>46113</v>
      </c>
      <c r="AA3" s="62">
        <v>46143</v>
      </c>
      <c r="AD3" s="62">
        <v>46174</v>
      </c>
      <c r="AG3" s="62">
        <v>46204</v>
      </c>
      <c r="AJ3" s="62">
        <v>46235</v>
      </c>
      <c r="AM3" s="62">
        <v>46266</v>
      </c>
      <c r="AQ3" s="0" t="s">
        <v>48</v>
      </c>
    </row>
    <row r="4">
      <c r="A4" s="0" t="s">
        <v>49</v>
      </c>
      <c r="B4" s="54" t="s">
        <v>44</v>
      </c>
      <c r="C4" s="62">
        <v>45959</v>
      </c>
      <c r="D4" s="0" t="s">
        <v>45</v>
      </c>
      <c r="F4" s="62">
        <v>45959</v>
      </c>
      <c r="I4" s="62">
        <v>45962</v>
      </c>
      <c r="L4" s="62">
        <v>45992</v>
      </c>
      <c r="O4" s="62">
        <v>46023</v>
      </c>
      <c r="R4" s="62">
        <v>46054</v>
      </c>
      <c r="U4" s="62">
        <v>46082</v>
      </c>
      <c r="X4" s="62">
        <v>46113</v>
      </c>
      <c r="AA4" s="62">
        <v>46143</v>
      </c>
      <c r="AD4" s="62">
        <v>46174</v>
      </c>
      <c r="AG4" s="62">
        <v>46204</v>
      </c>
      <c r="AJ4" s="62">
        <v>46235</v>
      </c>
      <c r="AM4" s="62">
        <v>46266</v>
      </c>
      <c r="AQ4" s="0" t="s">
        <v>50</v>
      </c>
    </row>
    <row r="5">
      <c r="A5" s="0" t="s">
        <v>51</v>
      </c>
      <c r="B5" s="54" t="s">
        <v>44</v>
      </c>
      <c r="C5" s="62">
        <v>45959</v>
      </c>
      <c r="D5" s="0" t="s">
        <v>45</v>
      </c>
      <c r="F5" s="62">
        <v>45959</v>
      </c>
      <c r="I5" s="62">
        <v>45962</v>
      </c>
      <c r="L5" s="62">
        <v>45992</v>
      </c>
      <c r="O5" s="62">
        <v>46023</v>
      </c>
      <c r="R5" s="62">
        <v>46054</v>
      </c>
      <c r="U5" s="62">
        <v>46082</v>
      </c>
      <c r="X5" s="62">
        <v>46113</v>
      </c>
      <c r="AA5" s="62">
        <v>46143</v>
      </c>
      <c r="AD5" s="62">
        <v>46174</v>
      </c>
      <c r="AG5" s="62">
        <v>46204</v>
      </c>
      <c r="AJ5" s="62">
        <v>46235</v>
      </c>
      <c r="AM5" s="62">
        <v>46266</v>
      </c>
      <c r="AQ5" s="0" t="s">
        <v>52</v>
      </c>
    </row>
    <row r="6">
      <c r="A6" s="0" t="s">
        <v>53</v>
      </c>
      <c r="B6" s="54" t="s">
        <v>44</v>
      </c>
      <c r="C6" s="62">
        <v>45972</v>
      </c>
      <c r="D6" s="0" t="s">
        <v>45</v>
      </c>
      <c r="F6" s="62">
        <v>45972</v>
      </c>
      <c r="I6" s="62">
        <v>45992</v>
      </c>
      <c r="L6" s="62">
        <v>46023</v>
      </c>
      <c r="O6" s="62">
        <v>46054</v>
      </c>
      <c r="R6" s="62">
        <v>46082</v>
      </c>
      <c r="U6" s="62">
        <v>46113</v>
      </c>
      <c r="X6" s="62">
        <v>46143</v>
      </c>
      <c r="AA6" s="62">
        <v>46174</v>
      </c>
      <c r="AD6" s="62">
        <v>46204</v>
      </c>
      <c r="AG6" s="62">
        <v>46235</v>
      </c>
      <c r="AJ6" s="62">
        <v>46266</v>
      </c>
      <c r="AQ6" s="0" t="s">
        <v>54</v>
      </c>
    </row>
    <row r="7">
      <c r="A7" s="0" t="s">
        <v>55</v>
      </c>
      <c r="B7" s="54" t="s">
        <v>44</v>
      </c>
      <c r="C7" s="62">
        <v>45966</v>
      </c>
      <c r="D7" s="0" t="s">
        <v>45</v>
      </c>
      <c r="F7" s="62">
        <v>45966</v>
      </c>
      <c r="I7" s="62">
        <v>45992</v>
      </c>
      <c r="L7" s="62">
        <v>46023</v>
      </c>
      <c r="O7" s="62">
        <v>46054</v>
      </c>
      <c r="R7" s="62">
        <v>46082</v>
      </c>
      <c r="U7" s="62">
        <v>46113</v>
      </c>
      <c r="X7" s="62">
        <v>46143</v>
      </c>
      <c r="AA7" s="62">
        <v>46174</v>
      </c>
      <c r="AD7" s="62">
        <v>46204</v>
      </c>
      <c r="AG7" s="62">
        <v>46235</v>
      </c>
      <c r="AJ7" s="62">
        <v>46266</v>
      </c>
      <c r="AQ7" s="0" t="s">
        <v>56</v>
      </c>
    </row>
    <row r="8">
      <c r="A8" s="0" t="s">
        <v>57</v>
      </c>
      <c r="B8" s="54" t="s">
        <v>44</v>
      </c>
      <c r="C8" s="62">
        <v>45996</v>
      </c>
      <c r="D8" s="0" t="s">
        <v>45</v>
      </c>
      <c r="F8" s="62">
        <v>45996</v>
      </c>
      <c r="I8" s="62">
        <v>46023</v>
      </c>
      <c r="L8" s="62">
        <v>46054</v>
      </c>
      <c r="O8" s="62">
        <v>46082</v>
      </c>
      <c r="R8" s="62">
        <v>46113</v>
      </c>
      <c r="U8" s="62">
        <v>46143</v>
      </c>
      <c r="X8" s="62">
        <v>46174</v>
      </c>
      <c r="AA8" s="62">
        <v>46204</v>
      </c>
      <c r="AD8" s="62">
        <v>46235</v>
      </c>
      <c r="AG8" s="62">
        <v>46266</v>
      </c>
      <c r="AQ8" s="0" t="s">
        <v>58</v>
      </c>
    </row>
    <row r="9">
      <c r="A9" s="0" t="s">
        <v>59</v>
      </c>
      <c r="B9" s="54" t="s">
        <v>44</v>
      </c>
      <c r="C9" s="62">
        <v>46029</v>
      </c>
      <c r="D9" s="0" t="s">
        <v>45</v>
      </c>
      <c r="F9" s="62">
        <v>46029</v>
      </c>
      <c r="I9" s="62">
        <v>46054</v>
      </c>
      <c r="L9" s="62">
        <v>46082</v>
      </c>
      <c r="O9" s="62">
        <v>46113</v>
      </c>
      <c r="R9" s="62">
        <v>46143</v>
      </c>
      <c r="U9" s="62">
        <v>46174</v>
      </c>
      <c r="X9" s="62">
        <v>46204</v>
      </c>
      <c r="AA9" s="62">
        <v>46235</v>
      </c>
      <c r="AD9" s="62">
        <v>46266</v>
      </c>
      <c r="AQ9" s="0" t="s">
        <v>60</v>
      </c>
    </row>
    <row r="10">
      <c r="A10" s="0" t="s">
        <v>61</v>
      </c>
      <c r="B10" s="54" t="s">
        <v>44</v>
      </c>
      <c r="C10" s="62">
        <v>46030</v>
      </c>
      <c r="D10" s="0" t="s">
        <v>45</v>
      </c>
      <c r="F10" s="62">
        <v>46030</v>
      </c>
      <c r="I10" s="62">
        <v>46054</v>
      </c>
      <c r="L10" s="62">
        <v>46082</v>
      </c>
      <c r="O10" s="62">
        <v>46113</v>
      </c>
      <c r="R10" s="62">
        <v>46143</v>
      </c>
      <c r="U10" s="62">
        <v>46174</v>
      </c>
      <c r="X10" s="62">
        <v>46204</v>
      </c>
      <c r="AA10" s="62">
        <v>46235</v>
      </c>
      <c r="AD10" s="62">
        <v>46266</v>
      </c>
      <c r="AQ10" s="0" t="s">
        <v>62</v>
      </c>
    </row>
    <row r="11">
      <c r="A11" s="0" t="s">
        <v>63</v>
      </c>
      <c r="B11" s="54" t="s">
        <v>44</v>
      </c>
      <c r="C11" s="62">
        <v>46033</v>
      </c>
      <c r="D11" s="0" t="s">
        <v>45</v>
      </c>
      <c r="F11" s="62">
        <v>46033</v>
      </c>
      <c r="I11" s="62">
        <v>46054</v>
      </c>
      <c r="L11" s="62">
        <v>46082</v>
      </c>
      <c r="O11" s="62">
        <v>46113</v>
      </c>
      <c r="R11" s="62">
        <v>46143</v>
      </c>
      <c r="U11" s="62">
        <v>46174</v>
      </c>
      <c r="X11" s="62">
        <v>46204</v>
      </c>
      <c r="AA11" s="62">
        <v>46235</v>
      </c>
      <c r="AD11" s="62">
        <v>46266</v>
      </c>
      <c r="AQ11" s="0" t="s">
        <v>64</v>
      </c>
    </row>
    <row r="12">
      <c r="A12" s="0" t="s">
        <v>65</v>
      </c>
      <c r="B12" s="54" t="s">
        <v>44</v>
      </c>
      <c r="C12" s="62">
        <v>46033</v>
      </c>
      <c r="D12" s="0" t="s">
        <v>45</v>
      </c>
      <c r="F12" s="62">
        <v>46033</v>
      </c>
      <c r="I12" s="62">
        <v>46054</v>
      </c>
      <c r="L12" s="62">
        <v>46082</v>
      </c>
      <c r="O12" s="62">
        <v>46113</v>
      </c>
      <c r="R12" s="62">
        <v>46143</v>
      </c>
      <c r="U12" s="62">
        <v>46174</v>
      </c>
      <c r="X12" s="62">
        <v>46204</v>
      </c>
      <c r="AA12" s="62">
        <v>46235</v>
      </c>
      <c r="AD12" s="62">
        <v>46266</v>
      </c>
      <c r="AQ12" s="0" t="s">
        <v>66</v>
      </c>
    </row>
    <row r="13">
      <c r="A13" s="0" t="s">
        <v>67</v>
      </c>
      <c r="B13" s="54" t="s">
        <v>44</v>
      </c>
      <c r="C13" s="62">
        <v>46052</v>
      </c>
      <c r="D13" s="0" t="s">
        <v>45</v>
      </c>
      <c r="F13" s="62">
        <v>46052</v>
      </c>
      <c r="I13" s="62">
        <v>46054</v>
      </c>
      <c r="L13" s="62">
        <v>46082</v>
      </c>
      <c r="O13" s="62">
        <v>46113</v>
      </c>
      <c r="R13" s="62">
        <v>46143</v>
      </c>
      <c r="U13" s="62">
        <v>46174</v>
      </c>
      <c r="X13" s="62">
        <v>46204</v>
      </c>
      <c r="AA13" s="62">
        <v>46235</v>
      </c>
      <c r="AD13" s="62">
        <v>46266</v>
      </c>
      <c r="AQ13" s="0" t="s">
        <v>68</v>
      </c>
    </row>
    <row r="14">
      <c r="A14" s="0" t="s">
        <v>69</v>
      </c>
      <c r="B14" s="54" t="s">
        <v>44</v>
      </c>
      <c r="C14" s="62">
        <v>46050</v>
      </c>
      <c r="D14" s="0" t="s">
        <v>45</v>
      </c>
      <c r="F14" s="62">
        <v>46050</v>
      </c>
      <c r="I14" s="62">
        <v>46054</v>
      </c>
      <c r="L14" s="62">
        <v>46082</v>
      </c>
      <c r="O14" s="62">
        <v>46113</v>
      </c>
      <c r="R14" s="62">
        <v>46143</v>
      </c>
      <c r="U14" s="62">
        <v>46174</v>
      </c>
      <c r="X14" s="62">
        <v>46204</v>
      </c>
      <c r="AA14" s="62">
        <v>46235</v>
      </c>
      <c r="AD14" s="62">
        <v>46266</v>
      </c>
      <c r="AQ14" s="0" t="s">
        <v>70</v>
      </c>
    </row>
    <row r="15">
      <c r="A15" s="0" t="s">
        <v>71</v>
      </c>
      <c r="B15" s="54" t="s">
        <v>44</v>
      </c>
      <c r="C15" s="62">
        <v>46073</v>
      </c>
      <c r="D15" s="0" t="s">
        <v>45</v>
      </c>
      <c r="F15" s="62">
        <v>46073</v>
      </c>
      <c r="I15" s="62">
        <v>46082</v>
      </c>
      <c r="L15" s="62">
        <v>46113</v>
      </c>
      <c r="O15" s="62">
        <v>46143</v>
      </c>
      <c r="R15" s="62">
        <v>46174</v>
      </c>
      <c r="U15" s="62">
        <v>46204</v>
      </c>
      <c r="X15" s="62">
        <v>46235</v>
      </c>
      <c r="AA15" s="62">
        <v>46266</v>
      </c>
      <c r="AQ15" s="0" t="s">
        <v>72</v>
      </c>
    </row>
    <row r="16">
      <c r="A16" s="0" t="s">
        <v>73</v>
      </c>
      <c r="B16" s="54" t="s">
        <v>44</v>
      </c>
      <c r="C16" s="62">
        <v>46081</v>
      </c>
      <c r="D16" s="0" t="s">
        <v>45</v>
      </c>
      <c r="F16" s="62">
        <v>46081</v>
      </c>
      <c r="I16" s="62">
        <v>46082</v>
      </c>
      <c r="L16" s="62">
        <v>46113</v>
      </c>
      <c r="O16" s="62">
        <v>46143</v>
      </c>
      <c r="R16" s="62">
        <v>46174</v>
      </c>
      <c r="U16" s="62">
        <v>46204</v>
      </c>
      <c r="X16" s="62">
        <v>46235</v>
      </c>
      <c r="AA16" s="62">
        <v>46266</v>
      </c>
      <c r="AQ16" s="0" t="s">
        <v>74</v>
      </c>
    </row>
    <row r="17">
      <c r="A17" s="0" t="s">
        <v>75</v>
      </c>
      <c r="B17" s="54" t="s">
        <v>44</v>
      </c>
      <c r="C17" s="62">
        <v>46078</v>
      </c>
      <c r="D17" s="0" t="s">
        <v>45</v>
      </c>
      <c r="F17" s="62">
        <v>46078</v>
      </c>
      <c r="I17" s="62">
        <v>46082</v>
      </c>
      <c r="L17" s="62">
        <v>46113</v>
      </c>
      <c r="O17" s="62">
        <v>46143</v>
      </c>
      <c r="R17" s="62">
        <v>46174</v>
      </c>
      <c r="U17" s="62">
        <v>46204</v>
      </c>
      <c r="X17" s="62">
        <v>46235</v>
      </c>
      <c r="AA17" s="62">
        <v>46266</v>
      </c>
      <c r="AQ17" s="0" t="s">
        <v>76</v>
      </c>
    </row>
    <row r="18">
      <c r="A18" s="0" t="s">
        <v>77</v>
      </c>
      <c r="B18" s="54" t="s">
        <v>44</v>
      </c>
      <c r="C18" s="62">
        <v>46084</v>
      </c>
      <c r="D18" s="0" t="s">
        <v>45</v>
      </c>
      <c r="F18" s="62">
        <v>46084</v>
      </c>
      <c r="I18" s="62">
        <v>46113</v>
      </c>
      <c r="L18" s="62">
        <v>46143</v>
      </c>
      <c r="O18" s="62">
        <v>46174</v>
      </c>
      <c r="R18" s="62">
        <v>46204</v>
      </c>
      <c r="U18" s="62">
        <v>46235</v>
      </c>
      <c r="X18" s="62">
        <v>46266</v>
      </c>
      <c r="AQ18" s="0" t="s">
        <v>78</v>
      </c>
    </row>
    <row r="19">
      <c r="A19" s="0" t="s">
        <v>79</v>
      </c>
      <c r="B19" s="54" t="s">
        <v>44</v>
      </c>
      <c r="C19" s="62">
        <v>46087</v>
      </c>
      <c r="D19" s="0" t="s">
        <v>45</v>
      </c>
      <c r="F19" s="62">
        <v>46087</v>
      </c>
      <c r="I19" s="62">
        <v>46113</v>
      </c>
      <c r="L19" s="62">
        <v>46143</v>
      </c>
      <c r="O19" s="62">
        <v>46174</v>
      </c>
      <c r="R19" s="62">
        <v>46204</v>
      </c>
      <c r="U19" s="62">
        <v>46235</v>
      </c>
      <c r="X19" s="62">
        <v>46266</v>
      </c>
      <c r="AQ19" s="0" t="s">
        <v>80</v>
      </c>
    </row>
    <row r="20">
      <c r="A20" s="0" t="s">
        <v>81</v>
      </c>
      <c r="B20" s="54" t="s">
        <v>44</v>
      </c>
      <c r="C20" s="62">
        <v>46087</v>
      </c>
      <c r="D20" s="0" t="s">
        <v>45</v>
      </c>
      <c r="F20" s="62">
        <v>46087</v>
      </c>
      <c r="I20" s="62">
        <v>46113</v>
      </c>
      <c r="L20" s="62">
        <v>46143</v>
      </c>
      <c r="O20" s="62">
        <v>46174</v>
      </c>
      <c r="R20" s="62">
        <v>46204</v>
      </c>
      <c r="U20" s="62">
        <v>46235</v>
      </c>
      <c r="X20" s="62">
        <v>46266</v>
      </c>
      <c r="AQ20" s="0" t="s">
        <v>82</v>
      </c>
    </row>
    <row r="21">
      <c r="A21" s="0" t="s">
        <v>83</v>
      </c>
      <c r="B21" s="54" t="s">
        <v>44</v>
      </c>
      <c r="C21" s="62">
        <v>46099</v>
      </c>
      <c r="D21" s="0" t="s">
        <v>45</v>
      </c>
      <c r="F21" s="62">
        <v>46099</v>
      </c>
      <c r="I21" s="62">
        <v>46113</v>
      </c>
      <c r="L21" s="62">
        <v>46143</v>
      </c>
      <c r="O21" s="62">
        <v>46174</v>
      </c>
      <c r="R21" s="62">
        <v>46204</v>
      </c>
      <c r="U21" s="62">
        <v>46235</v>
      </c>
      <c r="X21" s="62">
        <v>46266</v>
      </c>
      <c r="AQ21" s="0" t="s">
        <v>84</v>
      </c>
    </row>
    <row r="22">
      <c r="A22" s="0" t="s">
        <v>85</v>
      </c>
      <c r="B22" s="54" t="s">
        <v>44</v>
      </c>
      <c r="C22" s="62">
        <v>46100</v>
      </c>
      <c r="D22" s="0" t="s">
        <v>45</v>
      </c>
      <c r="F22" s="62">
        <v>46100</v>
      </c>
      <c r="I22" s="62">
        <v>46113</v>
      </c>
      <c r="L22" s="62">
        <v>46143</v>
      </c>
      <c r="O22" s="62">
        <v>46174</v>
      </c>
      <c r="R22" s="62">
        <v>46204</v>
      </c>
      <c r="U22" s="62">
        <v>46235</v>
      </c>
      <c r="X22" s="62">
        <v>46266</v>
      </c>
      <c r="AQ22" s="0" t="s">
        <v>86</v>
      </c>
    </row>
    <row r="23">
      <c r="A23" s="0" t="s">
        <v>87</v>
      </c>
      <c r="B23" s="54" t="s">
        <v>44</v>
      </c>
      <c r="C23" s="62">
        <v>46105</v>
      </c>
      <c r="D23" s="0" t="s">
        <v>45</v>
      </c>
      <c r="F23" s="62">
        <v>46105</v>
      </c>
      <c r="I23" s="62">
        <v>46113</v>
      </c>
      <c r="L23" s="62">
        <v>46143</v>
      </c>
      <c r="O23" s="62">
        <v>46174</v>
      </c>
      <c r="R23" s="62">
        <v>46204</v>
      </c>
      <c r="U23" s="62">
        <v>46235</v>
      </c>
      <c r="X23" s="62">
        <v>46266</v>
      </c>
      <c r="AQ23" s="0" t="s">
        <v>88</v>
      </c>
    </row>
    <row r="24">
      <c r="A24" s="0" t="s">
        <v>89</v>
      </c>
      <c r="B24" s="54" t="s">
        <v>44</v>
      </c>
      <c r="C24" s="62">
        <v>46114</v>
      </c>
      <c r="D24" s="0" t="s">
        <v>45</v>
      </c>
      <c r="F24" s="62">
        <v>46114</v>
      </c>
      <c r="I24" s="62">
        <v>46143</v>
      </c>
      <c r="L24" s="62">
        <v>46174</v>
      </c>
      <c r="O24" s="62">
        <v>46204</v>
      </c>
      <c r="R24" s="62">
        <v>46235</v>
      </c>
      <c r="U24" s="62">
        <v>46266</v>
      </c>
      <c r="AQ24" s="0" t="s">
        <v>90</v>
      </c>
    </row>
    <row r="25">
      <c r="A25" s="0" t="s">
        <v>91</v>
      </c>
      <c r="B25" s="54" t="s">
        <v>44</v>
      </c>
      <c r="C25" s="62">
        <v>46122</v>
      </c>
      <c r="D25" s="0" t="s">
        <v>45</v>
      </c>
      <c r="F25" s="62">
        <v>46122</v>
      </c>
      <c r="I25" s="62">
        <v>46143</v>
      </c>
      <c r="L25" s="62">
        <v>46174</v>
      </c>
      <c r="O25" s="62">
        <v>46204</v>
      </c>
      <c r="R25" s="62">
        <v>46235</v>
      </c>
      <c r="U25" s="62">
        <v>46266</v>
      </c>
      <c r="AQ25" s="0" t="s">
        <v>92</v>
      </c>
    </row>
    <row r="26">
      <c r="A26" s="0" t="s">
        <v>93</v>
      </c>
      <c r="B26" s="54" t="s">
        <v>94</v>
      </c>
      <c r="C26" s="62">
        <v>46133</v>
      </c>
      <c r="D26" s="0" t="s">
        <v>45</v>
      </c>
      <c r="F26" s="62">
        <v>46133</v>
      </c>
      <c r="I26" s="62">
        <v>46143</v>
      </c>
      <c r="L26" s="62">
        <v>46174</v>
      </c>
      <c r="O26" s="62">
        <v>46204</v>
      </c>
      <c r="R26" s="62">
        <v>46235</v>
      </c>
      <c r="U26" s="62">
        <v>46266</v>
      </c>
      <c r="AQ26" s="0" t="s">
        <v>95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6DF50-D9FA-40B9-ADF2-17F9841C22FE}">
  <dimension ref="A1:AQ26"/>
  <sheetViews>
    <sheetView tabSelected="1" workbookViewId="0">
      <selection activeCell="A2" sqref="A2:AQ26"/>
    </sheetView>
  </sheetViews>
  <sheetFormatPr defaultRowHeight="12.75" x14ac:dyDescent="0.2"/>
  <cols>
    <col min="1" max="1" bestFit="1" width="21.140625" customWidth="1"/>
    <col min="2" max="2" width="8.5703125" customWidth="1" style="54"/>
    <col min="3" max="3" bestFit="1" width="10.140625" customWidth="1"/>
    <col min="4" max="4" width="11.7109375" customWidth="1"/>
    <col min="5" max="5" width="10.85546875" customWidth="1"/>
    <col min="6" max="6" width="9.85546875" customWidth="1"/>
    <col min="7" max="7" width="8.42578125" customWidth="1" style="56"/>
    <col min="8" max="8" width="10.140625" customWidth="1" style="54"/>
    <col min="9" max="9" width="9.28515625" customWidth="1"/>
    <col min="10" max="10" width="8.42578125" customWidth="1" style="56"/>
    <col min="11" max="11" width="10.140625" customWidth="1" style="54"/>
    <col min="12" max="12" width="9.28515625" customWidth="1"/>
    <col min="13" max="13" width="8.42578125" customWidth="1" style="56"/>
    <col min="14" max="14" width="10.140625" customWidth="1" style="54"/>
    <col min="15" max="15" width="9.28515625" customWidth="1"/>
    <col min="16" max="16" width="8.42578125" customWidth="1" style="56"/>
    <col min="17" max="17" width="10.140625" customWidth="1" style="54"/>
    <col min="18" max="18" width="9.28515625" customWidth="1"/>
    <col min="19" max="19" width="8.42578125" customWidth="1" style="56"/>
    <col min="20" max="20" width="10.140625" customWidth="1" style="54"/>
    <col min="21" max="21" width="9.28515625" customWidth="1"/>
    <col min="22" max="22" width="8.42578125" customWidth="1" style="56"/>
    <col min="23" max="23" width="10.140625" customWidth="1" style="54"/>
    <col min="24" max="24" width="9.28515625" customWidth="1"/>
    <col min="25" max="25" width="7.85546875" customWidth="1" style="56"/>
    <col min="26" max="26" width="9.5703125" customWidth="1" style="54"/>
    <col min="27" max="27" width="9.28515625" customWidth="1"/>
    <col min="28" max="28" width="7.85546875" customWidth="1" style="56"/>
    <col min="29" max="29" width="9.5703125" customWidth="1" style="54"/>
    <col min="30" max="30" width="9.28515625" customWidth="1"/>
    <col min="31" max="31" width="8.42578125" customWidth="1" style="56"/>
    <col min="32" max="32" width="9.5703125" customWidth="1" style="54"/>
    <col min="33" max="33" width="10.28515625" customWidth="1"/>
    <col min="34" max="34" width="9.140625" customWidth="1" style="56"/>
    <col min="35" max="35" width="10.5703125" customWidth="1" style="54"/>
    <col min="36" max="36" width="10.28515625" customWidth="1"/>
    <col min="37" max="37" width="8.85546875" customWidth="1" style="56"/>
    <col min="38" max="38" width="10.5703125" customWidth="1" style="54"/>
    <col min="39" max="39" width="10.28515625" customWidth="1"/>
    <col min="40" max="40" width="8.85546875" customWidth="1" style="56"/>
    <col min="41" max="41" width="10.5703125" customWidth="1" style="54"/>
    <col min="42" max="42" width="10.140625" customWidth="1" style="55"/>
    <col min="43" max="43" bestFit="1" width="14.5703125" customWidth="1"/>
  </cols>
  <sheetData>
    <row r="1">
      <c r="A1" s="58" t="s">
        <v>0</v>
      </c>
      <c r="B1" s="58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56" t="s">
        <v>6</v>
      </c>
      <c r="H1" s="54" t="s">
        <v>7</v>
      </c>
      <c r="I1" s="0" t="s">
        <v>8</v>
      </c>
      <c r="J1" s="56" t="s">
        <v>9</v>
      </c>
      <c r="K1" s="54" t="s">
        <v>10</v>
      </c>
      <c r="L1" s="0" t="s">
        <v>11</v>
      </c>
      <c r="M1" s="56" t="s">
        <v>12</v>
      </c>
      <c r="N1" s="54" t="s">
        <v>13</v>
      </c>
      <c r="O1" s="0" t="s">
        <v>14</v>
      </c>
      <c r="P1" s="56" t="s">
        <v>15</v>
      </c>
      <c r="Q1" s="54" t="s">
        <v>16</v>
      </c>
      <c r="R1" s="0" t="s">
        <v>17</v>
      </c>
      <c r="S1" s="56" t="s">
        <v>18</v>
      </c>
      <c r="T1" s="54" t="s">
        <v>19</v>
      </c>
      <c r="U1" s="0" t="s">
        <v>20</v>
      </c>
      <c r="V1" s="56" t="s">
        <v>21</v>
      </c>
      <c r="W1" s="54" t="s">
        <v>22</v>
      </c>
      <c r="X1" s="0" t="s">
        <v>23</v>
      </c>
      <c r="Y1" s="56" t="s">
        <v>24</v>
      </c>
      <c r="Z1" s="54" t="s">
        <v>25</v>
      </c>
      <c r="AA1" s="0" t="s">
        <v>26</v>
      </c>
      <c r="AB1" s="56" t="s">
        <v>27</v>
      </c>
      <c r="AC1" s="54" t="s">
        <v>28</v>
      </c>
      <c r="AD1" s="0" t="s">
        <v>29</v>
      </c>
      <c r="AE1" s="56" t="s">
        <v>30</v>
      </c>
      <c r="AF1" s="54" t="s">
        <v>31</v>
      </c>
      <c r="AG1" s="0" t="s">
        <v>32</v>
      </c>
      <c r="AH1" s="56" t="s">
        <v>33</v>
      </c>
      <c r="AI1" s="54" t="s">
        <v>34</v>
      </c>
      <c r="AJ1" s="0" t="s">
        <v>35</v>
      </c>
      <c r="AK1" s="56" t="s">
        <v>36</v>
      </c>
      <c r="AL1" s="54" t="s">
        <v>37</v>
      </c>
      <c r="AM1" s="0" t="s">
        <v>38</v>
      </c>
      <c r="AN1" s="56" t="s">
        <v>39</v>
      </c>
      <c r="AO1" s="54" t="s">
        <v>40</v>
      </c>
      <c r="AP1" s="55" t="s">
        <v>41</v>
      </c>
      <c r="AQ1" s="57" t="s">
        <v>42</v>
      </c>
    </row>
    <row r="2">
      <c r="A2" s="0" t="s">
        <v>96</v>
      </c>
      <c r="B2" s="54" t="s">
        <v>44</v>
      </c>
      <c r="C2" s="62">
        <v>45594</v>
      </c>
      <c r="D2" s="0" t="s">
        <v>45</v>
      </c>
      <c r="F2" s="62">
        <v>45594</v>
      </c>
      <c r="I2" s="62">
        <v>45597</v>
      </c>
      <c r="L2" s="62">
        <v>45627</v>
      </c>
      <c r="O2" s="62">
        <v>45658</v>
      </c>
      <c r="R2" s="62">
        <v>45689</v>
      </c>
      <c r="U2" s="62">
        <v>45717</v>
      </c>
      <c r="X2" s="62">
        <v>45748</v>
      </c>
      <c r="AA2" s="62">
        <v>45778</v>
      </c>
      <c r="AD2" s="62">
        <v>45809</v>
      </c>
      <c r="AG2" s="62">
        <v>45839</v>
      </c>
      <c r="AJ2" s="62">
        <v>45870</v>
      </c>
      <c r="AM2" s="62">
        <v>45901</v>
      </c>
      <c r="AQ2" s="0" t="s">
        <v>97</v>
      </c>
    </row>
    <row r="3">
      <c r="A3" s="0" t="s">
        <v>98</v>
      </c>
      <c r="B3" s="54" t="s">
        <v>44</v>
      </c>
      <c r="C3" s="62">
        <v>45622</v>
      </c>
      <c r="D3" s="0" t="s">
        <v>45</v>
      </c>
      <c r="F3" s="62">
        <v>45622</v>
      </c>
      <c r="I3" s="62">
        <v>45627</v>
      </c>
      <c r="L3" s="62">
        <v>45658</v>
      </c>
      <c r="O3" s="62">
        <v>45689</v>
      </c>
      <c r="R3" s="62">
        <v>45717</v>
      </c>
      <c r="U3" s="62">
        <v>45748</v>
      </c>
      <c r="X3" s="62">
        <v>45778</v>
      </c>
      <c r="AA3" s="62">
        <v>45809</v>
      </c>
      <c r="AD3" s="62">
        <v>45839</v>
      </c>
      <c r="AG3" s="62">
        <v>45870</v>
      </c>
      <c r="AJ3" s="62">
        <v>45901</v>
      </c>
      <c r="AM3" s="3"/>
      <c r="AQ3" s="0" t="s">
        <v>99</v>
      </c>
    </row>
    <row r="4">
      <c r="A4" s="0" t="s">
        <v>100</v>
      </c>
      <c r="B4" s="54" t="s">
        <v>44</v>
      </c>
      <c r="C4" s="62">
        <v>45630</v>
      </c>
      <c r="D4" s="0" t="s">
        <v>45</v>
      </c>
      <c r="F4" s="62">
        <v>45630</v>
      </c>
      <c r="I4" s="62">
        <v>45658</v>
      </c>
      <c r="L4" s="62">
        <v>45689</v>
      </c>
      <c r="O4" s="62">
        <v>45717</v>
      </c>
      <c r="R4" s="62">
        <v>45748</v>
      </c>
      <c r="U4" s="62">
        <v>45778</v>
      </c>
      <c r="X4" s="62">
        <v>45809</v>
      </c>
      <c r="AA4" s="62">
        <v>45839</v>
      </c>
      <c r="AD4" s="62">
        <v>45870</v>
      </c>
      <c r="AG4" s="62">
        <v>45901</v>
      </c>
      <c r="AJ4" s="3"/>
      <c r="AM4" s="3"/>
      <c r="AQ4" s="0" t="s">
        <v>101</v>
      </c>
    </row>
    <row r="5">
      <c r="A5" s="0" t="s">
        <v>102</v>
      </c>
      <c r="B5" s="54" t="s">
        <v>44</v>
      </c>
      <c r="C5" s="62">
        <v>45667</v>
      </c>
      <c r="D5" s="0" t="s">
        <v>45</v>
      </c>
      <c r="F5" s="62">
        <v>45667</v>
      </c>
      <c r="I5" s="62">
        <v>45689</v>
      </c>
      <c r="L5" s="62">
        <v>45717</v>
      </c>
      <c r="O5" s="62">
        <v>45748</v>
      </c>
      <c r="R5" s="62">
        <v>45778</v>
      </c>
      <c r="U5" s="62">
        <v>45809</v>
      </c>
      <c r="X5" s="62">
        <v>45839</v>
      </c>
      <c r="AA5" s="62">
        <v>45870</v>
      </c>
      <c r="AD5" s="62">
        <v>45901</v>
      </c>
      <c r="AG5" s="3"/>
      <c r="AJ5" s="3"/>
      <c r="AM5" s="3"/>
      <c r="AQ5" s="0" t="s">
        <v>103</v>
      </c>
    </row>
    <row r="6">
      <c r="A6" s="0" t="s">
        <v>104</v>
      </c>
      <c r="B6" s="54" t="s">
        <v>44</v>
      </c>
      <c r="C6" s="62">
        <v>45671</v>
      </c>
      <c r="D6" s="0" t="s">
        <v>45</v>
      </c>
      <c r="F6" s="62">
        <v>45671</v>
      </c>
      <c r="I6" s="62">
        <v>45689</v>
      </c>
      <c r="L6" s="62">
        <v>45717</v>
      </c>
      <c r="O6" s="62">
        <v>45748</v>
      </c>
      <c r="R6" s="62">
        <v>45778</v>
      </c>
      <c r="U6" s="62">
        <v>45809</v>
      </c>
      <c r="X6" s="62">
        <v>45839</v>
      </c>
      <c r="AA6" s="62">
        <v>45870</v>
      </c>
      <c r="AD6" s="62">
        <v>45901</v>
      </c>
      <c r="AG6" s="3"/>
      <c r="AJ6" s="3"/>
      <c r="AQ6" s="0" t="s">
        <v>105</v>
      </c>
    </row>
    <row r="7">
      <c r="A7" s="0" t="s">
        <v>106</v>
      </c>
      <c r="B7" s="54" t="s">
        <v>44</v>
      </c>
      <c r="C7" s="62">
        <v>45680</v>
      </c>
      <c r="D7" s="0" t="s">
        <v>45</v>
      </c>
      <c r="F7" s="62">
        <v>45680</v>
      </c>
      <c r="I7" s="62">
        <v>45689</v>
      </c>
      <c r="L7" s="62">
        <v>45717</v>
      </c>
      <c r="O7" s="62">
        <v>45748</v>
      </c>
      <c r="R7" s="62">
        <v>45778</v>
      </c>
      <c r="U7" s="62">
        <v>45809</v>
      </c>
      <c r="X7" s="62">
        <v>45839</v>
      </c>
      <c r="AA7" s="62">
        <v>45870</v>
      </c>
      <c r="AD7" s="62">
        <v>45901</v>
      </c>
      <c r="AG7" s="3"/>
      <c r="AJ7" s="3"/>
      <c r="AQ7" s="0" t="s">
        <v>107</v>
      </c>
    </row>
    <row r="8">
      <c r="A8" s="0" t="s">
        <v>108</v>
      </c>
      <c r="B8" s="54" t="s">
        <v>44</v>
      </c>
      <c r="C8" s="62">
        <v>45733</v>
      </c>
      <c r="D8" s="0" t="s">
        <v>45</v>
      </c>
      <c r="F8" s="62">
        <v>45733</v>
      </c>
      <c r="I8" s="62">
        <v>45748</v>
      </c>
      <c r="L8" s="62">
        <v>45778</v>
      </c>
      <c r="O8" s="62">
        <v>45809</v>
      </c>
      <c r="R8" s="62">
        <v>45839</v>
      </c>
      <c r="U8" s="62">
        <v>45870</v>
      </c>
      <c r="X8" s="62">
        <v>45901</v>
      </c>
      <c r="AA8" s="3"/>
      <c r="AD8" s="3"/>
      <c r="AG8" s="3"/>
      <c r="AQ8" s="0" t="s">
        <v>109</v>
      </c>
    </row>
    <row r="9">
      <c r="A9" s="0" t="s">
        <v>110</v>
      </c>
      <c r="B9" s="54" t="s">
        <v>44</v>
      </c>
      <c r="C9" s="62">
        <v>45747</v>
      </c>
      <c r="D9" s="0" t="s">
        <v>45</v>
      </c>
      <c r="F9" s="62">
        <v>45747</v>
      </c>
      <c r="I9" s="62">
        <v>45748</v>
      </c>
      <c r="L9" s="62">
        <v>45778</v>
      </c>
      <c r="O9" s="62">
        <v>45809</v>
      </c>
      <c r="R9" s="62">
        <v>45839</v>
      </c>
      <c r="U9" s="62">
        <v>45870</v>
      </c>
      <c r="X9" s="62">
        <v>45901</v>
      </c>
      <c r="AA9" s="3"/>
      <c r="AD9" s="3"/>
      <c r="AQ9" s="0" t="s">
        <v>111</v>
      </c>
    </row>
    <row r="10">
      <c r="A10" s="0" t="s">
        <v>112</v>
      </c>
      <c r="B10" s="54" t="s">
        <v>44</v>
      </c>
      <c r="C10" s="62">
        <v>45750</v>
      </c>
      <c r="D10" s="0" t="s">
        <v>45</v>
      </c>
      <c r="F10" s="62">
        <v>45750</v>
      </c>
      <c r="I10" s="62">
        <v>45778</v>
      </c>
      <c r="L10" s="62">
        <v>45809</v>
      </c>
      <c r="O10" s="62">
        <v>45839</v>
      </c>
      <c r="R10" s="62">
        <v>45870</v>
      </c>
      <c r="U10" s="62">
        <v>45901</v>
      </c>
      <c r="X10" s="3"/>
      <c r="AA10" s="3"/>
      <c r="AD10" s="3"/>
      <c r="AQ10" s="0" t="s">
        <v>113</v>
      </c>
    </row>
    <row r="11">
      <c r="A11" s="0" t="s">
        <v>114</v>
      </c>
      <c r="B11" s="54" t="s">
        <v>44</v>
      </c>
      <c r="C11" s="62">
        <v>45756</v>
      </c>
      <c r="D11" s="0" t="s">
        <v>45</v>
      </c>
      <c r="F11" s="62">
        <v>45756</v>
      </c>
      <c r="I11" s="62">
        <v>45778</v>
      </c>
      <c r="L11" s="62">
        <v>45809</v>
      </c>
      <c r="O11" s="62">
        <v>45839</v>
      </c>
      <c r="R11" s="62">
        <v>45870</v>
      </c>
      <c r="U11" s="62">
        <v>45901</v>
      </c>
      <c r="X11" s="3"/>
      <c r="AA11" s="3"/>
      <c r="AD11" s="3"/>
      <c r="AQ11" s="0" t="s">
        <v>115</v>
      </c>
    </row>
    <row r="12">
      <c r="A12" s="0" t="s">
        <v>116</v>
      </c>
      <c r="B12" s="54" t="s">
        <v>44</v>
      </c>
      <c r="C12" s="62">
        <v>45780</v>
      </c>
      <c r="D12" s="0" t="s">
        <v>45</v>
      </c>
      <c r="F12" s="62">
        <v>45780</v>
      </c>
      <c r="I12" s="62">
        <v>45809</v>
      </c>
      <c r="L12" s="62">
        <v>45839</v>
      </c>
      <c r="O12" s="62">
        <v>45870</v>
      </c>
      <c r="R12" s="62">
        <v>45901</v>
      </c>
      <c r="U12" s="3"/>
      <c r="X12" s="3"/>
      <c r="AA12" s="3"/>
      <c r="AD12" s="3"/>
      <c r="AQ12" s="0" t="s">
        <v>117</v>
      </c>
    </row>
    <row r="13">
      <c r="C13" s="3"/>
      <c r="F13" s="3"/>
      <c r="I13" s="3"/>
      <c r="L13" s="3"/>
      <c r="O13" s="3"/>
      <c r="R13" s="3"/>
      <c r="U13" s="3"/>
      <c r="X13" s="3"/>
      <c r="AA13" s="3"/>
      <c r="AD13" s="3"/>
    </row>
    <row r="14">
      <c r="C14" s="3"/>
      <c r="F14" s="3"/>
      <c r="I14" s="3"/>
      <c r="L14" s="3"/>
      <c r="O14" s="3"/>
      <c r="R14" s="3"/>
      <c r="U14" s="3"/>
      <c r="X14" s="3"/>
      <c r="AA14" s="3"/>
      <c r="AD14" s="3"/>
    </row>
    <row r="15">
      <c r="C15" s="3"/>
      <c r="F15" s="3"/>
      <c r="I15" s="3"/>
      <c r="L15" s="3"/>
      <c r="O15" s="3"/>
      <c r="R15" s="3"/>
      <c r="U15" s="3"/>
      <c r="X15" s="3"/>
      <c r="AA15" s="3"/>
    </row>
    <row r="16">
      <c r="C16" s="3"/>
      <c r="F16" s="3"/>
      <c r="I16" s="3"/>
      <c r="L16" s="3"/>
      <c r="O16" s="3"/>
      <c r="R16" s="3"/>
      <c r="U16" s="3"/>
      <c r="X16" s="3"/>
      <c r="AA16" s="3"/>
    </row>
    <row r="17">
      <c r="C17" s="3"/>
      <c r="F17" s="3"/>
      <c r="I17" s="3"/>
      <c r="L17" s="3"/>
      <c r="O17" s="3"/>
      <c r="R17" s="3"/>
      <c r="U17" s="3"/>
      <c r="X17" s="3"/>
      <c r="AA17" s="3"/>
    </row>
    <row r="18">
      <c r="C18" s="3"/>
      <c r="F18" s="3"/>
      <c r="I18" s="3"/>
      <c r="L18" s="3"/>
      <c r="O18" s="3"/>
      <c r="R18" s="3"/>
      <c r="U18" s="3"/>
      <c r="X18" s="3"/>
    </row>
    <row r="19">
      <c r="C19" s="3"/>
      <c r="F19" s="3"/>
      <c r="I19" s="3"/>
      <c r="L19" s="3"/>
      <c r="O19" s="3"/>
      <c r="R19" s="3"/>
      <c r="U19" s="3"/>
      <c r="X19" s="3"/>
    </row>
    <row r="20">
      <c r="C20" s="3"/>
      <c r="F20" s="3"/>
      <c r="I20" s="3"/>
      <c r="L20" s="3"/>
      <c r="O20" s="3"/>
      <c r="R20" s="3"/>
      <c r="U20" s="3"/>
      <c r="X20" s="3"/>
    </row>
    <row r="21">
      <c r="C21" s="3"/>
      <c r="F21" s="3"/>
      <c r="I21" s="3"/>
      <c r="L21" s="3"/>
      <c r="O21" s="3"/>
      <c r="R21" s="3"/>
      <c r="U21" s="3"/>
      <c r="X21" s="3"/>
    </row>
    <row r="22">
      <c r="C22" s="3"/>
      <c r="F22" s="3"/>
      <c r="I22" s="3"/>
      <c r="L22" s="3"/>
      <c r="O22" s="3"/>
      <c r="R22" s="3"/>
      <c r="U22" s="3"/>
      <c r="X22" s="3"/>
    </row>
    <row r="23">
      <c r="C23" s="3"/>
      <c r="F23" s="3"/>
      <c r="I23" s="3"/>
      <c r="L23" s="3"/>
      <c r="O23" s="3"/>
      <c r="R23" s="3"/>
      <c r="U23" s="3"/>
      <c r="X23" s="3"/>
    </row>
    <row r="24">
      <c r="C24" s="3"/>
      <c r="F24" s="3"/>
      <c r="I24" s="3"/>
      <c r="L24" s="3"/>
      <c r="O24" s="3"/>
      <c r="R24" s="3"/>
      <c r="U24" s="3"/>
    </row>
    <row r="25">
      <c r="C25" s="3"/>
      <c r="F25" s="3"/>
      <c r="I25" s="3"/>
      <c r="L25" s="3"/>
      <c r="O25" s="3"/>
      <c r="R25" s="3"/>
      <c r="U25" s="3"/>
    </row>
    <row r="26">
      <c r="C26" s="3"/>
      <c r="F26" s="3"/>
      <c r="I26" s="3"/>
      <c r="L26" s="3"/>
      <c r="O26" s="3"/>
      <c r="R26" s="3"/>
      <c r="U26" s="3"/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I573"/>
  <sheetViews>
    <sheetView topLeftCell="A378" workbookViewId="0">
      <selection activeCell="C390" sqref="C390:F390"/>
    </sheetView>
  </sheetViews>
  <sheetFormatPr defaultColWidth="15.140625" defaultRowHeight="15.75" customHeight="1" x14ac:dyDescent="0.25"/>
  <cols>
    <col min="1" max="2" width="13.5703125" customWidth="1"/>
    <col min="3" max="3" bestFit="1" width="15.5703125" customWidth="1" style="9"/>
    <col min="4" max="4" bestFit="1" width="15.42578125" customWidth="1" style="9"/>
    <col min="5" max="5" bestFit="1" width="14.42578125" customWidth="1" style="9"/>
    <col min="6" max="6" bestFit="1" width="12.5703125" customWidth="1"/>
  </cols>
  <sheetData>
    <row r="1" ht="15.75" customHeight="1">
      <c r="A1" s="2" t="s">
        <v>118</v>
      </c>
      <c r="B1" s="2" t="s">
        <v>119</v>
      </c>
      <c r="C1" s="8" t="s">
        <v>120</v>
      </c>
      <c r="D1" s="8" t="s">
        <v>121</v>
      </c>
      <c r="E1" s="9" t="s">
        <v>122</v>
      </c>
      <c r="F1" s="12" t="s">
        <v>123</v>
      </c>
      <c r="G1" s="12"/>
      <c r="H1" s="12"/>
      <c r="I1" s="12" t="s">
        <v>124</v>
      </c>
    </row>
    <row r="2" ht="15.6" customHeight="1">
      <c r="A2" s="59" t="s">
        <v>125</v>
      </c>
      <c r="B2" s="60"/>
      <c r="C2" s="61"/>
    </row>
    <row r="3" ht="15.6" customHeight="1">
      <c r="A3" s="43">
        <v>45597</v>
      </c>
      <c r="B3" s="6">
        <v>45601</v>
      </c>
      <c r="C3" s="44"/>
    </row>
    <row r="4" ht="15.6" customHeight="1">
      <c r="A4" s="43">
        <v>45600</v>
      </c>
      <c r="B4" s="6">
        <v>45602</v>
      </c>
      <c r="C4" s="44"/>
    </row>
    <row r="5" ht="15.6" customHeight="1">
      <c r="A5" s="43">
        <v>45601</v>
      </c>
      <c r="B5" s="6">
        <v>45603</v>
      </c>
      <c r="C5" s="44"/>
    </row>
    <row r="6" ht="15.6" customHeight="1">
      <c r="A6" s="43">
        <v>45602</v>
      </c>
      <c r="B6" s="6">
        <v>45604</v>
      </c>
      <c r="C6" s="44"/>
    </row>
    <row r="7" ht="15.6" customHeight="1">
      <c r="A7" s="43">
        <v>45603</v>
      </c>
      <c r="B7" s="6">
        <v>45607</v>
      </c>
      <c r="C7" s="44"/>
    </row>
    <row r="8" ht="15.6" customHeight="1">
      <c r="A8" s="43">
        <v>45604</v>
      </c>
      <c r="B8" s="6">
        <v>45608</v>
      </c>
      <c r="C8" s="44"/>
    </row>
    <row r="9" ht="15.6" customHeight="1">
      <c r="A9" s="43">
        <v>45607</v>
      </c>
      <c r="B9" s="6">
        <v>45609</v>
      </c>
      <c r="C9" s="44"/>
    </row>
    <row r="10" ht="15.6" customHeight="1">
      <c r="A10" s="43">
        <v>45608</v>
      </c>
      <c r="B10" s="6">
        <v>45610</v>
      </c>
      <c r="C10" s="44"/>
    </row>
    <row r="11" ht="15.6" customHeight="1">
      <c r="A11" s="43">
        <v>45609</v>
      </c>
      <c r="B11" s="6">
        <v>45611</v>
      </c>
      <c r="C11" s="44"/>
    </row>
    <row r="12" ht="15.6" customHeight="1">
      <c r="A12" s="43">
        <v>45610</v>
      </c>
      <c r="B12" s="6">
        <v>45614</v>
      </c>
      <c r="C12" s="44"/>
    </row>
    <row r="13" ht="15.6" customHeight="1">
      <c r="A13" s="43">
        <v>45611</v>
      </c>
      <c r="B13" s="6">
        <v>45615</v>
      </c>
      <c r="C13" s="44">
        <v>6428.07</v>
      </c>
      <c r="F13" s="0" t="s">
        <v>126</v>
      </c>
    </row>
    <row r="14" ht="15.6" customHeight="1">
      <c r="A14" s="43">
        <v>45614</v>
      </c>
      <c r="B14" s="6">
        <v>45616</v>
      </c>
      <c r="C14" s="44"/>
    </row>
    <row r="15" ht="15.6" customHeight="1">
      <c r="A15" s="43">
        <v>45615</v>
      </c>
      <c r="B15" s="6">
        <v>45617</v>
      </c>
      <c r="C15" s="44"/>
    </row>
    <row r="16" ht="15.6" customHeight="1">
      <c r="A16" s="43">
        <v>45616</v>
      </c>
      <c r="B16" s="6">
        <v>45618</v>
      </c>
      <c r="C16" s="44"/>
    </row>
    <row r="17" ht="15.6" customHeight="1">
      <c r="A17" s="43">
        <v>45617</v>
      </c>
      <c r="B17" s="6">
        <v>45621</v>
      </c>
      <c r="C17" s="44"/>
    </row>
    <row r="18" ht="15.6" customHeight="1">
      <c r="A18" s="43">
        <v>45618</v>
      </c>
      <c r="B18" s="6">
        <v>45622</v>
      </c>
      <c r="C18" s="44"/>
    </row>
    <row r="19" ht="15.6" customHeight="1">
      <c r="A19" s="43">
        <v>45621</v>
      </c>
      <c r="B19" s="6">
        <v>45623</v>
      </c>
      <c r="C19" s="44"/>
    </row>
    <row r="20" ht="15.6" customHeight="1">
      <c r="A20" s="43">
        <v>45622</v>
      </c>
      <c r="B20" s="6">
        <v>45624</v>
      </c>
      <c r="C20" s="44"/>
    </row>
    <row r="21" ht="15.6" customHeight="1">
      <c r="A21" s="43">
        <v>45623</v>
      </c>
      <c r="B21" s="6">
        <v>45625</v>
      </c>
      <c r="C21" s="44"/>
    </row>
    <row r="22" ht="15.6" customHeight="1">
      <c r="A22" s="43">
        <v>45624</v>
      </c>
      <c r="B22" s="6">
        <v>45628</v>
      </c>
      <c r="C22" s="44"/>
    </row>
    <row r="23" ht="15.6" customHeight="1">
      <c r="A23" s="43">
        <v>45625</v>
      </c>
      <c r="B23" s="6">
        <v>45629</v>
      </c>
      <c r="C23" s="44"/>
    </row>
    <row r="24" ht="15.6" customHeight="1">
      <c r="A24" s="45" t="s">
        <v>127</v>
      </c>
      <c r="B24" s="46"/>
      <c r="C24" s="47">
        <f>SUM(C3:C23)</f>
        <v>6428.07</v>
      </c>
    </row>
    <row r="25" ht="15.6" customHeight="1">
      <c r="A25" s="59" t="s">
        <v>128</v>
      </c>
      <c r="B25" s="60"/>
      <c r="C25" s="61"/>
    </row>
    <row r="26" ht="15.6" customHeight="1">
      <c r="A26" s="43">
        <v>45628</v>
      </c>
      <c r="B26" s="6">
        <v>45630</v>
      </c>
      <c r="C26" s="44">
        <v>789.79</v>
      </c>
      <c r="F26" s="0" t="s">
        <v>126</v>
      </c>
    </row>
    <row r="27" ht="15.6" customHeight="1">
      <c r="A27" s="43">
        <v>45629</v>
      </c>
      <c r="B27" s="6">
        <v>45631</v>
      </c>
      <c r="C27" s="44"/>
    </row>
    <row r="28" ht="15.6" customHeight="1">
      <c r="A28" s="43">
        <v>45630</v>
      </c>
      <c r="B28" s="6">
        <v>45632</v>
      </c>
      <c r="C28" s="44"/>
    </row>
    <row r="29" ht="15.6" customHeight="1">
      <c r="A29" s="43">
        <v>45631</v>
      </c>
      <c r="B29" s="6">
        <v>45635</v>
      </c>
      <c r="C29" s="44"/>
    </row>
    <row r="30" ht="15.6" customHeight="1">
      <c r="A30" s="43">
        <v>45632</v>
      </c>
      <c r="B30" s="6">
        <v>45636</v>
      </c>
      <c r="C30" s="44"/>
    </row>
    <row r="31" ht="15.6" customHeight="1">
      <c r="A31" s="43">
        <v>45635</v>
      </c>
      <c r="B31" s="6">
        <v>45637</v>
      </c>
      <c r="C31" s="44"/>
    </row>
    <row r="32" ht="15.6" customHeight="1">
      <c r="A32" s="43">
        <v>45636</v>
      </c>
      <c r="B32" s="6">
        <v>45638</v>
      </c>
      <c r="C32" s="44"/>
    </row>
    <row r="33" ht="15.6" customHeight="1">
      <c r="A33" s="43">
        <v>45637</v>
      </c>
      <c r="B33" s="6">
        <v>45639</v>
      </c>
      <c r="C33" s="44"/>
    </row>
    <row r="34" ht="15.6" customHeight="1">
      <c r="A34" s="43">
        <v>45638</v>
      </c>
      <c r="B34" s="6">
        <v>45642</v>
      </c>
      <c r="C34" s="44"/>
    </row>
    <row r="35" ht="15.6" customHeight="1">
      <c r="A35" s="43">
        <v>45639</v>
      </c>
      <c r="B35" s="6">
        <v>45643</v>
      </c>
      <c r="C35" s="44"/>
    </row>
    <row r="36" ht="15.6" customHeight="1">
      <c r="A36" s="43">
        <v>45642</v>
      </c>
      <c r="B36" s="6">
        <v>45644</v>
      </c>
      <c r="C36" s="44">
        <v>14118.6</v>
      </c>
      <c r="F36" s="0" t="s">
        <v>126</v>
      </c>
    </row>
    <row r="37" ht="15.6" customHeight="1">
      <c r="A37" s="43">
        <v>45643</v>
      </c>
      <c r="B37" s="6">
        <v>45645</v>
      </c>
      <c r="C37" s="44"/>
    </row>
    <row r="38" ht="15.6" customHeight="1">
      <c r="A38" s="43">
        <v>45644</v>
      </c>
      <c r="B38" s="6">
        <v>45646</v>
      </c>
      <c r="C38" s="44"/>
    </row>
    <row r="39" ht="15.6" customHeight="1">
      <c r="A39" s="43">
        <v>45645</v>
      </c>
      <c r="B39" s="6">
        <v>45649</v>
      </c>
      <c r="C39" s="44">
        <v>1316.32</v>
      </c>
      <c r="F39" s="0" t="s">
        <v>126</v>
      </c>
    </row>
    <row r="40" ht="15.6" customHeight="1">
      <c r="A40" s="43">
        <v>45646</v>
      </c>
      <c r="B40" s="6">
        <v>45650</v>
      </c>
      <c r="C40" s="44"/>
    </row>
    <row r="41" ht="15.6" customHeight="1">
      <c r="A41" s="43">
        <v>45649</v>
      </c>
      <c r="B41" s="6">
        <v>45651</v>
      </c>
      <c r="C41" s="44"/>
    </row>
    <row r="42" ht="15.6" customHeight="1">
      <c r="A42" s="43">
        <v>45650</v>
      </c>
      <c r="B42" s="6">
        <v>45652</v>
      </c>
      <c r="C42" s="44"/>
    </row>
    <row r="43" ht="15.6" customHeight="1">
      <c r="A43" s="43">
        <v>45651</v>
      </c>
      <c r="B43" s="6">
        <v>45653</v>
      </c>
      <c r="C43" s="44"/>
    </row>
    <row r="44" ht="15.6" customHeight="1">
      <c r="A44" s="43">
        <v>45652</v>
      </c>
      <c r="B44" s="6">
        <v>45656</v>
      </c>
      <c r="C44" s="44"/>
    </row>
    <row r="45" ht="15.6" customHeight="1">
      <c r="A45" s="43">
        <v>45653</v>
      </c>
      <c r="B45" s="6">
        <v>45657</v>
      </c>
      <c r="C45" s="44"/>
    </row>
    <row r="46" ht="15.6" customHeight="1">
      <c r="A46" s="43">
        <v>45654</v>
      </c>
      <c r="B46" s="6">
        <v>45658</v>
      </c>
      <c r="C46" s="44"/>
    </row>
    <row r="47" ht="15.6" customHeight="1">
      <c r="A47" s="43">
        <v>45656</v>
      </c>
      <c r="B47" s="6">
        <v>45658</v>
      </c>
      <c r="C47" s="44"/>
    </row>
    <row r="48" ht="15.6" customHeight="1">
      <c r="A48" s="43">
        <v>45657</v>
      </c>
      <c r="B48" s="6">
        <v>45659</v>
      </c>
      <c r="C48" s="44"/>
    </row>
    <row r="49" ht="15.6" customHeight="1">
      <c r="A49" s="45" t="s">
        <v>127</v>
      </c>
      <c r="B49" s="46"/>
      <c r="C49" s="47">
        <f>SUM(C26:C48)</f>
        <v>16224.71</v>
      </c>
    </row>
    <row r="50" ht="15.75" customHeight="1">
      <c r="A50" s="43">
        <v>45659</v>
      </c>
      <c r="B50" s="6">
        <v>45663</v>
      </c>
      <c r="C50" s="44"/>
    </row>
    <row r="51" ht="15.75" customHeight="1">
      <c r="A51" s="43">
        <v>45660</v>
      </c>
      <c r="B51" s="6">
        <v>45664</v>
      </c>
      <c r="C51" s="44"/>
    </row>
    <row r="52" ht="15.75" customHeight="1">
      <c r="A52" s="43">
        <v>45663</v>
      </c>
      <c r="B52" s="6">
        <v>45665</v>
      </c>
      <c r="C52" s="44">
        <v>6190.99</v>
      </c>
      <c r="F52" s="0" t="s">
        <v>126</v>
      </c>
    </row>
    <row r="53" ht="15.75" customHeight="1">
      <c r="A53" s="43">
        <v>45664</v>
      </c>
      <c r="B53" s="6">
        <v>45666</v>
      </c>
      <c r="C53" s="44"/>
    </row>
    <row r="54" ht="15.75" customHeight="1">
      <c r="A54" s="43">
        <v>45665</v>
      </c>
      <c r="B54" s="6">
        <v>45667</v>
      </c>
      <c r="C54" s="44"/>
    </row>
    <row r="55" ht="15.75" customHeight="1">
      <c r="A55" s="43">
        <v>45666</v>
      </c>
      <c r="B55" s="6">
        <v>45670</v>
      </c>
      <c r="C55" s="44"/>
    </row>
    <row r="56" ht="15.75" customHeight="1">
      <c r="A56" s="43">
        <v>45667</v>
      </c>
      <c r="B56" s="6">
        <v>45671</v>
      </c>
      <c r="C56" s="44"/>
    </row>
    <row r="57" ht="15.75" customHeight="1">
      <c r="A57" s="43">
        <v>45670</v>
      </c>
      <c r="B57" s="6">
        <v>45672</v>
      </c>
      <c r="C57" s="44"/>
    </row>
    <row r="58" ht="15.75" customHeight="1">
      <c r="A58" s="43">
        <v>45671</v>
      </c>
      <c r="B58" s="6">
        <v>45673</v>
      </c>
      <c r="C58" s="44"/>
    </row>
    <row r="59" ht="15.75" customHeight="1">
      <c r="A59" s="43">
        <v>45672</v>
      </c>
      <c r="B59" s="6">
        <v>45674</v>
      </c>
      <c r="C59" s="44">
        <v>28667.22</v>
      </c>
      <c r="F59" s="0" t="s">
        <v>126</v>
      </c>
    </row>
    <row r="60" ht="15.75" customHeight="1">
      <c r="A60" s="43">
        <v>45673</v>
      </c>
      <c r="B60" s="6">
        <v>45677</v>
      </c>
      <c r="C60" s="44"/>
    </row>
    <row r="61" ht="15.75" customHeight="1">
      <c r="A61" s="43">
        <v>45674</v>
      </c>
      <c r="B61" s="6">
        <v>45678</v>
      </c>
      <c r="C61" s="44"/>
    </row>
    <row r="62" ht="15.75" customHeight="1">
      <c r="A62" s="43">
        <v>45677</v>
      </c>
      <c r="B62" s="6">
        <v>45679</v>
      </c>
      <c r="C62" s="44"/>
    </row>
    <row r="63" ht="15.75" customHeight="1">
      <c r="A63" s="43">
        <v>45678</v>
      </c>
      <c r="B63" s="6">
        <v>45680</v>
      </c>
      <c r="C63" s="44"/>
    </row>
    <row r="64" ht="15.75" customHeight="1">
      <c r="A64" s="43">
        <v>45679</v>
      </c>
      <c r="B64" s="6">
        <v>45681</v>
      </c>
      <c r="C64" s="44"/>
    </row>
    <row r="65" ht="15.75" customHeight="1">
      <c r="A65" s="43">
        <v>45680</v>
      </c>
      <c r="B65" s="6">
        <v>45684</v>
      </c>
      <c r="C65" s="44"/>
    </row>
    <row r="66" ht="15.75" customHeight="1">
      <c r="A66" s="43">
        <v>45681</v>
      </c>
      <c r="B66" s="6">
        <v>45685</v>
      </c>
      <c r="C66" s="44"/>
    </row>
    <row r="67" ht="15.75" customHeight="1">
      <c r="A67" s="43">
        <v>45684</v>
      </c>
      <c r="B67" s="6">
        <v>45686</v>
      </c>
      <c r="C67" s="44"/>
    </row>
    <row r="68" ht="15.75" customHeight="1">
      <c r="A68" s="43">
        <v>45685</v>
      </c>
      <c r="B68" s="6">
        <v>45687</v>
      </c>
      <c r="C68" s="44"/>
    </row>
    <row r="69" ht="15.75" customHeight="1">
      <c r="A69" s="43">
        <v>45686</v>
      </c>
      <c r="B69" s="6">
        <v>45688</v>
      </c>
      <c r="C69" s="44"/>
    </row>
    <row r="70" ht="15.75" customHeight="1">
      <c r="A70" s="43">
        <v>45687</v>
      </c>
      <c r="B70" s="6">
        <v>45691</v>
      </c>
      <c r="C70" s="44"/>
    </row>
    <row r="71" ht="15.75" customHeight="1">
      <c r="A71" s="43">
        <v>45688</v>
      </c>
      <c r="B71" s="6">
        <v>45692</v>
      </c>
      <c r="C71" s="44"/>
    </row>
    <row r="72" ht="15.75" customHeight="1">
      <c r="A72" s="45" t="s">
        <v>127</v>
      </c>
      <c r="B72" s="46"/>
      <c r="C72" s="47">
        <f>SUM(C50:C71)</f>
        <v>34858.21</v>
      </c>
    </row>
    <row r="73" ht="15.75" customHeight="1">
      <c r="A73" s="43">
        <v>45691</v>
      </c>
      <c r="B73" s="6">
        <v>45693</v>
      </c>
      <c r="C73" s="44"/>
    </row>
    <row r="74" ht="15.75" customHeight="1">
      <c r="A74" s="43">
        <v>45692</v>
      </c>
      <c r="B74" s="6">
        <v>45694</v>
      </c>
      <c r="C74" s="44"/>
    </row>
    <row r="75" ht="15.75" customHeight="1">
      <c r="A75" s="43">
        <v>45693</v>
      </c>
      <c r="B75" s="6">
        <v>45695</v>
      </c>
      <c r="C75" s="44"/>
    </row>
    <row r="76" ht="15.75" customHeight="1">
      <c r="A76" s="43">
        <v>45694</v>
      </c>
      <c r="B76" s="6">
        <v>45698</v>
      </c>
      <c r="C76" s="44"/>
    </row>
    <row r="77" ht="15.75" customHeight="1">
      <c r="A77" s="43">
        <v>45695</v>
      </c>
      <c r="B77" s="6">
        <v>45699</v>
      </c>
      <c r="C77" s="44"/>
    </row>
    <row r="78" ht="15.75" customHeight="1">
      <c r="A78" s="43">
        <v>45698</v>
      </c>
      <c r="B78" s="6">
        <v>45700</v>
      </c>
      <c r="C78" s="44"/>
    </row>
    <row r="79" ht="15.75" customHeight="1">
      <c r="A79" s="43">
        <v>45699</v>
      </c>
      <c r="B79" s="6">
        <v>45701</v>
      </c>
      <c r="C79" s="44"/>
    </row>
    <row r="80" ht="15.75" customHeight="1">
      <c r="A80" s="43">
        <v>45700</v>
      </c>
      <c r="B80" s="6">
        <v>45702</v>
      </c>
      <c r="C80" s="44"/>
    </row>
    <row r="81" ht="15.75" customHeight="1">
      <c r="A81" s="43">
        <v>45701</v>
      </c>
      <c r="B81" s="6">
        <v>45705</v>
      </c>
      <c r="C81" s="44">
        <v>5760.99</v>
      </c>
      <c r="F81" s="0" t="s">
        <v>126</v>
      </c>
    </row>
    <row r="82" ht="15.75" customHeight="1">
      <c r="A82" s="43">
        <v>45702</v>
      </c>
      <c r="B82" s="6">
        <v>45706</v>
      </c>
      <c r="C82" s="44"/>
    </row>
    <row r="83" ht="15.75" customHeight="1">
      <c r="A83" s="43">
        <v>45705</v>
      </c>
      <c r="B83" s="6">
        <v>45707</v>
      </c>
      <c r="C83" s="44"/>
    </row>
    <row r="84" ht="15.75" customHeight="1">
      <c r="A84" s="43">
        <v>45706</v>
      </c>
      <c r="B84" s="6">
        <v>45708</v>
      </c>
      <c r="C84" s="44">
        <v>23386.65</v>
      </c>
      <c r="F84" s="0" t="s">
        <v>126</v>
      </c>
    </row>
    <row r="85" ht="15.75" customHeight="1">
      <c r="A85" s="43">
        <v>45707</v>
      </c>
      <c r="B85" s="6">
        <v>45709</v>
      </c>
      <c r="C85" s="44"/>
    </row>
    <row r="86" ht="15.75" customHeight="1">
      <c r="A86" s="43">
        <v>45708</v>
      </c>
      <c r="B86" s="6">
        <v>45712</v>
      </c>
      <c r="C86" s="44"/>
    </row>
    <row r="87" ht="15.75" customHeight="1">
      <c r="A87" s="43">
        <v>45709</v>
      </c>
      <c r="B87" s="6">
        <v>45713</v>
      </c>
      <c r="C87" s="44"/>
    </row>
    <row r="88" ht="15.75" customHeight="1">
      <c r="A88" s="43">
        <v>45712</v>
      </c>
      <c r="B88" s="6">
        <v>45714</v>
      </c>
      <c r="C88" s="44"/>
    </row>
    <row r="89" ht="15.75" customHeight="1">
      <c r="A89" s="43">
        <v>45713</v>
      </c>
      <c r="B89" s="6">
        <v>45715</v>
      </c>
      <c r="C89" s="44"/>
    </row>
    <row r="90" ht="15.75" customHeight="1">
      <c r="A90" s="43">
        <v>45714</v>
      </c>
      <c r="B90" s="6">
        <v>45716</v>
      </c>
      <c r="C90" s="44"/>
    </row>
    <row r="91" ht="15.75" customHeight="1">
      <c r="A91" s="43">
        <v>45715</v>
      </c>
      <c r="B91" s="6">
        <v>45719</v>
      </c>
      <c r="C91" s="44"/>
    </row>
    <row r="92" ht="15.75" customHeight="1">
      <c r="A92" s="43">
        <v>45716</v>
      </c>
      <c r="B92" s="6">
        <v>45720</v>
      </c>
      <c r="C92" s="44"/>
    </row>
    <row r="93" ht="15.75" customHeight="1">
      <c r="A93" s="45" t="s">
        <v>127</v>
      </c>
      <c r="B93" s="46"/>
      <c r="C93" s="47">
        <f>SUM(C73:C92)</f>
        <v>29147.64</v>
      </c>
    </row>
    <row r="94" ht="15.75" customHeight="1">
      <c r="A94" s="43">
        <v>45719</v>
      </c>
      <c r="B94" s="6">
        <v>45721</v>
      </c>
      <c r="C94" s="44"/>
    </row>
    <row r="95" ht="15.75" customHeight="1">
      <c r="A95" s="43">
        <v>45720</v>
      </c>
      <c r="B95" s="6">
        <v>45722</v>
      </c>
      <c r="C95" s="44"/>
    </row>
    <row r="96" ht="15.75" customHeight="1">
      <c r="A96" s="43">
        <v>45721</v>
      </c>
      <c r="B96" s="6">
        <v>45723</v>
      </c>
      <c r="C96" s="44"/>
    </row>
    <row r="97" ht="15.75" customHeight="1">
      <c r="A97" s="43">
        <v>45722</v>
      </c>
      <c r="B97" s="6">
        <v>45726</v>
      </c>
      <c r="C97" s="44"/>
    </row>
    <row r="98" ht="15.75" customHeight="1">
      <c r="A98" s="43">
        <v>45723</v>
      </c>
      <c r="B98" s="6">
        <v>45727</v>
      </c>
      <c r="C98" s="44"/>
    </row>
    <row r="99" ht="15.75" customHeight="1">
      <c r="A99" s="43">
        <v>45726</v>
      </c>
      <c r="B99" s="6">
        <v>45728</v>
      </c>
      <c r="C99" s="44"/>
    </row>
    <row r="100" ht="15.75" customHeight="1">
      <c r="A100" s="43">
        <v>45727</v>
      </c>
      <c r="B100" s="6">
        <v>45729</v>
      </c>
      <c r="C100" s="44"/>
    </row>
    <row r="101" ht="15.75" customHeight="1">
      <c r="A101" s="43">
        <v>45728</v>
      </c>
      <c r="B101" s="6">
        <v>45730</v>
      </c>
      <c r="C101" s="44"/>
    </row>
    <row r="102" ht="15.75" customHeight="1">
      <c r="A102" s="43">
        <v>45729</v>
      </c>
      <c r="B102" s="6">
        <v>45733</v>
      </c>
      <c r="C102" s="44"/>
    </row>
    <row r="103" ht="15.75" customHeight="1">
      <c r="A103" s="43">
        <v>45730</v>
      </c>
      <c r="B103" s="6">
        <v>45734</v>
      </c>
      <c r="C103" s="44"/>
    </row>
    <row r="104" ht="15.75" customHeight="1">
      <c r="A104" s="43">
        <v>45733</v>
      </c>
      <c r="B104" s="6">
        <v>45735</v>
      </c>
      <c r="C104" s="44">
        <v>26511.03</v>
      </c>
      <c r="F104" s="0" t="s">
        <v>126</v>
      </c>
    </row>
    <row r="105" ht="15.75" customHeight="1">
      <c r="A105" s="43">
        <v>45734</v>
      </c>
      <c r="B105" s="6">
        <v>45736</v>
      </c>
      <c r="C105" s="44"/>
    </row>
    <row r="106" ht="15.75" customHeight="1">
      <c r="A106" s="43">
        <v>45735</v>
      </c>
      <c r="B106" s="6">
        <v>45737</v>
      </c>
      <c r="C106" s="44"/>
    </row>
    <row r="107" ht="15.75" customHeight="1">
      <c r="A107" s="43">
        <v>45736</v>
      </c>
      <c r="B107" s="6">
        <v>45740</v>
      </c>
      <c r="C107" s="44"/>
    </row>
    <row r="108" ht="15.75" customHeight="1">
      <c r="A108" s="43">
        <v>45737</v>
      </c>
      <c r="B108" s="6">
        <v>45741</v>
      </c>
      <c r="C108" s="44"/>
    </row>
    <row r="109" ht="15.75" customHeight="1">
      <c r="A109" s="43">
        <v>45740</v>
      </c>
      <c r="B109" s="6">
        <v>45742</v>
      </c>
      <c r="C109" s="44"/>
    </row>
    <row r="110" ht="15.75" customHeight="1">
      <c r="A110" s="43">
        <v>45741</v>
      </c>
      <c r="B110" s="6">
        <v>45743</v>
      </c>
      <c r="C110" s="44"/>
    </row>
    <row r="111" ht="15.75" customHeight="1">
      <c r="A111" s="43">
        <v>45742</v>
      </c>
      <c r="B111" s="6">
        <v>45744</v>
      </c>
      <c r="C111" s="44"/>
    </row>
    <row r="112" ht="15.75" customHeight="1">
      <c r="A112" s="43">
        <v>45743</v>
      </c>
      <c r="B112" s="6">
        <v>45747</v>
      </c>
      <c r="C112" s="44"/>
    </row>
    <row r="113" ht="15.75" customHeight="1">
      <c r="A113" s="43">
        <v>45744</v>
      </c>
      <c r="B113" s="6">
        <v>45748</v>
      </c>
      <c r="C113" s="44"/>
    </row>
    <row r="114" ht="15.75" customHeight="1">
      <c r="A114" s="43">
        <v>45747</v>
      </c>
      <c r="B114" s="6">
        <v>45749</v>
      </c>
      <c r="C114" s="44"/>
    </row>
    <row r="115" ht="15.75" customHeight="1">
      <c r="A115" s="45" t="s">
        <v>127</v>
      </c>
      <c r="B115" s="46"/>
      <c r="C115" s="47">
        <f>SUM(C94:C114)</f>
        <v>26511.03</v>
      </c>
    </row>
    <row r="116" ht="15.75" customHeight="1">
      <c r="A116" s="43">
        <v>45748</v>
      </c>
      <c r="B116" s="6">
        <v>45750</v>
      </c>
      <c r="C116" s="44"/>
    </row>
    <row r="117" ht="15.75" customHeight="1">
      <c r="A117" s="43">
        <v>45749</v>
      </c>
      <c r="B117" s="6">
        <v>45751</v>
      </c>
      <c r="C117" s="44"/>
    </row>
    <row r="118" ht="15.75" customHeight="1">
      <c r="A118" s="43">
        <v>45750</v>
      </c>
      <c r="B118" s="6">
        <v>45754</v>
      </c>
      <c r="C118" s="44"/>
    </row>
    <row r="119" ht="15.75" customHeight="1">
      <c r="A119" s="43">
        <v>45751</v>
      </c>
      <c r="B119" s="6">
        <v>45755</v>
      </c>
      <c r="C119" s="44"/>
    </row>
    <row r="120" ht="15.75" customHeight="1">
      <c r="A120" s="43">
        <v>45754</v>
      </c>
      <c r="B120" s="6">
        <v>45756</v>
      </c>
      <c r="C120" s="44"/>
    </row>
    <row r="121" ht="15.75" customHeight="1">
      <c r="A121" s="43">
        <v>45755</v>
      </c>
      <c r="B121" s="6">
        <v>45757</v>
      </c>
      <c r="C121" s="44"/>
    </row>
    <row r="122" ht="15.75" customHeight="1">
      <c r="A122" s="43">
        <v>45756</v>
      </c>
      <c r="B122" s="6">
        <v>45758</v>
      </c>
      <c r="C122" s="44"/>
    </row>
    <row r="123" ht="15.75" customHeight="1">
      <c r="A123" s="43">
        <v>45757</v>
      </c>
      <c r="B123" s="6">
        <v>45761</v>
      </c>
      <c r="C123" s="44"/>
    </row>
    <row r="124" ht="15.75" customHeight="1">
      <c r="A124" s="43">
        <v>45758</v>
      </c>
      <c r="B124" s="6">
        <v>45762</v>
      </c>
      <c r="C124" s="44"/>
    </row>
    <row r="125" ht="15.75" customHeight="1">
      <c r="A125" s="43">
        <v>45761</v>
      </c>
      <c r="B125" s="6">
        <v>45763</v>
      </c>
      <c r="C125" s="44"/>
    </row>
    <row r="126" ht="15.75" customHeight="1">
      <c r="A126" s="43">
        <v>45762</v>
      </c>
      <c r="B126" s="6">
        <v>45764</v>
      </c>
      <c r="C126" s="44">
        <v>25676.25</v>
      </c>
      <c r="F126" s="0" t="s">
        <v>126</v>
      </c>
    </row>
    <row r="127" ht="15.75" customHeight="1">
      <c r="A127" s="43">
        <v>45763</v>
      </c>
      <c r="B127" s="6">
        <v>45765</v>
      </c>
      <c r="C127" s="44"/>
    </row>
    <row r="128" ht="15.75" customHeight="1">
      <c r="A128" s="43">
        <v>45764</v>
      </c>
      <c r="B128" s="6">
        <v>45768</v>
      </c>
      <c r="C128" s="44"/>
    </row>
    <row r="129" ht="15.75" customHeight="1">
      <c r="A129" s="43">
        <v>45765</v>
      </c>
      <c r="B129" s="6">
        <v>45769</v>
      </c>
      <c r="C129" s="44"/>
    </row>
    <row r="130" ht="15.75" customHeight="1">
      <c r="A130" s="43">
        <v>45768</v>
      </c>
      <c r="B130" s="6">
        <v>45770</v>
      </c>
      <c r="C130" s="44"/>
    </row>
    <row r="131" ht="15.75" customHeight="1">
      <c r="A131" s="43">
        <v>45769</v>
      </c>
      <c r="B131" s="6">
        <v>45771</v>
      </c>
      <c r="C131" s="44"/>
    </row>
    <row r="132" ht="15.75" customHeight="1">
      <c r="A132" s="43">
        <v>45770</v>
      </c>
      <c r="B132" s="6">
        <v>45772</v>
      </c>
      <c r="C132" s="44"/>
    </row>
    <row r="133" ht="15.75" customHeight="1">
      <c r="A133" s="43">
        <v>45771</v>
      </c>
      <c r="B133" s="6">
        <v>45775</v>
      </c>
      <c r="C133" s="44"/>
    </row>
    <row r="134" ht="15.75" customHeight="1">
      <c r="A134" s="43">
        <v>45772</v>
      </c>
      <c r="B134" s="6">
        <v>45776</v>
      </c>
      <c r="C134" s="44"/>
    </row>
    <row r="135" ht="15.75" customHeight="1">
      <c r="A135" s="43">
        <v>45775</v>
      </c>
      <c r="B135" s="6">
        <v>45777</v>
      </c>
      <c r="C135" s="44"/>
    </row>
    <row r="136" ht="15.75" customHeight="1">
      <c r="A136" s="43">
        <v>45776</v>
      </c>
      <c r="B136" s="6">
        <v>45778</v>
      </c>
      <c r="C136" s="44"/>
    </row>
    <row r="137" ht="15.75" customHeight="1">
      <c r="A137" s="43">
        <v>45777</v>
      </c>
      <c r="B137" s="6">
        <v>45779</v>
      </c>
      <c r="C137" s="44"/>
    </row>
    <row r="138" ht="15.75" customHeight="1">
      <c r="A138" s="45" t="s">
        <v>127</v>
      </c>
      <c r="B138" s="46"/>
      <c r="C138" s="47">
        <f>SUM(C116:C137)</f>
        <v>25676.25</v>
      </c>
    </row>
    <row r="139" ht="15.75" customHeight="1">
      <c r="A139" s="43">
        <v>45778</v>
      </c>
      <c r="B139" s="6">
        <v>45782</v>
      </c>
      <c r="C139" s="48"/>
    </row>
    <row r="140" ht="15.75" customHeight="1">
      <c r="A140" s="43">
        <v>45779</v>
      </c>
      <c r="B140" s="6">
        <v>45783</v>
      </c>
      <c r="C140" s="44"/>
    </row>
    <row r="141" ht="15.75" customHeight="1">
      <c r="A141" s="43">
        <v>45782</v>
      </c>
      <c r="B141" s="6">
        <v>45784</v>
      </c>
      <c r="C141" s="44"/>
    </row>
    <row r="142" ht="15.75" customHeight="1">
      <c r="A142" s="43">
        <v>45783</v>
      </c>
      <c r="B142" s="6">
        <v>45785</v>
      </c>
      <c r="C142" s="44"/>
    </row>
    <row r="143" ht="15.75" customHeight="1">
      <c r="A143" s="43">
        <v>45784</v>
      </c>
      <c r="B143" s="6">
        <v>45786</v>
      </c>
      <c r="C143" s="44"/>
    </row>
    <row r="144" ht="15.75" customHeight="1">
      <c r="A144" s="43">
        <v>45785</v>
      </c>
      <c r="B144" s="6">
        <v>45789</v>
      </c>
      <c r="C144" s="44"/>
    </row>
    <row r="145" ht="15.75" customHeight="1">
      <c r="A145" s="43">
        <v>45786</v>
      </c>
      <c r="B145" s="6">
        <v>45790</v>
      </c>
      <c r="C145" s="44"/>
    </row>
    <row r="146" ht="15.75" customHeight="1">
      <c r="A146" s="43">
        <v>45789</v>
      </c>
      <c r="B146" s="6">
        <v>45791</v>
      </c>
      <c r="C146" s="44"/>
    </row>
    <row r="147" ht="15.75" customHeight="1">
      <c r="A147" s="43">
        <v>45790</v>
      </c>
      <c r="B147" s="6">
        <v>45792</v>
      </c>
      <c r="C147" s="44"/>
    </row>
    <row r="148" ht="15.75" customHeight="1">
      <c r="A148" s="43">
        <v>45791</v>
      </c>
      <c r="B148" s="6">
        <v>45793</v>
      </c>
      <c r="C148" s="44"/>
    </row>
    <row r="149" ht="15.75" customHeight="1">
      <c r="A149" s="43">
        <v>45792</v>
      </c>
      <c r="B149" s="6">
        <v>45796</v>
      </c>
      <c r="C149" s="44">
        <v>39689.9</v>
      </c>
      <c r="F149" s="0" t="s">
        <v>126</v>
      </c>
    </row>
    <row r="150" ht="15.75" customHeight="1">
      <c r="A150" s="43">
        <v>45793</v>
      </c>
      <c r="B150" s="6">
        <v>45797</v>
      </c>
      <c r="C150" s="44"/>
    </row>
    <row r="151" ht="15.75" customHeight="1">
      <c r="A151" s="43">
        <v>45796</v>
      </c>
      <c r="B151" s="6">
        <v>45798</v>
      </c>
      <c r="C151" s="44"/>
    </row>
    <row r="152" ht="15.75" customHeight="1">
      <c r="A152" s="43">
        <v>45797</v>
      </c>
      <c r="B152" s="6">
        <v>45799</v>
      </c>
      <c r="C152" s="44"/>
    </row>
    <row r="153" ht="15.75" customHeight="1">
      <c r="A153" s="43">
        <v>45798</v>
      </c>
      <c r="B153" s="6">
        <v>45800</v>
      </c>
      <c r="C153" s="44"/>
    </row>
    <row r="154" ht="15.75" customHeight="1">
      <c r="A154" s="43">
        <v>45799</v>
      </c>
      <c r="B154" s="6">
        <v>45804</v>
      </c>
      <c r="C154" s="44"/>
    </row>
    <row r="155" ht="15.75" customHeight="1">
      <c r="A155" s="43">
        <v>45800</v>
      </c>
      <c r="B155" s="6">
        <v>45805</v>
      </c>
      <c r="C155" s="44"/>
    </row>
    <row r="156" ht="15.75" customHeight="1">
      <c r="A156" s="43">
        <v>45804</v>
      </c>
      <c r="B156" s="6">
        <v>45806</v>
      </c>
      <c r="C156" s="44">
        <v>2933.82</v>
      </c>
      <c r="F156" s="0" t="s">
        <v>126</v>
      </c>
    </row>
    <row r="157" ht="15.75" customHeight="1">
      <c r="A157" s="43">
        <v>45805</v>
      </c>
      <c r="B157" s="6">
        <v>45807</v>
      </c>
      <c r="C157" s="44"/>
    </row>
    <row r="158" ht="15.75" customHeight="1">
      <c r="A158" s="43">
        <v>45806</v>
      </c>
      <c r="B158" s="6">
        <v>45810</v>
      </c>
      <c r="C158" s="44"/>
    </row>
    <row r="159" ht="15.75" customHeight="1">
      <c r="A159" s="43">
        <v>45807</v>
      </c>
      <c r="B159" s="6">
        <v>45811</v>
      </c>
      <c r="C159" s="44"/>
    </row>
    <row r="160" ht="15.75" customHeight="1">
      <c r="A160" s="45" t="s">
        <v>127</v>
      </c>
      <c r="B160" s="46"/>
      <c r="C160" s="47">
        <f>SUM(C139:C159)</f>
        <v>42623.72</v>
      </c>
    </row>
    <row r="161" ht="15.75" customHeight="1">
      <c r="A161" s="43">
        <v>45810</v>
      </c>
      <c r="B161" s="6">
        <v>45812</v>
      </c>
      <c r="C161" s="44"/>
    </row>
    <row r="162" ht="15.75" customHeight="1">
      <c r="A162" s="43">
        <v>45811</v>
      </c>
      <c r="B162" s="6">
        <v>45813</v>
      </c>
      <c r="C162" s="44"/>
    </row>
    <row r="163" ht="15.75" customHeight="1">
      <c r="A163" s="43">
        <v>45812</v>
      </c>
      <c r="B163" s="6">
        <v>45814</v>
      </c>
      <c r="C163" s="44"/>
    </row>
    <row r="164" ht="15.75" customHeight="1">
      <c r="A164" s="43">
        <v>45813</v>
      </c>
      <c r="B164" s="6">
        <v>45817</v>
      </c>
      <c r="C164" s="44"/>
    </row>
    <row r="165" ht="15.75" customHeight="1">
      <c r="A165" s="43">
        <v>45814</v>
      </c>
      <c r="B165" s="6">
        <v>45818</v>
      </c>
      <c r="C165" s="44"/>
    </row>
    <row r="166" ht="15.75" customHeight="1">
      <c r="A166" s="43">
        <v>45817</v>
      </c>
      <c r="B166" s="6">
        <v>45819</v>
      </c>
      <c r="C166" s="44"/>
    </row>
    <row r="167" ht="15.75" customHeight="1">
      <c r="A167" s="43">
        <v>45818</v>
      </c>
      <c r="B167" s="6">
        <v>45820</v>
      </c>
      <c r="C167" s="44"/>
    </row>
    <row r="168" ht="15.75" customHeight="1">
      <c r="A168" s="43">
        <v>45819</v>
      </c>
      <c r="B168" s="6">
        <v>45821</v>
      </c>
      <c r="C168" s="44"/>
    </row>
    <row r="169" ht="15.75" customHeight="1">
      <c r="A169" s="43">
        <v>45820</v>
      </c>
      <c r="B169" s="6">
        <v>45824</v>
      </c>
      <c r="C169" s="44"/>
    </row>
    <row r="170" ht="15.75" customHeight="1">
      <c r="A170" s="43">
        <v>45821</v>
      </c>
      <c r="B170" s="6">
        <v>45825</v>
      </c>
      <c r="C170" s="44"/>
    </row>
    <row r="171" ht="15.75" customHeight="1">
      <c r="A171" s="43">
        <v>45824</v>
      </c>
      <c r="B171" s="6">
        <v>45826</v>
      </c>
      <c r="C171" s="44">
        <v>19284.21</v>
      </c>
      <c r="F171" s="0" t="s">
        <v>126</v>
      </c>
    </row>
    <row r="172" ht="15.75" customHeight="1">
      <c r="A172" s="43">
        <v>45825</v>
      </c>
      <c r="B172" s="6">
        <v>45827</v>
      </c>
      <c r="C172" s="44">
        <v>3987.34</v>
      </c>
      <c r="F172" s="0" t="s">
        <v>126</v>
      </c>
    </row>
    <row r="173" ht="15.75" customHeight="1">
      <c r="A173" s="43">
        <v>45826</v>
      </c>
      <c r="B173" s="6">
        <v>45828</v>
      </c>
      <c r="C173" s="44"/>
    </row>
    <row r="174" ht="15.75" customHeight="1">
      <c r="A174" s="43">
        <v>45827</v>
      </c>
      <c r="B174" s="6">
        <v>45831</v>
      </c>
      <c r="C174" s="44"/>
    </row>
    <row r="175" ht="15.75" customHeight="1">
      <c r="A175" s="43">
        <v>45828</v>
      </c>
      <c r="B175" s="6">
        <v>45832</v>
      </c>
      <c r="C175" s="44"/>
    </row>
    <row r="176" ht="15.75" customHeight="1">
      <c r="A176" s="43">
        <v>45831</v>
      </c>
      <c r="B176" s="6">
        <v>45833</v>
      </c>
      <c r="C176" s="44"/>
    </row>
    <row r="177" ht="15.75" customHeight="1">
      <c r="A177" s="43">
        <v>45832</v>
      </c>
      <c r="B177" s="6">
        <v>45834</v>
      </c>
      <c r="C177" s="44"/>
    </row>
    <row r="178" ht="15.75" customHeight="1">
      <c r="A178" s="43">
        <v>45833</v>
      </c>
      <c r="B178" s="6">
        <v>45835</v>
      </c>
      <c r="C178" s="44"/>
    </row>
    <row r="179" ht="15.75" customHeight="1">
      <c r="A179" s="43">
        <v>45834</v>
      </c>
      <c r="B179" s="6">
        <v>45838</v>
      </c>
      <c r="C179" s="44"/>
    </row>
    <row r="180" ht="15.75" customHeight="1">
      <c r="A180" s="43">
        <v>45835</v>
      </c>
      <c r="B180" s="6">
        <v>45839</v>
      </c>
      <c r="C180" s="44"/>
    </row>
    <row r="181" ht="15.75" customHeight="1">
      <c r="A181" s="43">
        <v>45838</v>
      </c>
      <c r="B181" s="6">
        <v>45840</v>
      </c>
      <c r="C181" s="44"/>
    </row>
    <row r="182" ht="15.75" customHeight="1">
      <c r="A182" s="45" t="s">
        <v>127</v>
      </c>
      <c r="B182" s="46"/>
      <c r="C182" s="47">
        <f>SUM(C161:C181)</f>
        <v>23271.55</v>
      </c>
    </row>
    <row r="183" ht="15.75" customHeight="1">
      <c r="A183" s="43">
        <v>45839</v>
      </c>
      <c r="B183" s="6">
        <v>45841</v>
      </c>
      <c r="C183" s="44"/>
    </row>
    <row r="184" ht="15.75" customHeight="1">
      <c r="A184" s="43">
        <v>45840</v>
      </c>
      <c r="B184" s="6">
        <v>45845</v>
      </c>
      <c r="C184" s="44"/>
    </row>
    <row r="185" ht="15.75" customHeight="1">
      <c r="A185" s="43">
        <v>45841</v>
      </c>
      <c r="B185" s="6">
        <v>45846</v>
      </c>
      <c r="C185" s="44"/>
    </row>
    <row r="186" ht="15.75" customHeight="1">
      <c r="A186" s="43">
        <v>45845</v>
      </c>
      <c r="B186" s="6">
        <v>45847</v>
      </c>
      <c r="C186" s="44"/>
    </row>
    <row r="187" ht="15.75" customHeight="1">
      <c r="A187" s="43">
        <v>45846</v>
      </c>
      <c r="B187" s="6">
        <v>45848</v>
      </c>
      <c r="C187" s="44"/>
    </row>
    <row r="188" ht="15.75" customHeight="1">
      <c r="A188" s="43">
        <v>45847</v>
      </c>
      <c r="B188" s="6">
        <v>45849</v>
      </c>
      <c r="C188" s="44"/>
    </row>
    <row r="189" ht="15.75" customHeight="1">
      <c r="A189" s="43">
        <v>45848</v>
      </c>
      <c r="B189" s="6">
        <v>45852</v>
      </c>
      <c r="C189" s="44"/>
    </row>
    <row r="190" ht="15.75" customHeight="1">
      <c r="A190" s="43">
        <v>45849</v>
      </c>
      <c r="B190" s="6">
        <v>45853</v>
      </c>
      <c r="C190" s="44"/>
    </row>
    <row r="191" ht="15.75" customHeight="1">
      <c r="A191" s="43">
        <v>45852</v>
      </c>
      <c r="B191" s="6">
        <v>45854</v>
      </c>
      <c r="C191" s="44"/>
    </row>
    <row r="192" ht="15.75" customHeight="1">
      <c r="A192" s="43">
        <v>45853</v>
      </c>
      <c r="B192" s="6">
        <v>45855</v>
      </c>
      <c r="C192" s="44">
        <v>15904.13</v>
      </c>
      <c r="F192" s="0" t="s">
        <v>126</v>
      </c>
    </row>
    <row r="193" ht="15.75" customHeight="1">
      <c r="A193" s="43">
        <v>45854</v>
      </c>
      <c r="B193" s="6">
        <v>45856</v>
      </c>
      <c r="C193" s="44"/>
    </row>
    <row r="194" ht="15.75" customHeight="1">
      <c r="A194" s="43">
        <v>45855</v>
      </c>
      <c r="B194" s="6">
        <v>45859</v>
      </c>
      <c r="C194" s="44"/>
    </row>
    <row r="195" ht="15.75" customHeight="1">
      <c r="A195" s="43">
        <v>45856</v>
      </c>
      <c r="B195" s="6">
        <v>45860</v>
      </c>
      <c r="C195" s="44"/>
    </row>
    <row r="196" ht="15.75" customHeight="1">
      <c r="A196" s="43">
        <v>45859</v>
      </c>
      <c r="B196" s="6">
        <v>45861</v>
      </c>
      <c r="C196" s="44"/>
    </row>
    <row r="197" ht="15.75" customHeight="1">
      <c r="A197" s="43">
        <v>45860</v>
      </c>
      <c r="B197" s="6">
        <v>45862</v>
      </c>
      <c r="C197" s="44"/>
    </row>
    <row r="198" ht="15.75" customHeight="1">
      <c r="A198" s="43">
        <v>45861</v>
      </c>
      <c r="B198" s="6">
        <v>45863</v>
      </c>
      <c r="C198" s="44"/>
    </row>
    <row r="199" ht="15.75" customHeight="1">
      <c r="A199" s="43">
        <v>45862</v>
      </c>
      <c r="B199" s="6">
        <v>45866</v>
      </c>
      <c r="C199" s="44"/>
    </row>
    <row r="200" ht="15.75" customHeight="1">
      <c r="A200" s="43">
        <v>45863</v>
      </c>
      <c r="B200" s="6">
        <v>45867</v>
      </c>
      <c r="C200" s="44"/>
    </row>
    <row r="201" ht="15.75" customHeight="1">
      <c r="A201" s="43">
        <v>45866</v>
      </c>
      <c r="B201" s="6">
        <v>45868</v>
      </c>
      <c r="C201" s="44"/>
    </row>
    <row r="202" ht="15.75" customHeight="1">
      <c r="A202" s="43">
        <v>45867</v>
      </c>
      <c r="B202" s="6">
        <v>45869</v>
      </c>
      <c r="C202" s="44"/>
    </row>
    <row r="203" ht="15.75" customHeight="1">
      <c r="A203" s="43">
        <v>45868</v>
      </c>
      <c r="B203" s="6">
        <v>45870</v>
      </c>
      <c r="C203" s="44"/>
    </row>
    <row r="204" ht="15.75" customHeight="1">
      <c r="A204" s="43">
        <v>45869</v>
      </c>
      <c r="B204" s="6">
        <v>45873</v>
      </c>
      <c r="C204" s="44"/>
    </row>
    <row r="205" ht="15.75" customHeight="1">
      <c r="A205" s="45" t="s">
        <v>127</v>
      </c>
      <c r="B205" s="46"/>
      <c r="C205" s="47">
        <f>SUM(C183:C204)</f>
        <v>15904.13</v>
      </c>
    </row>
    <row r="206" ht="15.75" customHeight="1">
      <c r="A206" s="43">
        <v>45870</v>
      </c>
      <c r="B206" s="6">
        <v>45874</v>
      </c>
      <c r="C206" s="44"/>
    </row>
    <row r="207" ht="15.75" customHeight="1">
      <c r="A207" s="43">
        <v>45873</v>
      </c>
      <c r="B207" s="6">
        <v>45875</v>
      </c>
      <c r="C207" s="44"/>
    </row>
    <row r="208" ht="15.75" customHeight="1">
      <c r="A208" s="43">
        <v>45874</v>
      </c>
      <c r="B208" s="6">
        <v>45876</v>
      </c>
      <c r="C208" s="44"/>
    </row>
    <row r="209" ht="15.75" customHeight="1">
      <c r="A209" s="43">
        <v>45875</v>
      </c>
      <c r="B209" s="6">
        <v>45877</v>
      </c>
      <c r="C209" s="44"/>
    </row>
    <row r="210" ht="15.75" customHeight="1">
      <c r="A210" s="43">
        <v>45876</v>
      </c>
      <c r="B210" s="6">
        <v>45880</v>
      </c>
      <c r="C210" s="44"/>
    </row>
    <row r="211" ht="15.75" customHeight="1">
      <c r="A211" s="43">
        <v>45877</v>
      </c>
      <c r="B211" s="6">
        <v>45881</v>
      </c>
      <c r="C211" s="44"/>
    </row>
    <row r="212" ht="15.75" customHeight="1">
      <c r="A212" s="43">
        <v>45880</v>
      </c>
      <c r="B212" s="6">
        <v>45882</v>
      </c>
      <c r="C212" s="44"/>
    </row>
    <row r="213" ht="15.75" customHeight="1">
      <c r="A213" s="43">
        <v>45881</v>
      </c>
      <c r="B213" s="6">
        <v>45883</v>
      </c>
      <c r="C213" s="44"/>
    </row>
    <row r="214" ht="15.75" customHeight="1">
      <c r="A214" s="43">
        <v>45882</v>
      </c>
      <c r="B214" s="6">
        <v>45884</v>
      </c>
      <c r="C214" s="44"/>
    </row>
    <row r="215" ht="15.75" customHeight="1">
      <c r="A215" s="43">
        <v>45883</v>
      </c>
      <c r="B215" s="6">
        <v>45887</v>
      </c>
      <c r="C215" s="44"/>
    </row>
    <row r="216" ht="15.75" customHeight="1">
      <c r="A216" s="43">
        <v>45884</v>
      </c>
      <c r="B216" s="6">
        <v>45888</v>
      </c>
      <c r="C216" s="44">
        <v>13012.47</v>
      </c>
      <c r="F216" s="0" t="s">
        <v>126</v>
      </c>
    </row>
    <row r="217" ht="15.75" customHeight="1">
      <c r="A217" s="43">
        <v>45887</v>
      </c>
      <c r="B217" s="6">
        <v>45889</v>
      </c>
      <c r="C217" s="44"/>
    </row>
    <row r="218" ht="15.75" customHeight="1">
      <c r="A218" s="43">
        <v>45888</v>
      </c>
      <c r="B218" s="6">
        <v>45890</v>
      </c>
      <c r="C218" s="44"/>
    </row>
    <row r="219" ht="15.75" customHeight="1">
      <c r="A219" s="43">
        <v>45889</v>
      </c>
      <c r="B219" s="6">
        <v>45891</v>
      </c>
      <c r="C219" s="44"/>
    </row>
    <row r="220" ht="15.75" customHeight="1">
      <c r="A220" s="43">
        <v>45890</v>
      </c>
      <c r="B220" s="6">
        <v>45894</v>
      </c>
      <c r="C220" s="44"/>
    </row>
    <row r="221" ht="15.75" customHeight="1">
      <c r="A221" s="43">
        <v>45891</v>
      </c>
      <c r="B221" s="6">
        <v>45895</v>
      </c>
      <c r="C221" s="44"/>
    </row>
    <row r="222" ht="15.75" customHeight="1">
      <c r="A222" s="43">
        <v>45894</v>
      </c>
      <c r="B222" s="6">
        <v>45896</v>
      </c>
      <c r="C222" s="44"/>
    </row>
    <row r="223" ht="15.75" customHeight="1">
      <c r="A223" s="43">
        <v>45895</v>
      </c>
      <c r="B223" s="6">
        <v>45897</v>
      </c>
      <c r="C223" s="44"/>
    </row>
    <row r="224" ht="15.75" customHeight="1">
      <c r="A224" s="43">
        <v>45896</v>
      </c>
      <c r="B224" s="6">
        <v>45898</v>
      </c>
      <c r="C224" s="44"/>
    </row>
    <row r="225" ht="15.75" customHeight="1">
      <c r="A225" s="43">
        <v>45897</v>
      </c>
      <c r="B225" s="6">
        <v>45902</v>
      </c>
      <c r="C225" s="44"/>
    </row>
    <row r="226" ht="15.75" customHeight="1">
      <c r="A226" s="43">
        <v>45898</v>
      </c>
      <c r="B226" s="6">
        <v>45903</v>
      </c>
      <c r="C226" s="44"/>
    </row>
    <row r="227" ht="15.75" customHeight="1">
      <c r="A227" s="45" t="s">
        <v>127</v>
      </c>
      <c r="B227" s="46"/>
      <c r="C227" s="47">
        <f>SUM(C206:C226)</f>
        <v>13012.47</v>
      </c>
    </row>
    <row r="228" ht="15.75" customHeight="1">
      <c r="A228" s="43">
        <v>45902</v>
      </c>
      <c r="B228" s="6">
        <v>45904</v>
      </c>
      <c r="C228" s="44"/>
    </row>
    <row r="229" ht="15.75" customHeight="1">
      <c r="A229" s="43">
        <v>45903</v>
      </c>
      <c r="B229" s="6">
        <v>45905</v>
      </c>
      <c r="C229" s="44"/>
    </row>
    <row r="230" ht="15.75" customHeight="1">
      <c r="A230" s="43">
        <v>45904</v>
      </c>
      <c r="B230" s="6">
        <v>45908</v>
      </c>
      <c r="C230" s="44"/>
    </row>
    <row r="231" ht="15.75" customHeight="1">
      <c r="A231" s="43">
        <v>45905</v>
      </c>
      <c r="B231" s="6">
        <v>45909</v>
      </c>
      <c r="C231" s="44"/>
    </row>
    <row r="232" ht="15.75" customHeight="1">
      <c r="A232" s="43">
        <v>45908</v>
      </c>
      <c r="B232" s="6">
        <v>45910</v>
      </c>
      <c r="C232" s="44"/>
    </row>
    <row r="233" ht="15.75" customHeight="1">
      <c r="A233" s="43">
        <v>45909</v>
      </c>
      <c r="B233" s="6">
        <v>45911</v>
      </c>
      <c r="C233" s="44"/>
    </row>
    <row r="234" ht="15.75" customHeight="1">
      <c r="A234" s="43">
        <v>45910</v>
      </c>
      <c r="B234" s="6">
        <v>45912</v>
      </c>
      <c r="C234" s="44"/>
    </row>
    <row r="235" ht="15.75" customHeight="1">
      <c r="A235" s="43">
        <v>45911</v>
      </c>
      <c r="B235" s="6">
        <v>45915</v>
      </c>
      <c r="C235" s="44"/>
    </row>
    <row r="236" ht="15.75" customHeight="1">
      <c r="A236" s="43">
        <v>45912</v>
      </c>
      <c r="B236" s="6">
        <v>45916</v>
      </c>
      <c r="C236" s="44"/>
    </row>
    <row r="237" ht="15.75" customHeight="1">
      <c r="A237" s="43">
        <v>45915</v>
      </c>
      <c r="B237" s="6">
        <v>45917</v>
      </c>
      <c r="C237" s="44"/>
    </row>
    <row r="238" ht="15.75" customHeight="1">
      <c r="A238" s="43">
        <v>45916</v>
      </c>
      <c r="B238" s="6">
        <v>45918</v>
      </c>
      <c r="C238" s="44">
        <v>13012.47</v>
      </c>
      <c r="F238" s="0" t="s">
        <v>126</v>
      </c>
    </row>
    <row r="239" ht="15.75" customHeight="1">
      <c r="A239" s="43">
        <v>45917</v>
      </c>
      <c r="B239" s="6">
        <v>45919</v>
      </c>
      <c r="C239" s="44"/>
    </row>
    <row r="240" ht="15.75" customHeight="1">
      <c r="A240" s="43">
        <v>45918</v>
      </c>
      <c r="B240" s="6">
        <v>45922</v>
      </c>
      <c r="C240" s="44"/>
    </row>
    <row r="241" ht="15.75" customHeight="1">
      <c r="A241" s="43">
        <v>45919</v>
      </c>
      <c r="B241" s="6">
        <v>45923</v>
      </c>
      <c r="C241" s="44"/>
    </row>
    <row r="242" ht="15.75" customHeight="1">
      <c r="A242" s="43">
        <v>45922</v>
      </c>
      <c r="B242" s="6">
        <v>45924</v>
      </c>
      <c r="C242" s="44"/>
    </row>
    <row r="243" ht="15.75" customHeight="1">
      <c r="A243" s="43">
        <v>45923</v>
      </c>
      <c r="B243" s="6">
        <v>45925</v>
      </c>
      <c r="C243" s="44"/>
    </row>
    <row r="244" ht="15.75" customHeight="1">
      <c r="A244" s="43">
        <v>45924</v>
      </c>
      <c r="B244" s="6">
        <v>45926</v>
      </c>
      <c r="C244" s="44"/>
    </row>
    <row r="245" ht="15.75" customHeight="1">
      <c r="A245" s="43">
        <v>45925</v>
      </c>
      <c r="B245" s="6">
        <v>45929</v>
      </c>
      <c r="C245" s="44"/>
    </row>
    <row r="246" ht="15.75" customHeight="1">
      <c r="A246" s="43">
        <v>45926</v>
      </c>
      <c r="B246" s="6">
        <v>45930</v>
      </c>
      <c r="C246" s="44"/>
    </row>
    <row r="247" ht="15.75" customHeight="1">
      <c r="A247" s="43">
        <v>45929</v>
      </c>
      <c r="B247" s="6">
        <v>45931</v>
      </c>
      <c r="C247" s="44"/>
    </row>
    <row r="248" ht="15.75" customHeight="1">
      <c r="A248" s="43">
        <v>45930</v>
      </c>
      <c r="B248" s="6">
        <v>45932</v>
      </c>
      <c r="C248" s="44"/>
    </row>
    <row r="249" ht="15.75" customHeight="1">
      <c r="A249" s="45" t="s">
        <v>127</v>
      </c>
      <c r="B249" s="46"/>
      <c r="C249" s="47">
        <f>SUM(C228:C248)</f>
        <v>13012.47</v>
      </c>
    </row>
    <row r="250" ht="15.75" customHeight="1">
      <c r="A250" s="43">
        <v>45931</v>
      </c>
      <c r="B250" s="6">
        <v>45933</v>
      </c>
      <c r="C250" s="44"/>
    </row>
    <row r="251" ht="15.75" customHeight="1">
      <c r="A251" s="43">
        <v>45932</v>
      </c>
      <c r="B251" s="6">
        <v>45936</v>
      </c>
      <c r="C251" s="44"/>
    </row>
    <row r="252" ht="15.75" customHeight="1">
      <c r="A252" s="43">
        <v>45933</v>
      </c>
      <c r="B252" s="6">
        <v>45937</v>
      </c>
      <c r="C252" s="44"/>
    </row>
    <row r="253" ht="15.75" customHeight="1">
      <c r="A253" s="43">
        <v>45936</v>
      </c>
      <c r="B253" s="6">
        <v>45938</v>
      </c>
      <c r="C253" s="44"/>
    </row>
    <row r="254" ht="15.75" customHeight="1">
      <c r="A254" s="43">
        <v>45937</v>
      </c>
      <c r="B254" s="6">
        <v>45939</v>
      </c>
      <c r="C254" s="44"/>
    </row>
    <row r="255" ht="15.75" customHeight="1">
      <c r="A255" s="43">
        <v>45938</v>
      </c>
      <c r="B255" s="6">
        <v>45940</v>
      </c>
      <c r="C255" s="44"/>
    </row>
    <row r="256" ht="15.75" customHeight="1">
      <c r="A256" s="43">
        <v>45939</v>
      </c>
      <c r="B256" s="6">
        <v>45943</v>
      </c>
      <c r="C256" s="44"/>
    </row>
    <row r="257" ht="15.75" customHeight="1">
      <c r="A257" s="43">
        <v>45940</v>
      </c>
      <c r="B257" s="6">
        <v>45944</v>
      </c>
      <c r="C257" s="44"/>
    </row>
    <row r="258" ht="15.75" customHeight="1">
      <c r="A258" s="43">
        <v>45943</v>
      </c>
      <c r="B258" s="6">
        <v>45945</v>
      </c>
      <c r="C258" s="44"/>
    </row>
    <row r="259" ht="15.75" customHeight="1">
      <c r="A259" s="43">
        <v>45944</v>
      </c>
      <c r="B259" s="6">
        <v>45946</v>
      </c>
      <c r="C259" s="44"/>
    </row>
    <row r="260" ht="15.75" customHeight="1">
      <c r="A260" s="43">
        <v>45945</v>
      </c>
      <c r="B260" s="6">
        <v>45947</v>
      </c>
      <c r="C260" s="44">
        <v>9902.12</v>
      </c>
      <c r="F260" s="0" t="s">
        <v>126</v>
      </c>
    </row>
    <row r="261" ht="15.75" customHeight="1">
      <c r="A261" s="43">
        <v>45946</v>
      </c>
      <c r="B261" s="6">
        <v>45950</v>
      </c>
      <c r="C261" s="44"/>
    </row>
    <row r="262" ht="15.75" customHeight="1">
      <c r="A262" s="43">
        <v>45947</v>
      </c>
      <c r="B262" s="6">
        <v>45951</v>
      </c>
      <c r="C262" s="44"/>
    </row>
    <row r="263" ht="15.75" customHeight="1">
      <c r="A263" s="43">
        <v>45950</v>
      </c>
      <c r="B263" s="6">
        <v>45952</v>
      </c>
      <c r="C263" s="44"/>
    </row>
    <row r="264" ht="15.75" customHeight="1">
      <c r="A264" s="43">
        <v>45951</v>
      </c>
      <c r="B264" s="6">
        <v>45953</v>
      </c>
      <c r="C264" s="44"/>
    </row>
    <row r="265" ht="15.75" customHeight="1">
      <c r="A265" s="43">
        <v>45952</v>
      </c>
      <c r="B265" s="6">
        <v>45954</v>
      </c>
      <c r="C265" s="44"/>
    </row>
    <row r="266" ht="15.75" customHeight="1">
      <c r="A266" s="43">
        <v>45953</v>
      </c>
      <c r="B266" s="6">
        <v>45957</v>
      </c>
      <c r="C266" s="44"/>
    </row>
    <row r="267" ht="15.75" customHeight="1">
      <c r="A267" s="43">
        <v>45954</v>
      </c>
      <c r="B267" s="6">
        <v>45958</v>
      </c>
      <c r="C267" s="44"/>
    </row>
    <row r="268" ht="15.75" customHeight="1">
      <c r="A268" s="43">
        <v>45957</v>
      </c>
      <c r="B268" s="6">
        <v>45959</v>
      </c>
      <c r="C268" s="44"/>
    </row>
    <row r="269" ht="15.75" customHeight="1">
      <c r="A269" s="43">
        <v>45958</v>
      </c>
      <c r="B269" s="6">
        <v>45960</v>
      </c>
      <c r="C269" s="44"/>
    </row>
    <row r="270" ht="15.75" customHeight="1">
      <c r="A270" s="43">
        <v>45959</v>
      </c>
      <c r="B270" s="6">
        <v>45961</v>
      </c>
      <c r="C270" s="44"/>
    </row>
    <row r="271" ht="15.75" customHeight="1">
      <c r="A271" s="43">
        <v>45960</v>
      </c>
      <c r="B271" s="6">
        <v>45964</v>
      </c>
      <c r="C271" s="44"/>
    </row>
    <row r="272" ht="15.75" customHeight="1">
      <c r="A272" s="43">
        <v>45961</v>
      </c>
      <c r="B272" s="6">
        <v>45965</v>
      </c>
      <c r="C272" s="44"/>
    </row>
    <row r="273" ht="15.75" customHeight="1">
      <c r="A273" s="45" t="s">
        <v>127</v>
      </c>
      <c r="B273" s="46"/>
      <c r="C273" s="47">
        <f>SUM(C250:C272)</f>
        <v>9902.12</v>
      </c>
    </row>
    <row r="274" ht="15.75" customHeight="1">
      <c r="A274" s="43">
        <v>45964</v>
      </c>
      <c r="B274" s="6">
        <v>45966</v>
      </c>
      <c r="C274" s="44"/>
    </row>
    <row r="275" ht="15.75" customHeight="1">
      <c r="A275" s="43">
        <v>45965</v>
      </c>
      <c r="B275" s="6">
        <v>45967</v>
      </c>
      <c r="C275" s="44"/>
    </row>
    <row r="276" ht="15.75" customHeight="1">
      <c r="A276" s="43">
        <v>45966</v>
      </c>
      <c r="B276" s="6">
        <v>45968</v>
      </c>
      <c r="C276" s="44"/>
    </row>
    <row r="277" ht="15.75" customHeight="1">
      <c r="A277" s="43">
        <v>45967</v>
      </c>
      <c r="B277" s="6">
        <v>45971</v>
      </c>
      <c r="C277" s="44">
        <v>3862.29</v>
      </c>
      <c r="F277" s="0" t="s">
        <v>126</v>
      </c>
    </row>
    <row r="278" ht="15.75" customHeight="1">
      <c r="A278" s="43">
        <v>45968</v>
      </c>
      <c r="B278" s="6">
        <v>45972</v>
      </c>
      <c r="C278" s="44">
        <v>2569.31</v>
      </c>
      <c r="F278" s="0" t="s">
        <v>126</v>
      </c>
    </row>
    <row r="279" ht="15.75" customHeight="1">
      <c r="A279" s="43">
        <v>45971</v>
      </c>
      <c r="B279" s="6">
        <v>45973</v>
      </c>
      <c r="C279" s="44"/>
    </row>
    <row r="280" ht="15.75" customHeight="1">
      <c r="A280" s="43">
        <v>45972</v>
      </c>
      <c r="B280" s="6">
        <v>45974</v>
      </c>
      <c r="C280" s="44"/>
    </row>
    <row r="281" ht="15.75" customHeight="1">
      <c r="A281" s="43">
        <v>45973</v>
      </c>
      <c r="B281" s="6">
        <v>45975</v>
      </c>
      <c r="C281" s="44"/>
    </row>
    <row r="282" ht="15.75" customHeight="1">
      <c r="A282" s="43">
        <v>45974</v>
      </c>
      <c r="B282" s="6">
        <v>45978</v>
      </c>
      <c r="C282" s="44"/>
    </row>
    <row r="283" ht="15.75" customHeight="1">
      <c r="A283" s="43">
        <v>45975</v>
      </c>
      <c r="B283" s="6">
        <v>45979</v>
      </c>
      <c r="C283" s="44"/>
    </row>
    <row r="284" ht="15.75" customHeight="1">
      <c r="A284" s="43">
        <v>45978</v>
      </c>
      <c r="B284" s="6">
        <v>45980</v>
      </c>
      <c r="C284" s="44">
        <v>6511.94</v>
      </c>
      <c r="F284" s="0" t="s">
        <v>126</v>
      </c>
    </row>
    <row r="285" ht="15.75" customHeight="1">
      <c r="A285" s="43">
        <v>45979</v>
      </c>
      <c r="B285" s="6">
        <v>45981</v>
      </c>
      <c r="C285" s="44">
        <v>697.5</v>
      </c>
      <c r="F285" s="0" t="s">
        <v>126</v>
      </c>
    </row>
    <row r="286" ht="15.75" customHeight="1">
      <c r="A286" s="43">
        <v>45980</v>
      </c>
      <c r="B286" s="6">
        <v>45982</v>
      </c>
      <c r="C286" s="44"/>
    </row>
    <row r="287" ht="15.75" customHeight="1">
      <c r="A287" s="43">
        <v>45981</v>
      </c>
      <c r="B287" s="6">
        <v>45985</v>
      </c>
      <c r="C287" s="44">
        <v>799.53</v>
      </c>
      <c r="F287" s="0" t="s">
        <v>126</v>
      </c>
    </row>
    <row r="288" ht="15.75" customHeight="1">
      <c r="A288" s="43">
        <v>45982</v>
      </c>
      <c r="B288" s="6">
        <v>45986</v>
      </c>
      <c r="C288" s="44"/>
    </row>
    <row r="289" ht="15.75" customHeight="1">
      <c r="A289" s="43">
        <v>45985</v>
      </c>
      <c r="B289" s="6">
        <v>45987</v>
      </c>
      <c r="C289" s="44"/>
    </row>
    <row r="290" ht="15.75" customHeight="1">
      <c r="A290" s="43">
        <v>45986</v>
      </c>
      <c r="B290" s="6">
        <v>45992</v>
      </c>
      <c r="C290" s="44"/>
    </row>
    <row r="291" ht="15.75" customHeight="1">
      <c r="A291" s="43">
        <v>45987</v>
      </c>
      <c r="B291" s="6">
        <v>45993</v>
      </c>
      <c r="C291" s="44"/>
    </row>
    <row r="292" ht="15.75" customHeight="1">
      <c r="A292" s="45" t="s">
        <v>127</v>
      </c>
      <c r="B292" s="46"/>
      <c r="C292" s="47">
        <f>SUM(C274:C291)</f>
        <v>14440.570000000002</v>
      </c>
    </row>
    <row r="293" ht="15.75" customHeight="1">
      <c r="A293" s="43">
        <v>45992</v>
      </c>
      <c r="B293" s="6">
        <v>45994</v>
      </c>
      <c r="C293" s="44"/>
    </row>
    <row r="294" ht="15.75" customHeight="1">
      <c r="A294" s="43">
        <v>45993</v>
      </c>
      <c r="B294" s="6">
        <v>45995</v>
      </c>
      <c r="C294" s="44"/>
    </row>
    <row r="295" ht="15.75" customHeight="1">
      <c r="A295" s="43">
        <v>45994</v>
      </c>
      <c r="B295" s="6">
        <v>45996</v>
      </c>
      <c r="C295" s="44"/>
    </row>
    <row r="296" ht="15.75" customHeight="1">
      <c r="A296" s="43">
        <v>45995</v>
      </c>
      <c r="B296" s="6">
        <v>45999</v>
      </c>
      <c r="C296" s="44"/>
    </row>
    <row r="297" ht="15.75" customHeight="1">
      <c r="A297" s="43">
        <v>45996</v>
      </c>
      <c r="B297" s="6">
        <v>46000</v>
      </c>
      <c r="C297" s="44"/>
    </row>
    <row r="298" ht="15.75" customHeight="1">
      <c r="A298" s="43">
        <v>45999</v>
      </c>
      <c r="B298" s="6">
        <v>46001</v>
      </c>
      <c r="C298" s="44"/>
    </row>
    <row r="299" ht="15.75" customHeight="1">
      <c r="A299" s="43">
        <v>46000</v>
      </c>
      <c r="B299" s="6">
        <v>46002</v>
      </c>
      <c r="C299" s="44"/>
    </row>
    <row r="300" ht="15.75" customHeight="1">
      <c r="A300" s="43">
        <v>46001</v>
      </c>
      <c r="B300" s="6">
        <v>46003</v>
      </c>
      <c r="C300" s="44"/>
    </row>
    <row r="301" ht="15.75" customHeight="1">
      <c r="A301" s="43">
        <v>46002</v>
      </c>
      <c r="B301" s="6">
        <v>46006</v>
      </c>
      <c r="C301" s="44"/>
    </row>
    <row r="302" ht="15.75" customHeight="1">
      <c r="A302" s="43">
        <v>46003</v>
      </c>
      <c r="B302" s="6">
        <v>46007</v>
      </c>
      <c r="C302" s="44"/>
    </row>
    <row r="303" ht="15.75" customHeight="1">
      <c r="A303" s="43">
        <v>46006</v>
      </c>
      <c r="B303" s="6">
        <v>46008</v>
      </c>
      <c r="C303" s="44">
        <v>15997.7</v>
      </c>
      <c r="F303" s="0" t="s">
        <v>126</v>
      </c>
    </row>
    <row r="304" ht="15.75" customHeight="1">
      <c r="A304" s="43">
        <v>46007</v>
      </c>
      <c r="B304" s="6">
        <v>46009</v>
      </c>
      <c r="C304" s="44"/>
    </row>
    <row r="305" ht="15.75" customHeight="1">
      <c r="A305" s="43">
        <v>46008</v>
      </c>
      <c r="B305" s="6">
        <v>46010</v>
      </c>
      <c r="C305" s="44"/>
    </row>
    <row r="306" ht="15.75" customHeight="1">
      <c r="A306" s="43">
        <v>46009</v>
      </c>
      <c r="B306" s="6">
        <v>46013</v>
      </c>
      <c r="C306" s="44"/>
    </row>
    <row r="307" ht="15.75" customHeight="1">
      <c r="A307" s="43">
        <v>46010</v>
      </c>
      <c r="B307" s="6">
        <v>46014</v>
      </c>
      <c r="C307" s="44"/>
    </row>
    <row r="308" ht="15.75" customHeight="1">
      <c r="A308" s="43">
        <v>46013</v>
      </c>
      <c r="B308" s="6">
        <v>46017</v>
      </c>
      <c r="C308" s="44"/>
    </row>
    <row r="309" ht="15.75" customHeight="1">
      <c r="A309" s="43">
        <v>46014</v>
      </c>
      <c r="B309" s="6">
        <v>46020</v>
      </c>
      <c r="C309" s="44"/>
    </row>
    <row r="310" ht="15.75" customHeight="1">
      <c r="A310" s="43">
        <v>46017</v>
      </c>
      <c r="B310" s="6">
        <v>46021</v>
      </c>
      <c r="C310" s="44"/>
    </row>
    <row r="311" ht="15.75" customHeight="1">
      <c r="A311" s="43">
        <v>46020</v>
      </c>
      <c r="B311" s="6">
        <v>46022</v>
      </c>
      <c r="C311" s="44"/>
    </row>
    <row r="312" ht="15.75" customHeight="1">
      <c r="A312" s="43">
        <v>46021</v>
      </c>
      <c r="B312" s="6">
        <v>46024</v>
      </c>
      <c r="C312" s="44"/>
    </row>
    <row r="313" ht="15.75" customHeight="1">
      <c r="A313" s="43">
        <v>46022</v>
      </c>
      <c r="B313" s="6">
        <v>46027</v>
      </c>
      <c r="C313" s="44"/>
    </row>
    <row r="314" ht="15.75" customHeight="1">
      <c r="A314" s="23" t="s">
        <v>127</v>
      </c>
      <c r="B314" s="24"/>
      <c r="C314" s="25">
        <f>SUM(C293:C312)</f>
        <v>15997.7</v>
      </c>
    </row>
    <row r="315" ht="15.75" customHeight="1">
      <c r="A315" s="6">
        <v>46024</v>
      </c>
      <c r="B315" s="6">
        <v>46028</v>
      </c>
      <c r="C315" s="13">
        <v>4686.43</v>
      </c>
      <c r="F315" s="14" t="s">
        <v>126</v>
      </c>
      <c r="G315" s="15"/>
      <c r="H315" s="15"/>
    </row>
    <row r="316" ht="15.75" customHeight="1">
      <c r="A316" s="6">
        <v>46027</v>
      </c>
      <c r="B316" s="6">
        <v>46029</v>
      </c>
      <c r="C316" s="13"/>
      <c r="F316" s="14"/>
      <c r="G316" s="15"/>
      <c r="H316" s="15"/>
    </row>
    <row r="317" ht="15.75" customHeight="1">
      <c r="A317" s="6">
        <v>46028</v>
      </c>
      <c r="B317" s="6">
        <v>46030</v>
      </c>
      <c r="C317" s="13"/>
      <c r="F317" s="14"/>
      <c r="G317" s="15"/>
      <c r="H317" s="15"/>
    </row>
    <row r="318" ht="15.75" customHeight="1">
      <c r="A318" s="6">
        <v>46029</v>
      </c>
      <c r="B318" s="16">
        <v>46031</v>
      </c>
      <c r="C318" s="13"/>
      <c r="F318" s="14"/>
      <c r="G318" s="15"/>
      <c r="H318" s="15"/>
    </row>
    <row r="319" ht="15.75" customHeight="1">
      <c r="A319" s="6">
        <v>46030</v>
      </c>
      <c r="B319" s="6">
        <v>46034</v>
      </c>
      <c r="C319" s="13"/>
      <c r="F319" s="14"/>
      <c r="G319" s="15"/>
      <c r="H319" s="15"/>
    </row>
    <row r="320" ht="15.75" customHeight="1">
      <c r="A320" s="6">
        <v>46031</v>
      </c>
      <c r="B320" s="6">
        <v>46035</v>
      </c>
      <c r="C320" s="13"/>
      <c r="F320" s="14"/>
      <c r="G320" s="15"/>
      <c r="H320" s="15"/>
    </row>
    <row r="321" ht="15.75" customHeight="1">
      <c r="A321" s="6">
        <v>46034</v>
      </c>
      <c r="B321" s="6">
        <v>46036</v>
      </c>
      <c r="C321" s="13"/>
      <c r="F321" s="14"/>
      <c r="G321" s="15"/>
      <c r="H321" s="15"/>
    </row>
    <row r="322" ht="15.75" customHeight="1">
      <c r="A322" s="6">
        <v>46035</v>
      </c>
      <c r="B322" s="6">
        <v>46037</v>
      </c>
      <c r="C322" s="13"/>
      <c r="F322" s="14"/>
      <c r="G322" s="15"/>
      <c r="H322" s="15"/>
    </row>
    <row r="323" ht="15.75" customHeight="1">
      <c r="A323" s="6">
        <v>46036</v>
      </c>
      <c r="B323" s="6">
        <v>46038</v>
      </c>
      <c r="C323" s="13"/>
      <c r="F323" s="14"/>
      <c r="G323" s="15"/>
      <c r="H323" s="15"/>
    </row>
    <row r="324" ht="15.75" customHeight="1">
      <c r="A324" s="6">
        <v>46037</v>
      </c>
      <c r="B324" s="6">
        <v>46042</v>
      </c>
      <c r="C324" s="13"/>
      <c r="F324" s="14"/>
      <c r="G324" s="15"/>
      <c r="H324" s="15"/>
    </row>
    <row r="325" ht="15.75" customHeight="1">
      <c r="A325" s="6">
        <v>46038</v>
      </c>
      <c r="B325" s="16">
        <v>46043</v>
      </c>
      <c r="C325" s="13">
        <v>25313.78</v>
      </c>
      <c r="F325" s="14" t="s">
        <v>126</v>
      </c>
      <c r="G325" s="15"/>
      <c r="H325" s="15"/>
    </row>
    <row r="326" ht="15.75" customHeight="1">
      <c r="A326" s="6">
        <v>46042</v>
      </c>
      <c r="B326" s="6">
        <v>46044</v>
      </c>
      <c r="C326" s="13"/>
      <c r="F326" s="14"/>
      <c r="G326" s="15"/>
      <c r="H326" s="15"/>
    </row>
    <row r="327" ht="15.75" customHeight="1">
      <c r="A327" s="6">
        <v>46043</v>
      </c>
      <c r="B327" s="6">
        <v>46045</v>
      </c>
      <c r="C327" s="13"/>
      <c r="F327" s="14"/>
      <c r="G327" s="15"/>
      <c r="H327" s="15"/>
    </row>
    <row r="328" ht="15.75" customHeight="1">
      <c r="A328" s="6">
        <v>46044</v>
      </c>
      <c r="B328" s="6">
        <v>46048</v>
      </c>
      <c r="C328" s="13">
        <v>1994.93</v>
      </c>
      <c r="F328" s="14" t="s">
        <v>126</v>
      </c>
      <c r="G328" s="15"/>
      <c r="H328" s="15"/>
    </row>
    <row r="329" ht="15.75" customHeight="1">
      <c r="A329" s="6">
        <v>46045</v>
      </c>
      <c r="B329" s="6">
        <v>46049</v>
      </c>
      <c r="C329" s="13"/>
      <c r="F329" s="14"/>
      <c r="G329" s="15"/>
      <c r="H329" s="15"/>
    </row>
    <row r="330" ht="15.75" customHeight="1">
      <c r="A330" s="6">
        <v>46048</v>
      </c>
      <c r="B330" s="6">
        <v>46050</v>
      </c>
      <c r="C330" s="13"/>
      <c r="F330" s="14"/>
      <c r="G330" s="15"/>
      <c r="H330" s="15"/>
    </row>
    <row r="331" ht="15.75" customHeight="1">
      <c r="A331" s="6">
        <v>46049</v>
      </c>
      <c r="B331" s="6">
        <v>46051</v>
      </c>
      <c r="C331" s="13"/>
      <c r="F331" s="14"/>
      <c r="G331" s="15"/>
      <c r="H331" s="15"/>
    </row>
    <row r="332" ht="15.75" customHeight="1">
      <c r="A332" s="6">
        <v>46050</v>
      </c>
      <c r="B332" s="16">
        <v>46052</v>
      </c>
      <c r="C332" s="13"/>
      <c r="F332" s="14"/>
      <c r="G332" s="15"/>
      <c r="H332" s="15"/>
    </row>
    <row r="333" ht="15.75" customHeight="1">
      <c r="A333" s="6">
        <v>46051</v>
      </c>
      <c r="B333" s="6">
        <v>46055</v>
      </c>
      <c r="C333" s="13"/>
      <c r="F333" s="14"/>
      <c r="G333" s="15"/>
      <c r="H333" s="15"/>
    </row>
    <row r="334" ht="15.75" customHeight="1">
      <c r="A334" s="6">
        <v>46052</v>
      </c>
      <c r="B334" s="6">
        <v>46056</v>
      </c>
      <c r="C334" s="13"/>
      <c r="F334" s="14"/>
      <c r="G334" s="15"/>
      <c r="H334" s="15"/>
    </row>
    <row r="335" ht="15.75" customHeight="1">
      <c r="A335" s="26" t="s">
        <v>127</v>
      </c>
      <c r="B335" s="27"/>
      <c r="C335" s="28">
        <f>SUM(C315:C334)</f>
        <v>31995.14</v>
      </c>
      <c r="F335" s="14"/>
      <c r="G335" s="15"/>
      <c r="H335" s="15"/>
    </row>
    <row r="336" ht="15.75" customHeight="1">
      <c r="A336" s="6">
        <v>46055</v>
      </c>
      <c r="B336" s="6">
        <v>46057</v>
      </c>
      <c r="C336" s="13"/>
      <c r="F336" s="14"/>
      <c r="G336" s="15"/>
      <c r="H336" s="15"/>
    </row>
    <row r="337" ht="15.75" customHeight="1">
      <c r="A337" s="6">
        <v>46056</v>
      </c>
      <c r="B337" s="6">
        <v>46058</v>
      </c>
      <c r="C337" s="13"/>
      <c r="F337" s="14"/>
      <c r="G337" s="15"/>
      <c r="H337" s="15"/>
    </row>
    <row r="338" ht="15.75" customHeight="1">
      <c r="A338" s="6">
        <v>46057</v>
      </c>
      <c r="B338" s="16">
        <v>46059</v>
      </c>
      <c r="C338" s="13"/>
      <c r="F338" s="14"/>
      <c r="G338" s="15"/>
      <c r="H338" s="15"/>
    </row>
    <row r="339" ht="15.75" customHeight="1">
      <c r="A339" s="6">
        <v>46058</v>
      </c>
      <c r="B339" s="6">
        <v>46062</v>
      </c>
      <c r="C339" s="13"/>
      <c r="F339" s="14"/>
      <c r="G339" s="15"/>
      <c r="H339" s="15"/>
    </row>
    <row r="340" ht="15.75" customHeight="1">
      <c r="A340" s="6">
        <v>46059</v>
      </c>
      <c r="B340" s="6">
        <v>46063</v>
      </c>
      <c r="C340" s="13"/>
      <c r="F340" s="14"/>
      <c r="G340" s="15"/>
      <c r="H340" s="15"/>
    </row>
    <row r="341" ht="15.75" customHeight="1">
      <c r="A341" s="6">
        <v>46062</v>
      </c>
      <c r="B341" s="6">
        <v>46064</v>
      </c>
      <c r="C341" s="13"/>
      <c r="F341" s="14"/>
      <c r="G341" s="15"/>
      <c r="H341" s="15"/>
    </row>
    <row r="342" ht="15.75" customHeight="1">
      <c r="A342" s="6">
        <v>46063</v>
      </c>
      <c r="B342" s="6">
        <v>46065</v>
      </c>
      <c r="C342" s="13"/>
      <c r="F342" s="14"/>
      <c r="G342" s="15"/>
      <c r="H342" s="15"/>
    </row>
    <row r="343" ht="15.75" customHeight="1">
      <c r="A343" s="6">
        <v>46064</v>
      </c>
      <c r="B343" s="6">
        <v>46066</v>
      </c>
      <c r="C343" s="13"/>
      <c r="F343" s="14"/>
      <c r="G343" s="15"/>
      <c r="H343" s="15"/>
    </row>
    <row r="344" ht="15.75" customHeight="1">
      <c r="A344" s="6">
        <v>46065</v>
      </c>
      <c r="B344" s="6">
        <v>46070</v>
      </c>
      <c r="C344" s="13"/>
      <c r="F344" s="14"/>
      <c r="G344" s="15"/>
      <c r="H344" s="15"/>
    </row>
    <row r="345" ht="15.75" customHeight="1">
      <c r="A345" s="6">
        <v>46066</v>
      </c>
      <c r="B345" s="16">
        <v>46071</v>
      </c>
      <c r="C345" s="13"/>
      <c r="F345" s="14"/>
      <c r="G345" s="15"/>
      <c r="H345" s="15"/>
    </row>
    <row r="346" ht="15.75" customHeight="1">
      <c r="A346" s="6">
        <v>46070</v>
      </c>
      <c r="B346" s="6">
        <v>46072</v>
      </c>
      <c r="C346" s="13">
        <v>39447.12</v>
      </c>
      <c r="F346" s="14" t="s">
        <v>126</v>
      </c>
      <c r="G346" s="15"/>
      <c r="H346" s="15"/>
    </row>
    <row r="347" ht="15.75" customHeight="1">
      <c r="A347" s="6">
        <v>46071</v>
      </c>
      <c r="B347" s="6">
        <v>46073</v>
      </c>
      <c r="C347" s="13"/>
      <c r="F347" s="14"/>
      <c r="G347" s="15"/>
      <c r="H347" s="15"/>
    </row>
    <row r="348" ht="15.75" customHeight="1">
      <c r="A348" s="6">
        <v>46072</v>
      </c>
      <c r="B348" s="6">
        <v>46076</v>
      </c>
      <c r="C348" s="13"/>
      <c r="F348" s="14"/>
      <c r="G348" s="15"/>
      <c r="H348" s="15"/>
    </row>
    <row r="349" ht="15.75" customHeight="1">
      <c r="A349" s="6">
        <v>46073</v>
      </c>
      <c r="B349" s="6">
        <v>46077</v>
      </c>
      <c r="C349" s="13"/>
      <c r="F349" s="14"/>
      <c r="G349" s="15"/>
      <c r="H349" s="15"/>
    </row>
    <row r="350" ht="15.75" customHeight="1">
      <c r="A350" s="6">
        <v>46076</v>
      </c>
      <c r="B350" s="6">
        <v>46078</v>
      </c>
      <c r="C350" s="13"/>
      <c r="F350" s="14"/>
      <c r="G350" s="15"/>
      <c r="H350" s="15"/>
    </row>
    <row r="351" ht="15.75" customHeight="1">
      <c r="A351" s="6">
        <v>46077</v>
      </c>
      <c r="B351" s="6">
        <v>46079</v>
      </c>
      <c r="C351" s="13">
        <v>6498.1</v>
      </c>
      <c r="F351" s="14" t="s">
        <v>126</v>
      </c>
      <c r="G351" s="15"/>
      <c r="H351" s="15"/>
    </row>
    <row r="352" ht="15.75" customHeight="1">
      <c r="A352" s="6">
        <v>46078</v>
      </c>
      <c r="B352" s="16">
        <v>46080</v>
      </c>
      <c r="C352" s="13"/>
      <c r="F352" s="14"/>
      <c r="G352" s="15"/>
      <c r="H352" s="15"/>
    </row>
    <row r="353" ht="15.75" customHeight="1">
      <c r="A353" s="6">
        <v>46079</v>
      </c>
      <c r="B353" s="6">
        <v>46083</v>
      </c>
      <c r="C353" s="13"/>
      <c r="F353" s="14"/>
      <c r="G353" s="15"/>
      <c r="H353" s="15"/>
    </row>
    <row r="354" ht="15.75" customHeight="1">
      <c r="A354" s="6">
        <v>46080</v>
      </c>
      <c r="B354" s="6">
        <v>46084</v>
      </c>
      <c r="C354" s="13"/>
      <c r="F354" s="14"/>
      <c r="G354" s="15"/>
      <c r="H354" s="15"/>
    </row>
    <row r="355" ht="15.75" customHeight="1">
      <c r="A355" s="26" t="s">
        <v>127</v>
      </c>
      <c r="B355" s="27"/>
      <c r="C355" s="28">
        <f>SUM(C336:C354)</f>
        <v>45945.22</v>
      </c>
      <c r="F355" s="14"/>
      <c r="G355" s="15"/>
      <c r="H355" s="15"/>
    </row>
    <row r="356" ht="15.75" customHeight="1">
      <c r="A356" s="6">
        <v>46083</v>
      </c>
      <c r="B356" s="6">
        <v>46085</v>
      </c>
      <c r="C356" s="13"/>
      <c r="F356" s="14"/>
      <c r="G356" s="15"/>
      <c r="H356" s="15"/>
    </row>
    <row r="357" ht="15.75" customHeight="1">
      <c r="A357" s="6">
        <v>46084</v>
      </c>
      <c r="B357" s="6">
        <v>46086</v>
      </c>
      <c r="C357" s="13"/>
      <c r="F357" s="14"/>
      <c r="G357" s="15"/>
      <c r="H357" s="15"/>
    </row>
    <row r="358" ht="15.75" customHeight="1">
      <c r="A358" s="6">
        <v>46085</v>
      </c>
      <c r="B358" s="6">
        <v>46087</v>
      </c>
      <c r="C358" s="13"/>
      <c r="F358" s="14"/>
      <c r="G358" s="15"/>
      <c r="H358" s="15"/>
    </row>
    <row r="359" ht="15.75" customHeight="1">
      <c r="A359" s="6">
        <v>46086</v>
      </c>
      <c r="B359" s="16">
        <v>46090</v>
      </c>
      <c r="C359" s="13"/>
      <c r="F359" s="14"/>
      <c r="G359" s="15"/>
      <c r="H359" s="15"/>
    </row>
    <row r="360" ht="15.75" customHeight="1">
      <c r="A360" s="6">
        <v>46087</v>
      </c>
      <c r="B360" s="6">
        <v>46091</v>
      </c>
      <c r="C360" s="13"/>
      <c r="F360" s="14"/>
      <c r="G360" s="15"/>
      <c r="H360" s="15"/>
    </row>
    <row r="361" ht="15.75" customHeight="1">
      <c r="A361" s="6">
        <v>46090</v>
      </c>
      <c r="B361" s="6">
        <v>46092</v>
      </c>
      <c r="C361" s="13"/>
      <c r="F361" s="14"/>
      <c r="G361" s="15"/>
      <c r="H361" s="15"/>
    </row>
    <row r="362" ht="15.75" customHeight="1">
      <c r="A362" s="6">
        <v>46091</v>
      </c>
      <c r="B362" s="6">
        <v>46093</v>
      </c>
      <c r="C362" s="13"/>
      <c r="F362" s="14"/>
      <c r="G362" s="15"/>
      <c r="H362" s="15"/>
    </row>
    <row r="363" ht="15.75" customHeight="1">
      <c r="A363" s="6">
        <v>46092</v>
      </c>
      <c r="B363" s="6">
        <v>46094</v>
      </c>
      <c r="C363" s="13"/>
      <c r="F363" s="14"/>
      <c r="G363" s="15"/>
      <c r="H363" s="15"/>
    </row>
    <row r="364" ht="15.75" customHeight="1">
      <c r="A364" s="6">
        <v>46093</v>
      </c>
      <c r="B364" s="6">
        <v>46097</v>
      </c>
      <c r="C364" s="13"/>
      <c r="F364" s="14"/>
      <c r="G364" s="15"/>
      <c r="H364" s="15"/>
    </row>
    <row r="365" ht="15.75" customHeight="1">
      <c r="A365" s="6">
        <v>46094</v>
      </c>
      <c r="B365" s="6">
        <v>46098</v>
      </c>
      <c r="C365" s="13"/>
      <c r="F365" s="14"/>
      <c r="G365" s="15"/>
      <c r="H365" s="15"/>
    </row>
    <row r="366" ht="15.75" customHeight="1">
      <c r="A366" s="6">
        <v>46097</v>
      </c>
      <c r="B366" s="16">
        <v>46099</v>
      </c>
      <c r="C366" s="13">
        <v>25309.69</v>
      </c>
      <c r="F366" s="14" t="s">
        <v>126</v>
      </c>
      <c r="G366" s="15"/>
      <c r="H366" s="15"/>
    </row>
    <row r="367" ht="15.75" customHeight="1">
      <c r="A367" s="6">
        <v>46098</v>
      </c>
      <c r="B367" s="6">
        <v>46100</v>
      </c>
      <c r="C367" s="13"/>
      <c r="F367" s="14"/>
      <c r="G367" s="15"/>
      <c r="H367" s="15"/>
    </row>
    <row r="368" ht="15.75" customHeight="1">
      <c r="A368" s="6">
        <v>46099</v>
      </c>
      <c r="B368" s="6">
        <v>46101</v>
      </c>
      <c r="C368" s="13"/>
      <c r="F368" s="14"/>
      <c r="G368" s="15"/>
      <c r="H368" s="15"/>
    </row>
    <row r="369" ht="15.75" customHeight="1">
      <c r="A369" s="6">
        <v>46100</v>
      </c>
      <c r="B369" s="6">
        <v>46104</v>
      </c>
      <c r="C369" s="13"/>
      <c r="F369" s="14"/>
      <c r="G369" s="15"/>
      <c r="H369" s="15"/>
    </row>
    <row r="370" ht="15.75" customHeight="1">
      <c r="A370" s="6">
        <v>46101</v>
      </c>
      <c r="B370" s="6">
        <v>46105</v>
      </c>
      <c r="C370" s="13">
        <v>1445.64</v>
      </c>
      <c r="F370" s="14" t="s">
        <v>126</v>
      </c>
      <c r="G370" s="15"/>
      <c r="H370" s="15"/>
    </row>
    <row r="371" ht="15.75" customHeight="1">
      <c r="A371" s="6">
        <v>46104</v>
      </c>
      <c r="B371" s="6">
        <v>46106</v>
      </c>
      <c r="C371" s="13"/>
      <c r="F371" s="14"/>
      <c r="G371" s="15"/>
      <c r="H371" s="15"/>
    </row>
    <row r="372" ht="15.75" customHeight="1">
      <c r="A372" s="6">
        <v>46105</v>
      </c>
      <c r="B372" s="6">
        <v>46107</v>
      </c>
      <c r="C372" s="13"/>
      <c r="F372" s="14"/>
      <c r="G372" s="15"/>
      <c r="H372" s="15"/>
    </row>
    <row r="373" ht="15.75" customHeight="1">
      <c r="A373" s="6">
        <v>46106</v>
      </c>
      <c r="B373" s="16">
        <v>46108</v>
      </c>
      <c r="C373" s="13"/>
      <c r="F373" s="14"/>
      <c r="G373" s="15"/>
      <c r="H373" s="15"/>
    </row>
    <row r="374" ht="15.75" customHeight="1">
      <c r="A374" s="6">
        <v>46107</v>
      </c>
      <c r="B374" s="6">
        <v>46111</v>
      </c>
      <c r="C374" s="13"/>
      <c r="F374" s="14"/>
      <c r="G374" s="15"/>
      <c r="H374" s="15"/>
    </row>
    <row r="375" ht="15.75" customHeight="1">
      <c r="A375" s="6">
        <v>46108</v>
      </c>
      <c r="B375" s="6">
        <v>46112</v>
      </c>
      <c r="C375" s="13"/>
      <c r="F375" s="14"/>
      <c r="G375" s="15"/>
      <c r="H375" s="15"/>
    </row>
    <row r="376" ht="15.75" customHeight="1">
      <c r="A376" s="6">
        <v>46111</v>
      </c>
      <c r="B376" s="6">
        <v>46113</v>
      </c>
      <c r="C376" s="13"/>
      <c r="F376" s="14"/>
      <c r="G376" s="15"/>
      <c r="H376" s="15"/>
    </row>
    <row r="377" ht="15.75" customHeight="1">
      <c r="A377" s="20">
        <v>46112</v>
      </c>
      <c r="B377" s="21">
        <v>46114</v>
      </c>
      <c r="C377" s="22"/>
      <c r="F377" s="14"/>
      <c r="G377" s="15"/>
      <c r="H377" s="15"/>
    </row>
    <row r="378" ht="15.75" customHeight="1">
      <c r="A378" s="26" t="s">
        <v>127</v>
      </c>
      <c r="B378" s="27"/>
      <c r="C378" s="28">
        <f>SUM(C356:C377)</f>
        <v>26755.329999999998</v>
      </c>
      <c r="F378" s="14"/>
      <c r="G378" s="15"/>
      <c r="H378" s="15"/>
    </row>
    <row r="379" ht="15.75" customHeight="1">
      <c r="A379" s="6">
        <v>46113</v>
      </c>
      <c r="B379" s="6">
        <v>46115</v>
      </c>
      <c r="C379" s="13"/>
      <c r="F379" s="14"/>
      <c r="G379" s="15"/>
      <c r="H379" s="15"/>
    </row>
    <row r="380" ht="15.75" customHeight="1">
      <c r="A380" s="6">
        <v>46114</v>
      </c>
      <c r="B380" s="6">
        <v>46118</v>
      </c>
      <c r="C380" s="13"/>
      <c r="F380" s="14"/>
      <c r="G380" s="15"/>
      <c r="H380" s="15"/>
    </row>
    <row r="381" ht="15.75" customHeight="1">
      <c r="A381" s="6">
        <v>46115</v>
      </c>
      <c r="B381" s="6">
        <v>46119</v>
      </c>
      <c r="C381" s="13"/>
      <c r="F381" s="14"/>
      <c r="G381" s="15"/>
      <c r="H381" s="15"/>
    </row>
    <row r="382" ht="15.75" customHeight="1">
      <c r="A382" s="6">
        <v>46118</v>
      </c>
      <c r="B382" s="16">
        <v>46120</v>
      </c>
      <c r="C382" s="13"/>
      <c r="F382" s="14"/>
      <c r="G382" s="15"/>
      <c r="H382" s="15"/>
    </row>
    <row r="383" ht="15.75" customHeight="1">
      <c r="A383" s="6">
        <v>46119</v>
      </c>
      <c r="B383" s="6">
        <v>46121</v>
      </c>
      <c r="C383" s="13"/>
      <c r="F383" s="14"/>
      <c r="G383" s="15"/>
      <c r="H383" s="15"/>
    </row>
    <row r="384" ht="15.75" customHeight="1">
      <c r="A384" s="6">
        <v>46120</v>
      </c>
      <c r="B384" s="6">
        <v>46122</v>
      </c>
      <c r="C384" s="13"/>
      <c r="F384" s="14"/>
      <c r="G384" s="15"/>
      <c r="H384" s="15"/>
    </row>
    <row r="385" ht="15.75" customHeight="1">
      <c r="A385" s="6">
        <v>46121</v>
      </c>
      <c r="B385" s="6">
        <v>46125</v>
      </c>
      <c r="C385" s="13"/>
      <c r="F385" s="14"/>
      <c r="G385" s="15"/>
      <c r="H385" s="15"/>
    </row>
    <row r="386" ht="15.75" customHeight="1">
      <c r="A386" s="6">
        <v>46122</v>
      </c>
      <c r="B386" s="6">
        <v>46126</v>
      </c>
      <c r="C386" s="13"/>
      <c r="F386" s="14"/>
      <c r="G386" s="15"/>
      <c r="H386" s="15"/>
    </row>
    <row r="387" ht="15.75" customHeight="1">
      <c r="A387" s="6">
        <v>46125</v>
      </c>
      <c r="B387" s="6">
        <v>46127</v>
      </c>
      <c r="C387" s="13"/>
      <c r="F387" s="14"/>
      <c r="G387" s="15"/>
      <c r="H387" s="15"/>
    </row>
    <row r="388" ht="15.75" customHeight="1">
      <c r="A388" s="6">
        <v>46126</v>
      </c>
      <c r="B388" s="6">
        <v>46128</v>
      </c>
      <c r="C388" s="13"/>
      <c r="F388" s="14"/>
      <c r="G388" s="15"/>
      <c r="H388" s="15"/>
    </row>
    <row r="389" ht="15.75" customHeight="1">
      <c r="A389" s="6">
        <v>46127</v>
      </c>
      <c r="B389" s="16">
        <v>46129</v>
      </c>
      <c r="C389" s="13">
        <v>44580.97</v>
      </c>
      <c r="F389" s="14" t="s">
        <v>126</v>
      </c>
      <c r="G389" s="15"/>
      <c r="H389" s="15"/>
    </row>
    <row r="390" ht="15.75" customHeight="1">
      <c r="A390" s="6">
        <v>46128</v>
      </c>
      <c r="B390" s="6">
        <v>46132</v>
      </c>
      <c r="C390" s="13"/>
      <c r="F390" s="14"/>
      <c r="G390" s="15"/>
      <c r="H390" s="15"/>
    </row>
    <row r="391" ht="15.75" customHeight="1">
      <c r="A391" s="6">
        <v>46129</v>
      </c>
      <c r="B391" s="6">
        <v>46133</v>
      </c>
      <c r="C391" s="13"/>
      <c r="F391" s="14"/>
      <c r="G391" s="15"/>
      <c r="H391" s="15"/>
    </row>
    <row r="392" ht="15.75" customHeight="1">
      <c r="A392" s="6">
        <v>46132</v>
      </c>
      <c r="B392" s="6">
        <v>46134</v>
      </c>
      <c r="C392" s="13"/>
      <c r="F392" s="14"/>
      <c r="G392" s="15"/>
      <c r="H392" s="15"/>
    </row>
    <row r="393" ht="15.75" customHeight="1">
      <c r="A393" s="6">
        <v>46133</v>
      </c>
      <c r="B393" s="6">
        <v>46135</v>
      </c>
      <c r="C393" s="13"/>
      <c r="F393" s="14"/>
      <c r="G393" s="15"/>
      <c r="H393" s="15"/>
    </row>
    <row r="394" ht="15.75" customHeight="1">
      <c r="A394" s="6">
        <v>46134</v>
      </c>
      <c r="B394" s="6">
        <v>46136</v>
      </c>
      <c r="C394" s="13"/>
      <c r="F394" s="14"/>
      <c r="G394" s="15"/>
      <c r="H394" s="15"/>
    </row>
    <row r="395" ht="15.75" customHeight="1">
      <c r="A395" s="6">
        <v>46135</v>
      </c>
      <c r="B395" s="6">
        <v>46139</v>
      </c>
      <c r="C395" s="13"/>
      <c r="F395" s="14"/>
      <c r="G395" s="15"/>
      <c r="H395" s="15"/>
    </row>
    <row r="396" ht="15.75" customHeight="1">
      <c r="A396" s="6">
        <v>46136</v>
      </c>
      <c r="B396" s="16">
        <v>46140</v>
      </c>
      <c r="C396" s="13"/>
      <c r="F396" s="14"/>
      <c r="G396" s="15"/>
      <c r="H396" s="15"/>
    </row>
    <row r="397" ht="15.75" customHeight="1">
      <c r="A397" s="6">
        <v>46139</v>
      </c>
      <c r="B397" s="6">
        <v>46141</v>
      </c>
      <c r="C397" s="13"/>
      <c r="F397" s="14"/>
      <c r="G397" s="15"/>
      <c r="H397" s="15"/>
    </row>
    <row r="398" ht="15.75" customHeight="1">
      <c r="A398" s="6">
        <v>46140</v>
      </c>
      <c r="B398" s="6">
        <v>46142</v>
      </c>
      <c r="C398" s="13"/>
      <c r="F398" s="14"/>
      <c r="G398" s="15"/>
      <c r="H398" s="15"/>
    </row>
    <row r="399" ht="15.75" customHeight="1">
      <c r="A399" s="6">
        <v>46141</v>
      </c>
      <c r="B399" s="6">
        <v>46143</v>
      </c>
      <c r="C399" s="13"/>
      <c r="F399" s="14"/>
      <c r="G399" s="15"/>
      <c r="H399" s="15"/>
    </row>
    <row r="400" ht="15.75" customHeight="1">
      <c r="A400" s="6">
        <v>46142</v>
      </c>
      <c r="B400" s="6">
        <v>46146</v>
      </c>
      <c r="C400" s="13"/>
      <c r="F400" s="14"/>
      <c r="G400" s="15"/>
      <c r="H400" s="15"/>
    </row>
    <row r="401" ht="15.75" customHeight="1">
      <c r="A401" s="26" t="s">
        <v>127</v>
      </c>
      <c r="B401" s="27"/>
      <c r="C401" s="28">
        <f>SUM(C379:C400)</f>
        <v>44580.97</v>
      </c>
      <c r="F401" s="14"/>
      <c r="G401" s="15"/>
      <c r="H401" s="15"/>
    </row>
    <row r="402" ht="15.75" customHeight="1">
      <c r="A402" s="6">
        <v>46143</v>
      </c>
      <c r="B402" s="6">
        <v>46147</v>
      </c>
      <c r="C402" s="17"/>
      <c r="F402" s="14"/>
      <c r="G402" s="15"/>
      <c r="H402" s="15"/>
    </row>
    <row r="403" ht="15.75" customHeight="1">
      <c r="A403" s="6">
        <v>46146</v>
      </c>
      <c r="B403" s="6">
        <v>46148</v>
      </c>
      <c r="C403" s="18"/>
      <c r="F403" s="14"/>
      <c r="G403" s="15"/>
      <c r="H403" s="15"/>
    </row>
    <row r="404" ht="15.75" customHeight="1">
      <c r="A404" s="6">
        <v>46147</v>
      </c>
      <c r="B404" s="16">
        <v>46149</v>
      </c>
      <c r="C404" s="18"/>
      <c r="F404" s="14"/>
      <c r="G404" s="15"/>
      <c r="H404" s="15"/>
    </row>
    <row r="405" ht="15.75" customHeight="1">
      <c r="A405" s="6">
        <v>46148</v>
      </c>
      <c r="B405" s="6">
        <v>46150</v>
      </c>
      <c r="C405" s="18"/>
      <c r="F405" s="14"/>
      <c r="G405" s="15"/>
      <c r="H405" s="15"/>
    </row>
    <row r="406" ht="15.75" customHeight="1">
      <c r="A406" s="6">
        <v>46149</v>
      </c>
      <c r="B406" s="6">
        <v>46153</v>
      </c>
      <c r="C406" s="18"/>
      <c r="F406" s="14"/>
      <c r="G406" s="15"/>
      <c r="H406" s="15"/>
    </row>
    <row r="407" ht="15.75" customHeight="1">
      <c r="A407" s="6">
        <v>46150</v>
      </c>
      <c r="B407" s="6">
        <v>46154</v>
      </c>
      <c r="C407" s="18"/>
      <c r="F407" s="14"/>
      <c r="G407" s="15"/>
      <c r="H407" s="15"/>
    </row>
    <row r="408" ht="15.75" customHeight="1">
      <c r="A408" s="6">
        <v>46153</v>
      </c>
      <c r="B408" s="6">
        <v>46155</v>
      </c>
      <c r="C408" s="18"/>
      <c r="F408" s="14"/>
      <c r="G408" s="15"/>
      <c r="H408" s="15"/>
    </row>
    <row r="409" ht="15.75" customHeight="1">
      <c r="A409" s="6">
        <v>46154</v>
      </c>
      <c r="B409" s="6">
        <v>46156</v>
      </c>
      <c r="C409" s="18"/>
      <c r="F409" s="14"/>
      <c r="G409" s="15"/>
      <c r="H409" s="15"/>
    </row>
    <row r="410" ht="15.75" customHeight="1">
      <c r="A410" s="6">
        <v>46155</v>
      </c>
      <c r="B410" s="6">
        <v>46157</v>
      </c>
      <c r="C410" s="18"/>
      <c r="F410" s="14"/>
      <c r="G410" s="15"/>
      <c r="H410" s="15"/>
    </row>
    <row r="411" ht="15.75" customHeight="1">
      <c r="A411" s="6">
        <v>46156</v>
      </c>
      <c r="B411" s="16">
        <v>46160</v>
      </c>
      <c r="C411" s="18"/>
      <c r="F411" s="14"/>
      <c r="G411" s="15"/>
      <c r="H411" s="15"/>
    </row>
    <row r="412" ht="15.75" customHeight="1">
      <c r="A412" s="6">
        <v>46157</v>
      </c>
      <c r="B412" s="6">
        <v>46161</v>
      </c>
      <c r="C412" s="18"/>
      <c r="F412" s="14"/>
      <c r="G412" s="15"/>
      <c r="H412" s="15"/>
    </row>
    <row r="413" ht="15.75" customHeight="1">
      <c r="A413" s="6">
        <v>46160</v>
      </c>
      <c r="B413" s="6">
        <v>46162</v>
      </c>
      <c r="C413" s="18"/>
      <c r="F413" s="14"/>
      <c r="G413" s="15"/>
      <c r="H413" s="15"/>
    </row>
    <row r="414" ht="15.75" customHeight="1">
      <c r="A414" s="6">
        <v>46161</v>
      </c>
      <c r="B414" s="6">
        <v>46163</v>
      </c>
      <c r="C414" s="18"/>
      <c r="F414" s="14"/>
      <c r="G414" s="15"/>
      <c r="H414" s="15"/>
    </row>
    <row r="415" ht="15.75" customHeight="1">
      <c r="A415" s="6">
        <v>46162</v>
      </c>
      <c r="B415" s="6">
        <v>46164</v>
      </c>
      <c r="C415" s="18"/>
      <c r="F415" s="14"/>
      <c r="G415" s="15"/>
      <c r="H415" s="15"/>
    </row>
    <row r="416" ht="15.75" customHeight="1">
      <c r="A416" s="6">
        <v>46163</v>
      </c>
      <c r="B416" s="6">
        <v>46168</v>
      </c>
      <c r="C416" s="18"/>
      <c r="F416" s="14"/>
      <c r="G416" s="15"/>
      <c r="H416" s="15"/>
    </row>
    <row r="417" ht="15.75" customHeight="1">
      <c r="A417" s="6">
        <v>46164</v>
      </c>
      <c r="B417" s="6">
        <v>46169</v>
      </c>
      <c r="C417" s="18"/>
      <c r="F417" s="14"/>
      <c r="G417" s="15"/>
      <c r="H417" s="15"/>
    </row>
    <row r="418" ht="15.75" customHeight="1">
      <c r="A418" s="6">
        <v>46168</v>
      </c>
      <c r="B418" s="16">
        <v>46170</v>
      </c>
      <c r="C418" s="18"/>
      <c r="F418" s="14"/>
      <c r="G418" s="15"/>
      <c r="H418" s="15"/>
    </row>
    <row r="419" ht="15.75" customHeight="1">
      <c r="A419" s="6">
        <v>46169</v>
      </c>
      <c r="B419" s="6">
        <v>46171</v>
      </c>
      <c r="C419" s="18"/>
      <c r="F419" s="14"/>
      <c r="G419" s="15"/>
      <c r="H419" s="15"/>
    </row>
    <row r="420" ht="15.75" customHeight="1">
      <c r="A420" s="6">
        <v>46170</v>
      </c>
      <c r="B420" s="6">
        <v>46174</v>
      </c>
      <c r="C420" s="18"/>
      <c r="F420" s="14"/>
      <c r="G420" s="15"/>
      <c r="H420" s="15"/>
    </row>
    <row r="421" ht="15.75" customHeight="1">
      <c r="A421" s="6">
        <v>46171</v>
      </c>
      <c r="B421" s="6">
        <v>46175</v>
      </c>
      <c r="C421" s="18"/>
      <c r="F421" s="14"/>
      <c r="G421" s="15"/>
      <c r="H421" s="15"/>
    </row>
    <row r="422" ht="15.75" customHeight="1">
      <c r="A422" s="26" t="s">
        <v>127</v>
      </c>
      <c r="B422" s="27"/>
      <c r="C422" s="28">
        <f>SUM(C402:C421)</f>
        <v>0</v>
      </c>
      <c r="F422" s="14"/>
      <c r="G422" s="15"/>
      <c r="H422" s="15"/>
    </row>
    <row r="423" ht="15.75" customHeight="1">
      <c r="A423" s="6">
        <v>46174</v>
      </c>
      <c r="B423" s="6">
        <v>46176</v>
      </c>
      <c r="C423" s="18"/>
      <c r="F423" s="14"/>
      <c r="G423" s="15"/>
      <c r="H423" s="15"/>
    </row>
    <row r="424" ht="15.75" customHeight="1">
      <c r="A424" s="6">
        <v>46175</v>
      </c>
      <c r="B424" s="16">
        <v>46177</v>
      </c>
      <c r="C424" s="18"/>
      <c r="F424" s="14"/>
      <c r="G424" s="15"/>
      <c r="H424" s="15"/>
    </row>
    <row r="425" ht="15.75" customHeight="1">
      <c r="A425" s="6">
        <v>46176</v>
      </c>
      <c r="B425" s="6">
        <v>46178</v>
      </c>
      <c r="C425" s="18"/>
      <c r="F425" s="14"/>
      <c r="G425" s="15"/>
      <c r="H425" s="15"/>
    </row>
    <row r="426" ht="15.75" customHeight="1">
      <c r="A426" s="6">
        <v>46177</v>
      </c>
      <c r="B426" s="6">
        <v>46181</v>
      </c>
      <c r="C426" s="18"/>
      <c r="F426" s="14"/>
      <c r="G426" s="15"/>
      <c r="H426" s="15"/>
    </row>
    <row r="427" ht="15.75" customHeight="1">
      <c r="A427" s="6">
        <v>46178</v>
      </c>
      <c r="B427" s="6">
        <v>46182</v>
      </c>
      <c r="C427" s="18"/>
      <c r="F427" s="14"/>
      <c r="G427" s="15"/>
      <c r="H427" s="15"/>
    </row>
    <row r="428" ht="15.75" customHeight="1">
      <c r="A428" s="6">
        <v>46181</v>
      </c>
      <c r="B428" s="6">
        <v>46183</v>
      </c>
      <c r="C428" s="18"/>
      <c r="F428" s="14"/>
      <c r="G428" s="15"/>
      <c r="H428" s="15"/>
    </row>
    <row r="429" ht="15.75" customHeight="1">
      <c r="A429" s="6">
        <v>46182</v>
      </c>
      <c r="B429" s="6">
        <v>46184</v>
      </c>
      <c r="C429" s="18"/>
      <c r="F429" s="14"/>
      <c r="G429" s="15"/>
      <c r="H429" s="15"/>
    </row>
    <row r="430" ht="15.75" customHeight="1">
      <c r="A430" s="6">
        <v>46183</v>
      </c>
      <c r="B430" s="6">
        <v>46185</v>
      </c>
      <c r="C430" s="18"/>
      <c r="F430" s="14"/>
      <c r="G430" s="15"/>
      <c r="H430" s="15"/>
    </row>
    <row r="431" ht="15.75" customHeight="1">
      <c r="A431" s="6">
        <v>46184</v>
      </c>
      <c r="B431" s="16">
        <v>46188</v>
      </c>
      <c r="C431" s="18"/>
      <c r="F431" s="14"/>
      <c r="G431" s="15"/>
      <c r="H431" s="15"/>
    </row>
    <row r="432" ht="15.75" customHeight="1">
      <c r="A432" s="6">
        <v>46185</v>
      </c>
      <c r="B432" s="6">
        <v>46189</v>
      </c>
      <c r="C432" s="18"/>
      <c r="F432" s="14"/>
      <c r="G432" s="15"/>
      <c r="H432" s="15"/>
    </row>
    <row r="433" ht="15.75" customHeight="1">
      <c r="A433" s="6">
        <v>46188</v>
      </c>
      <c r="B433" s="6">
        <v>46190</v>
      </c>
      <c r="C433" s="18"/>
      <c r="F433" s="14"/>
      <c r="G433" s="15"/>
      <c r="H433" s="15"/>
    </row>
    <row r="434" ht="15.75" customHeight="1">
      <c r="A434" s="6">
        <v>46189</v>
      </c>
      <c r="B434" s="6">
        <v>46191</v>
      </c>
      <c r="C434" s="18"/>
      <c r="F434" s="14"/>
      <c r="G434" s="15"/>
      <c r="H434" s="15"/>
    </row>
    <row r="435" ht="15.75" customHeight="1">
      <c r="A435" s="6">
        <v>46190</v>
      </c>
      <c r="B435" s="6">
        <v>46195</v>
      </c>
      <c r="C435" s="18"/>
      <c r="F435" s="14"/>
      <c r="G435" s="15"/>
      <c r="H435" s="15"/>
    </row>
    <row r="436" ht="15.75" customHeight="1">
      <c r="A436" s="6">
        <v>46191</v>
      </c>
      <c r="B436" s="6">
        <v>46196</v>
      </c>
      <c r="C436" s="18"/>
      <c r="F436" s="14"/>
      <c r="G436" s="15"/>
      <c r="H436" s="15"/>
    </row>
    <row r="437" ht="15.75" customHeight="1">
      <c r="A437" s="6">
        <v>46195</v>
      </c>
      <c r="B437" s="6">
        <v>46197</v>
      </c>
      <c r="C437" s="18"/>
      <c r="F437" s="14"/>
      <c r="G437" s="15"/>
      <c r="H437" s="15"/>
    </row>
    <row r="438" ht="15.75" customHeight="1">
      <c r="A438" s="6">
        <v>46196</v>
      </c>
      <c r="B438" s="16">
        <v>46198</v>
      </c>
      <c r="C438" s="18"/>
      <c r="F438" s="14"/>
      <c r="G438" s="15"/>
      <c r="H438" s="15"/>
    </row>
    <row r="439" ht="15.75" customHeight="1">
      <c r="A439" s="6">
        <v>46197</v>
      </c>
      <c r="B439" s="6">
        <v>46199</v>
      </c>
      <c r="C439" s="18"/>
      <c r="F439" s="14"/>
      <c r="G439" s="15"/>
      <c r="H439" s="15"/>
    </row>
    <row r="440" ht="15.75" customHeight="1">
      <c r="A440" s="6">
        <v>46198</v>
      </c>
      <c r="B440" s="6">
        <v>46202</v>
      </c>
      <c r="C440" s="18"/>
      <c r="F440" s="14"/>
      <c r="G440" s="15"/>
      <c r="H440" s="15"/>
    </row>
    <row r="441" ht="15.75" customHeight="1">
      <c r="A441" s="6">
        <v>46199</v>
      </c>
      <c r="B441" s="6">
        <v>46203</v>
      </c>
      <c r="C441" s="18"/>
      <c r="F441" s="14"/>
      <c r="G441" s="15"/>
      <c r="H441" s="15"/>
    </row>
    <row r="442" ht="15.75" customHeight="1">
      <c r="A442" s="6">
        <v>46202</v>
      </c>
      <c r="B442" s="6">
        <v>46204</v>
      </c>
      <c r="C442" s="18"/>
      <c r="F442" s="14"/>
      <c r="G442" s="15"/>
      <c r="H442" s="15"/>
    </row>
    <row r="443" ht="15.75" customHeight="1">
      <c r="A443" s="6">
        <v>46203</v>
      </c>
      <c r="B443" s="6">
        <v>46205</v>
      </c>
      <c r="C443" s="18"/>
      <c r="F443" s="14"/>
      <c r="G443" s="15"/>
      <c r="H443" s="15"/>
    </row>
    <row r="444" ht="15.75" customHeight="1">
      <c r="A444" s="26" t="s">
        <v>127</v>
      </c>
      <c r="B444" s="27"/>
      <c r="C444" s="28">
        <f>SUM(C423:C443)</f>
        <v>0</v>
      </c>
      <c r="F444" s="14"/>
      <c r="G444" s="15"/>
      <c r="H444" s="15"/>
    </row>
    <row r="445" ht="15.75" customHeight="1">
      <c r="A445" s="6">
        <v>46204</v>
      </c>
      <c r="B445" s="6">
        <v>46209</v>
      </c>
      <c r="C445" s="18"/>
      <c r="F445" s="14"/>
      <c r="G445" s="15"/>
      <c r="H445" s="15"/>
    </row>
    <row r="446" ht="15.75" customHeight="1">
      <c r="A446" s="6">
        <v>46205</v>
      </c>
      <c r="B446" s="16">
        <v>46210</v>
      </c>
      <c r="C446" s="18"/>
      <c r="F446" s="14"/>
      <c r="G446" s="15"/>
      <c r="H446" s="15"/>
    </row>
    <row r="447" ht="15.75" customHeight="1">
      <c r="A447" s="6">
        <v>46209</v>
      </c>
      <c r="B447" s="6">
        <v>46211</v>
      </c>
      <c r="C447" s="18"/>
      <c r="F447" s="14"/>
      <c r="G447" s="15"/>
      <c r="H447" s="15"/>
    </row>
    <row r="448" ht="15.75" customHeight="1">
      <c r="A448" s="6">
        <v>46210</v>
      </c>
      <c r="B448" s="6">
        <v>46212</v>
      </c>
      <c r="C448" s="18"/>
      <c r="F448" s="14"/>
      <c r="G448" s="15"/>
      <c r="H448" s="15"/>
    </row>
    <row r="449" ht="15.75" customHeight="1">
      <c r="A449" s="6">
        <v>46211</v>
      </c>
      <c r="B449" s="6">
        <v>46213</v>
      </c>
      <c r="C449" s="18"/>
      <c r="F449" s="14"/>
      <c r="G449" s="15"/>
      <c r="H449" s="15"/>
    </row>
    <row r="450" ht="15.75" customHeight="1">
      <c r="A450" s="6">
        <v>46212</v>
      </c>
      <c r="B450" s="6">
        <v>46216</v>
      </c>
      <c r="C450" s="18"/>
      <c r="F450" s="14"/>
      <c r="G450" s="15"/>
      <c r="H450" s="15"/>
    </row>
    <row r="451" ht="15.75" customHeight="1">
      <c r="A451" s="6">
        <v>46213</v>
      </c>
      <c r="B451" s="6">
        <v>46217</v>
      </c>
      <c r="C451" s="18"/>
      <c r="F451" s="14"/>
      <c r="G451" s="15"/>
      <c r="H451" s="15"/>
    </row>
    <row r="452" ht="15.75" customHeight="1">
      <c r="A452" s="6">
        <v>46216</v>
      </c>
      <c r="B452" s="16">
        <v>46218</v>
      </c>
      <c r="C452" s="18"/>
      <c r="F452" s="14"/>
      <c r="G452" s="15"/>
      <c r="H452" s="15"/>
    </row>
    <row r="453" ht="15.75" customHeight="1">
      <c r="A453" s="6">
        <v>46217</v>
      </c>
      <c r="B453" s="6">
        <v>46219</v>
      </c>
      <c r="C453" s="18"/>
      <c r="F453" s="14"/>
      <c r="G453" s="15"/>
      <c r="H453" s="15"/>
    </row>
    <row r="454" ht="15.75" customHeight="1">
      <c r="A454" s="6">
        <v>46218</v>
      </c>
      <c r="B454" s="6">
        <v>46220</v>
      </c>
      <c r="C454" s="18"/>
      <c r="F454" s="14"/>
      <c r="G454" s="15"/>
      <c r="H454" s="15"/>
    </row>
    <row r="455" ht="15.75" customHeight="1">
      <c r="A455" s="6">
        <v>46219</v>
      </c>
      <c r="B455" s="6">
        <v>46223</v>
      </c>
      <c r="C455" s="18"/>
      <c r="F455" s="14"/>
      <c r="G455" s="15"/>
      <c r="H455" s="15"/>
    </row>
    <row r="456" ht="15.75" customHeight="1">
      <c r="A456" s="6">
        <v>46220</v>
      </c>
      <c r="B456" s="6">
        <v>46224</v>
      </c>
      <c r="C456" s="18"/>
      <c r="F456" s="14"/>
      <c r="G456" s="15"/>
      <c r="H456" s="15"/>
    </row>
    <row r="457" ht="15.75" customHeight="1">
      <c r="A457" s="6">
        <v>46223</v>
      </c>
      <c r="B457" s="6">
        <v>46225</v>
      </c>
      <c r="C457" s="18"/>
      <c r="F457" s="14"/>
      <c r="G457" s="15"/>
      <c r="H457" s="15"/>
    </row>
    <row r="458" ht="15.75" customHeight="1">
      <c r="A458" s="6">
        <v>46224</v>
      </c>
      <c r="B458" s="6">
        <v>46226</v>
      </c>
      <c r="C458" s="18"/>
      <c r="F458" s="14"/>
      <c r="G458" s="15"/>
      <c r="H458" s="15"/>
    </row>
    <row r="459" ht="15.75" customHeight="1">
      <c r="A459" s="6">
        <v>46225</v>
      </c>
      <c r="B459" s="16">
        <v>46227</v>
      </c>
      <c r="C459" s="18"/>
      <c r="F459" s="14"/>
      <c r="G459" s="15"/>
      <c r="H459" s="15"/>
    </row>
    <row r="460" ht="15.75" customHeight="1">
      <c r="A460" s="6">
        <v>46226</v>
      </c>
      <c r="B460" s="6">
        <v>46230</v>
      </c>
      <c r="C460" s="18"/>
      <c r="F460" s="14"/>
      <c r="G460" s="15"/>
      <c r="H460" s="15"/>
    </row>
    <row r="461" ht="15.75" customHeight="1">
      <c r="A461" s="6">
        <v>46227</v>
      </c>
      <c r="B461" s="6">
        <v>46231</v>
      </c>
      <c r="C461" s="18"/>
      <c r="F461" s="14"/>
      <c r="G461" s="15"/>
      <c r="H461" s="15"/>
    </row>
    <row r="462" ht="15.75" customHeight="1">
      <c r="A462" s="6">
        <v>46230</v>
      </c>
      <c r="B462" s="6">
        <v>46232</v>
      </c>
      <c r="C462" s="18"/>
      <c r="F462" s="14"/>
      <c r="G462" s="15"/>
      <c r="H462" s="15"/>
    </row>
    <row r="463" ht="15.75" customHeight="1">
      <c r="A463" s="6">
        <v>46231</v>
      </c>
      <c r="B463" s="6">
        <v>46233</v>
      </c>
      <c r="C463" s="18"/>
      <c r="F463" s="14"/>
      <c r="G463" s="15"/>
      <c r="H463" s="15"/>
    </row>
    <row r="464" ht="15.75" customHeight="1">
      <c r="A464" s="6">
        <v>46232</v>
      </c>
      <c r="B464" s="6">
        <v>46234</v>
      </c>
      <c r="C464" s="18"/>
      <c r="F464" s="14"/>
      <c r="G464" s="15"/>
      <c r="H464" s="15"/>
    </row>
    <row r="465" ht="15.75" customHeight="1">
      <c r="A465" s="6">
        <v>46233</v>
      </c>
      <c r="B465" s="6">
        <v>46237</v>
      </c>
      <c r="C465" s="18"/>
      <c r="F465" s="14"/>
      <c r="G465" s="15"/>
      <c r="H465" s="15"/>
    </row>
    <row r="466" ht="15.75" customHeight="1">
      <c r="A466" s="6">
        <v>46234</v>
      </c>
      <c r="B466" s="16">
        <v>46238</v>
      </c>
      <c r="C466" s="18"/>
      <c r="F466" s="14"/>
      <c r="G466" s="15"/>
      <c r="H466" s="15"/>
    </row>
    <row r="467" ht="15.75" customHeight="1">
      <c r="A467" s="26" t="s">
        <v>127</v>
      </c>
      <c r="B467" s="27"/>
      <c r="C467" s="28">
        <f>SUM(C445:C466)</f>
        <v>0</v>
      </c>
      <c r="F467" s="14"/>
      <c r="G467" s="15"/>
      <c r="H467" s="15"/>
    </row>
    <row r="468" ht="15.75" customHeight="1">
      <c r="A468" s="6">
        <v>46237</v>
      </c>
      <c r="B468" s="6">
        <v>46239</v>
      </c>
      <c r="C468" s="18"/>
      <c r="F468" s="14"/>
      <c r="G468" s="15"/>
      <c r="H468" s="15"/>
    </row>
    <row r="469" ht="15.75" customHeight="1">
      <c r="A469" s="6">
        <v>46238</v>
      </c>
      <c r="B469" s="6">
        <v>46240</v>
      </c>
      <c r="C469" s="18"/>
      <c r="F469" s="14"/>
      <c r="G469" s="15"/>
      <c r="H469" s="15"/>
    </row>
    <row r="470" ht="15.75" customHeight="1">
      <c r="A470" s="6">
        <v>46239</v>
      </c>
      <c r="B470" s="6">
        <v>46241</v>
      </c>
      <c r="C470" s="18"/>
      <c r="F470" s="14"/>
      <c r="G470" s="15"/>
      <c r="H470" s="15"/>
    </row>
    <row r="471" ht="15.75" customHeight="1">
      <c r="A471" s="6">
        <v>46240</v>
      </c>
      <c r="B471" s="6">
        <v>46244</v>
      </c>
      <c r="C471" s="18"/>
      <c r="F471" s="14"/>
      <c r="G471" s="15"/>
      <c r="H471" s="15"/>
    </row>
    <row r="472" ht="15.75" customHeight="1">
      <c r="A472" s="6">
        <v>46241</v>
      </c>
      <c r="B472" s="6">
        <v>46245</v>
      </c>
      <c r="C472" s="18"/>
      <c r="F472" s="14"/>
      <c r="G472" s="15"/>
      <c r="H472" s="15"/>
    </row>
    <row r="473" ht="15.75" customHeight="1">
      <c r="A473" s="6">
        <v>46244</v>
      </c>
      <c r="B473" s="6">
        <v>46246</v>
      </c>
      <c r="C473" s="18"/>
      <c r="F473" s="14"/>
      <c r="G473" s="15"/>
      <c r="H473" s="15"/>
    </row>
    <row r="474" ht="15.75" customHeight="1">
      <c r="A474" s="6">
        <v>46245</v>
      </c>
      <c r="B474" s="16">
        <v>46247</v>
      </c>
      <c r="C474" s="18"/>
      <c r="F474" s="14"/>
      <c r="G474" s="15"/>
      <c r="H474" s="15"/>
    </row>
    <row r="475" ht="15.75" customHeight="1">
      <c r="A475" s="6">
        <v>46246</v>
      </c>
      <c r="B475" s="6">
        <v>46248</v>
      </c>
      <c r="C475" s="18"/>
      <c r="F475" s="14"/>
      <c r="G475" s="15"/>
      <c r="H475" s="15"/>
    </row>
    <row r="476" ht="15.75" customHeight="1">
      <c r="A476" s="6">
        <v>46247</v>
      </c>
      <c r="B476" s="6">
        <v>46251</v>
      </c>
      <c r="C476" s="18"/>
      <c r="F476" s="14"/>
      <c r="G476" s="15"/>
      <c r="H476" s="15"/>
    </row>
    <row r="477" ht="15.75" customHeight="1">
      <c r="A477" s="6">
        <v>46248</v>
      </c>
      <c r="B477" s="6">
        <v>46252</v>
      </c>
      <c r="C477" s="18"/>
      <c r="F477" s="14"/>
      <c r="G477" s="15"/>
      <c r="H477" s="15"/>
    </row>
    <row r="478" ht="15.75" customHeight="1">
      <c r="A478" s="6">
        <v>46251</v>
      </c>
      <c r="B478" s="6">
        <v>46253</v>
      </c>
      <c r="C478" s="18"/>
      <c r="F478" s="14"/>
      <c r="G478" s="15"/>
      <c r="H478" s="15"/>
    </row>
    <row r="479" ht="15.75" customHeight="1">
      <c r="A479" s="6">
        <v>46252</v>
      </c>
      <c r="B479" s="6">
        <v>46254</v>
      </c>
      <c r="C479" s="18"/>
      <c r="F479" s="14"/>
      <c r="G479" s="15"/>
      <c r="H479" s="15"/>
    </row>
    <row r="480" ht="15.75" customHeight="1">
      <c r="A480" s="6">
        <v>46253</v>
      </c>
      <c r="B480" s="6">
        <v>46255</v>
      </c>
      <c r="C480" s="18"/>
      <c r="F480" s="14"/>
      <c r="G480" s="15"/>
      <c r="H480" s="15"/>
    </row>
    <row r="481" ht="15.75" customHeight="1">
      <c r="A481" s="6">
        <v>46254</v>
      </c>
      <c r="B481" s="16">
        <v>46258</v>
      </c>
      <c r="C481" s="18"/>
      <c r="F481" s="14"/>
      <c r="G481" s="15"/>
      <c r="H481" s="15"/>
    </row>
    <row r="482" ht="15.75" customHeight="1">
      <c r="A482" s="6">
        <v>46255</v>
      </c>
      <c r="B482" s="6">
        <v>46259</v>
      </c>
      <c r="C482" s="18"/>
      <c r="F482" s="14"/>
      <c r="G482" s="15"/>
      <c r="H482" s="15"/>
    </row>
    <row r="483" ht="15.75" customHeight="1">
      <c r="A483" s="6">
        <v>46258</v>
      </c>
      <c r="B483" s="6">
        <v>46260</v>
      </c>
      <c r="C483" s="18"/>
      <c r="F483" s="14"/>
      <c r="G483" s="15"/>
      <c r="H483" s="15"/>
    </row>
    <row r="484" ht="15.75" customHeight="1">
      <c r="A484" s="6">
        <v>46259</v>
      </c>
      <c r="B484" s="6">
        <v>46261</v>
      </c>
      <c r="C484" s="18"/>
      <c r="F484" s="14"/>
      <c r="G484" s="15"/>
      <c r="H484" s="15"/>
    </row>
    <row r="485" ht="15.75" customHeight="1">
      <c r="A485" s="6">
        <v>46260</v>
      </c>
      <c r="B485" s="6">
        <v>46262</v>
      </c>
      <c r="C485" s="18"/>
      <c r="F485" s="14"/>
      <c r="G485" s="15"/>
      <c r="H485" s="15"/>
    </row>
    <row r="486" ht="15.75" customHeight="1">
      <c r="A486" s="6">
        <v>46261</v>
      </c>
      <c r="B486" s="6">
        <v>46265</v>
      </c>
      <c r="C486" s="18"/>
      <c r="F486" s="14"/>
      <c r="G486" s="15"/>
      <c r="H486" s="15"/>
    </row>
    <row r="487" ht="15.75" customHeight="1">
      <c r="A487" s="6">
        <v>46262</v>
      </c>
      <c r="B487" s="6">
        <v>46266</v>
      </c>
      <c r="C487" s="18"/>
      <c r="F487" s="14"/>
      <c r="G487" s="15"/>
      <c r="H487" s="15"/>
    </row>
    <row r="488" ht="15.75" customHeight="1">
      <c r="A488" s="6">
        <v>46265</v>
      </c>
      <c r="B488" s="16">
        <v>46267</v>
      </c>
      <c r="C488" s="18"/>
      <c r="F488" s="14"/>
      <c r="G488" s="15"/>
      <c r="H488" s="15"/>
    </row>
    <row r="489" ht="15.75" customHeight="1">
      <c r="A489" s="26" t="s">
        <v>127</v>
      </c>
      <c r="B489" s="27"/>
      <c r="C489" s="28">
        <f>SUM(C468:C488)</f>
        <v>0</v>
      </c>
      <c r="F489" s="14"/>
      <c r="G489" s="15"/>
      <c r="H489" s="15"/>
    </row>
    <row r="490" ht="15.75" customHeight="1">
      <c r="A490" s="6">
        <v>46266</v>
      </c>
      <c r="B490" s="6">
        <v>46268</v>
      </c>
      <c r="C490" s="18"/>
      <c r="F490" s="14"/>
      <c r="G490" s="15"/>
      <c r="H490" s="15"/>
    </row>
    <row r="491" ht="15.75" customHeight="1">
      <c r="A491" s="6">
        <v>46267</v>
      </c>
      <c r="B491" s="6">
        <v>46269</v>
      </c>
      <c r="C491" s="18"/>
      <c r="F491" s="14"/>
      <c r="G491" s="15"/>
      <c r="H491" s="15"/>
    </row>
    <row r="492" ht="15.75" customHeight="1">
      <c r="A492" s="6">
        <v>46268</v>
      </c>
      <c r="B492" s="6">
        <v>46273</v>
      </c>
      <c r="C492" s="18"/>
      <c r="F492" s="14"/>
      <c r="G492" s="15"/>
      <c r="H492" s="15"/>
    </row>
    <row r="493" ht="15.75" customHeight="1">
      <c r="A493" s="6">
        <v>46269</v>
      </c>
      <c r="B493" s="6">
        <v>46274</v>
      </c>
      <c r="C493" s="18"/>
      <c r="F493" s="14"/>
      <c r="G493" s="15"/>
      <c r="H493" s="15"/>
    </row>
    <row r="494" ht="15.75" customHeight="1">
      <c r="A494" s="6">
        <v>46273</v>
      </c>
      <c r="B494" s="6">
        <v>46275</v>
      </c>
      <c r="C494" s="18"/>
      <c r="F494" s="14"/>
      <c r="G494" s="15"/>
      <c r="H494" s="15"/>
    </row>
    <row r="495" ht="15.75" customHeight="1">
      <c r="A495" s="6">
        <v>46274</v>
      </c>
      <c r="B495" s="16">
        <v>46276</v>
      </c>
      <c r="C495" s="18"/>
      <c r="F495" s="14"/>
      <c r="G495" s="15"/>
      <c r="H495" s="15"/>
    </row>
    <row r="496" ht="15.75" customHeight="1">
      <c r="A496" s="6">
        <v>46275</v>
      </c>
      <c r="B496" s="6">
        <v>46279</v>
      </c>
      <c r="C496" s="18"/>
      <c r="F496" s="14"/>
      <c r="G496" s="15"/>
      <c r="H496" s="15"/>
    </row>
    <row r="497" ht="15.75" customHeight="1">
      <c r="A497" s="6">
        <v>46276</v>
      </c>
      <c r="B497" s="6">
        <v>46280</v>
      </c>
      <c r="C497" s="18"/>
      <c r="F497" s="14"/>
      <c r="G497" s="15"/>
      <c r="H497" s="15"/>
    </row>
    <row r="498" ht="15.75" customHeight="1">
      <c r="A498" s="6">
        <v>46279</v>
      </c>
      <c r="B498" s="6">
        <v>46281</v>
      </c>
      <c r="C498" s="18"/>
      <c r="F498" s="14"/>
      <c r="G498" s="15"/>
      <c r="H498" s="15"/>
    </row>
    <row r="499" ht="15.75" customHeight="1">
      <c r="A499" s="6">
        <v>46280</v>
      </c>
      <c r="B499" s="6">
        <v>46282</v>
      </c>
      <c r="C499" s="18"/>
      <c r="F499" s="14"/>
      <c r="G499" s="15"/>
      <c r="H499" s="15"/>
    </row>
    <row r="500" ht="15.75" customHeight="1">
      <c r="A500" s="6">
        <v>46281</v>
      </c>
      <c r="B500" s="6">
        <v>46283</v>
      </c>
      <c r="C500" s="18"/>
      <c r="F500" s="14"/>
      <c r="G500" s="15"/>
      <c r="H500" s="15"/>
    </row>
    <row r="501" ht="15.75" customHeight="1">
      <c r="A501" s="6">
        <v>46282</v>
      </c>
      <c r="B501" s="6">
        <v>46286</v>
      </c>
      <c r="C501" s="18"/>
      <c r="F501" s="14"/>
      <c r="G501" s="15"/>
      <c r="H501" s="15"/>
    </row>
    <row r="502" ht="15.75" customHeight="1">
      <c r="A502" s="6">
        <v>46283</v>
      </c>
      <c r="B502" s="16">
        <v>46287</v>
      </c>
      <c r="C502" s="18"/>
      <c r="F502" s="14"/>
      <c r="G502" s="15"/>
      <c r="H502" s="15"/>
    </row>
    <row r="503" ht="15.75" customHeight="1">
      <c r="A503" s="6">
        <v>46286</v>
      </c>
      <c r="B503" s="6">
        <v>46288</v>
      </c>
      <c r="C503" s="18"/>
      <c r="F503" s="14"/>
      <c r="G503" s="15"/>
      <c r="H503" s="15"/>
    </row>
    <row r="504" ht="15.75" customHeight="1">
      <c r="A504" s="6">
        <v>46287</v>
      </c>
      <c r="B504" s="6">
        <v>46289</v>
      </c>
      <c r="C504" s="18"/>
      <c r="F504" s="14"/>
      <c r="G504" s="15"/>
      <c r="H504" s="15"/>
    </row>
    <row r="505" ht="15.75" customHeight="1">
      <c r="A505" s="6">
        <v>46288</v>
      </c>
      <c r="B505" s="6">
        <v>46290</v>
      </c>
      <c r="C505" s="18"/>
      <c r="F505" s="14"/>
      <c r="G505" s="15"/>
      <c r="H505" s="15"/>
    </row>
    <row r="506" ht="15.75" customHeight="1">
      <c r="A506" s="6">
        <v>46289</v>
      </c>
      <c r="B506" s="6">
        <v>46293</v>
      </c>
      <c r="C506" s="18"/>
      <c r="F506" s="14"/>
      <c r="G506" s="15"/>
      <c r="H506" s="15"/>
    </row>
    <row r="507" ht="15.75" customHeight="1">
      <c r="A507" s="6">
        <v>46290</v>
      </c>
      <c r="B507" s="6">
        <v>46294</v>
      </c>
      <c r="C507" s="18"/>
      <c r="F507" s="14"/>
      <c r="G507" s="15"/>
      <c r="H507" s="15"/>
    </row>
    <row r="508" ht="15.75" customHeight="1">
      <c r="A508" s="6">
        <v>46293</v>
      </c>
      <c r="B508" s="6">
        <v>46295</v>
      </c>
      <c r="C508" s="18"/>
      <c r="F508" s="14"/>
      <c r="G508" s="15"/>
      <c r="H508" s="15"/>
    </row>
    <row r="509" ht="15.75" customHeight="1">
      <c r="A509" s="6">
        <v>46294</v>
      </c>
      <c r="B509" s="16">
        <v>46296</v>
      </c>
      <c r="C509" s="18"/>
      <c r="F509" s="14"/>
      <c r="G509" s="15"/>
      <c r="H509" s="15"/>
    </row>
    <row r="510" ht="15.75" customHeight="1">
      <c r="A510" s="6">
        <v>46295</v>
      </c>
      <c r="B510" s="6">
        <v>46297</v>
      </c>
      <c r="C510" s="18"/>
      <c r="F510" s="14"/>
      <c r="G510" s="15"/>
      <c r="H510" s="15"/>
    </row>
    <row r="511" ht="15.75" customHeight="1">
      <c r="A511" s="26" t="s">
        <v>127</v>
      </c>
      <c r="B511" s="27"/>
      <c r="C511" s="28">
        <f>SUM(C490:C510)</f>
        <v>0</v>
      </c>
      <c r="F511" s="14"/>
      <c r="G511" s="15"/>
      <c r="H511" s="15"/>
    </row>
    <row r="512" ht="15.75" customHeight="1">
      <c r="A512" s="6">
        <v>46296</v>
      </c>
      <c r="B512" s="6">
        <v>46300</v>
      </c>
      <c r="C512" s="18"/>
      <c r="F512" s="14"/>
      <c r="G512" s="15"/>
      <c r="H512" s="15"/>
    </row>
    <row r="513" ht="15.75" customHeight="1">
      <c r="A513" s="6">
        <v>46297</v>
      </c>
      <c r="B513" s="6">
        <v>46301</v>
      </c>
      <c r="C513" s="18"/>
      <c r="F513" s="14"/>
      <c r="G513" s="15"/>
      <c r="H513" s="15"/>
    </row>
    <row r="514" ht="15.75" customHeight="1">
      <c r="A514" s="6">
        <v>46300</v>
      </c>
      <c r="B514" s="6">
        <v>46302</v>
      </c>
      <c r="C514" s="18"/>
      <c r="F514" s="14"/>
      <c r="G514" s="15"/>
      <c r="H514" s="15"/>
    </row>
    <row r="515" ht="15.75" customHeight="1">
      <c r="A515" s="6">
        <v>46301</v>
      </c>
      <c r="B515" s="6">
        <v>46303</v>
      </c>
      <c r="C515" s="18"/>
      <c r="F515" s="14"/>
      <c r="G515" s="15"/>
      <c r="H515" s="15"/>
    </row>
    <row r="516" ht="15.75" customHeight="1">
      <c r="A516" s="6">
        <v>46302</v>
      </c>
      <c r="B516" s="6">
        <v>46304</v>
      </c>
      <c r="C516" s="18"/>
      <c r="F516" s="14"/>
      <c r="G516" s="15"/>
      <c r="H516" s="15"/>
    </row>
    <row r="517" ht="15.75" customHeight="1">
      <c r="A517" s="6">
        <v>46303</v>
      </c>
      <c r="B517" s="16">
        <v>46308</v>
      </c>
      <c r="C517" s="18"/>
      <c r="F517" s="14"/>
      <c r="G517" s="15"/>
      <c r="H517" s="15"/>
    </row>
    <row r="518" ht="15.75" customHeight="1">
      <c r="A518" s="6">
        <v>46304</v>
      </c>
      <c r="B518" s="6">
        <v>46309</v>
      </c>
      <c r="C518" s="18"/>
      <c r="F518" s="14"/>
      <c r="G518" s="15"/>
      <c r="H518" s="15"/>
    </row>
    <row r="519" ht="15.75" customHeight="1">
      <c r="A519" s="6">
        <v>46308</v>
      </c>
      <c r="B519" s="6">
        <v>46310</v>
      </c>
      <c r="C519" s="18"/>
      <c r="F519" s="14"/>
      <c r="G519" s="15"/>
      <c r="H519" s="15"/>
    </row>
    <row r="520" ht="15.75" customHeight="1">
      <c r="A520" s="6">
        <v>46309</v>
      </c>
      <c r="B520" s="6">
        <v>46311</v>
      </c>
      <c r="C520" s="18"/>
      <c r="F520" s="14"/>
      <c r="G520" s="15"/>
      <c r="H520" s="15"/>
    </row>
    <row r="521" ht="15.75" customHeight="1">
      <c r="A521" s="6">
        <v>46310</v>
      </c>
      <c r="B521" s="6">
        <v>46314</v>
      </c>
      <c r="C521" s="18"/>
      <c r="F521" s="14"/>
      <c r="G521" s="15"/>
      <c r="H521" s="15"/>
    </row>
    <row r="522" ht="15.75" customHeight="1">
      <c r="A522" s="6">
        <v>46311</v>
      </c>
      <c r="B522" s="6">
        <v>46315</v>
      </c>
      <c r="C522" s="18"/>
      <c r="F522" s="14"/>
      <c r="G522" s="15"/>
      <c r="H522" s="15"/>
    </row>
    <row r="523" ht="15.75" customHeight="1">
      <c r="A523" s="6">
        <v>46314</v>
      </c>
      <c r="B523" s="6">
        <v>46316</v>
      </c>
      <c r="C523" s="18"/>
      <c r="F523" s="14"/>
      <c r="G523" s="15"/>
      <c r="H523" s="15"/>
    </row>
    <row r="524" ht="15.75" customHeight="1">
      <c r="A524" s="6">
        <v>46315</v>
      </c>
      <c r="B524" s="16">
        <v>46317</v>
      </c>
      <c r="C524" s="18"/>
      <c r="F524" s="14"/>
      <c r="G524" s="15"/>
      <c r="H524" s="15"/>
    </row>
    <row r="525" ht="15.75" customHeight="1">
      <c r="A525" s="6">
        <v>46316</v>
      </c>
      <c r="B525" s="6">
        <v>46318</v>
      </c>
      <c r="C525" s="18"/>
      <c r="F525" s="14"/>
      <c r="G525" s="15"/>
      <c r="H525" s="15"/>
    </row>
    <row r="526" ht="15.75" customHeight="1">
      <c r="A526" s="6">
        <v>46317</v>
      </c>
      <c r="B526" s="6">
        <v>46321</v>
      </c>
      <c r="C526" s="18"/>
      <c r="F526" s="14"/>
      <c r="G526" s="15"/>
      <c r="H526" s="15"/>
    </row>
    <row r="527" ht="15.75" customHeight="1">
      <c r="A527" s="6">
        <v>46318</v>
      </c>
      <c r="B527" s="6">
        <v>46322</v>
      </c>
      <c r="C527" s="18"/>
      <c r="F527" s="14"/>
      <c r="G527" s="15"/>
      <c r="H527" s="15"/>
    </row>
    <row r="528" ht="15.75" customHeight="1">
      <c r="A528" s="6">
        <v>46321</v>
      </c>
      <c r="B528" s="6">
        <v>46323</v>
      </c>
      <c r="C528" s="18"/>
      <c r="F528" s="14"/>
      <c r="G528" s="15"/>
      <c r="H528" s="15"/>
    </row>
    <row r="529" ht="15.75" customHeight="1">
      <c r="A529" s="6">
        <v>46322</v>
      </c>
      <c r="B529" s="6">
        <v>46324</v>
      </c>
      <c r="C529" s="18"/>
      <c r="F529" s="14"/>
      <c r="G529" s="15"/>
      <c r="H529" s="15"/>
    </row>
    <row r="530" ht="15.75" customHeight="1">
      <c r="A530" s="6">
        <v>46323</v>
      </c>
      <c r="B530" s="6">
        <v>46325</v>
      </c>
      <c r="C530" s="18"/>
      <c r="F530" s="14"/>
      <c r="G530" s="15"/>
      <c r="H530" s="15"/>
    </row>
    <row r="531" ht="15.75" customHeight="1">
      <c r="A531" s="6">
        <v>46324</v>
      </c>
      <c r="B531" s="16">
        <v>46328</v>
      </c>
      <c r="C531" s="18"/>
      <c r="F531" s="14"/>
      <c r="G531" s="15"/>
      <c r="H531" s="15"/>
    </row>
    <row r="532" ht="15.75" customHeight="1">
      <c r="A532" s="6">
        <v>46325</v>
      </c>
      <c r="B532" s="6">
        <v>46329</v>
      </c>
      <c r="C532" s="18"/>
      <c r="F532" s="14"/>
      <c r="G532" s="15"/>
      <c r="H532" s="15"/>
    </row>
    <row r="533" ht="15.75" customHeight="1">
      <c r="A533" s="26" t="s">
        <v>127</v>
      </c>
      <c r="B533" s="27"/>
      <c r="C533" s="28">
        <f>SUM(C512:C532)</f>
        <v>0</v>
      </c>
      <c r="F533" s="14"/>
      <c r="G533" s="15"/>
      <c r="H533" s="15"/>
    </row>
    <row r="534" ht="15.75" customHeight="1">
      <c r="A534" s="6">
        <v>46328</v>
      </c>
      <c r="B534" s="6">
        <v>46330</v>
      </c>
      <c r="C534" s="18"/>
      <c r="F534" s="14"/>
      <c r="G534" s="15"/>
      <c r="H534" s="15"/>
    </row>
    <row r="535" ht="15.75" customHeight="1">
      <c r="A535" s="6">
        <v>46329</v>
      </c>
      <c r="B535" s="6">
        <v>46331</v>
      </c>
      <c r="C535" s="18"/>
      <c r="F535" s="14"/>
      <c r="G535" s="15"/>
      <c r="H535" s="15"/>
    </row>
    <row r="536" ht="15.75" customHeight="1">
      <c r="A536" s="6">
        <v>46330</v>
      </c>
      <c r="B536" s="6">
        <v>46332</v>
      </c>
      <c r="C536" s="18"/>
      <c r="F536" s="14"/>
      <c r="G536" s="15"/>
      <c r="H536" s="15"/>
    </row>
    <row r="537" ht="15.75" customHeight="1">
      <c r="A537" s="6">
        <v>46331</v>
      </c>
      <c r="B537" s="16">
        <v>46335</v>
      </c>
      <c r="C537" s="18"/>
      <c r="F537" s="14"/>
      <c r="G537" s="15"/>
      <c r="H537" s="15"/>
    </row>
    <row r="538" ht="15.75" customHeight="1">
      <c r="A538" s="6">
        <v>46332</v>
      </c>
      <c r="B538" s="6">
        <v>46336</v>
      </c>
      <c r="C538" s="18"/>
      <c r="F538" s="14"/>
      <c r="G538" s="15"/>
      <c r="H538" s="15"/>
    </row>
    <row r="539" ht="15.75" customHeight="1">
      <c r="A539" s="6">
        <v>46335</v>
      </c>
      <c r="B539" s="6">
        <v>46338</v>
      </c>
      <c r="C539" s="18"/>
      <c r="F539" s="14"/>
      <c r="G539" s="15"/>
      <c r="H539" s="15"/>
    </row>
    <row r="540" ht="15.75" customHeight="1">
      <c r="A540" s="6">
        <v>46336</v>
      </c>
      <c r="B540" s="6">
        <v>46339</v>
      </c>
      <c r="C540" s="18"/>
      <c r="F540" s="14"/>
      <c r="G540" s="15"/>
      <c r="H540" s="15"/>
    </row>
    <row r="541" ht="15.75" customHeight="1">
      <c r="A541" s="6">
        <v>46338</v>
      </c>
      <c r="B541" s="6">
        <v>46342</v>
      </c>
      <c r="C541" s="18"/>
      <c r="F541" s="14"/>
      <c r="G541" s="15"/>
      <c r="H541" s="15"/>
    </row>
    <row r="542" ht="15.75" customHeight="1">
      <c r="A542" s="6">
        <v>46339</v>
      </c>
      <c r="B542" s="6">
        <v>46343</v>
      </c>
      <c r="C542" s="18"/>
      <c r="F542" s="14"/>
      <c r="G542" s="15"/>
      <c r="H542" s="15"/>
    </row>
    <row r="543" ht="15.75" customHeight="1">
      <c r="A543" s="6">
        <v>46342</v>
      </c>
      <c r="B543" s="6">
        <v>46344</v>
      </c>
      <c r="C543" s="18"/>
      <c r="F543" s="14"/>
      <c r="G543" s="15"/>
      <c r="H543" s="15"/>
    </row>
    <row r="544" ht="15.75" customHeight="1">
      <c r="A544" s="6">
        <v>46343</v>
      </c>
      <c r="B544" s="16">
        <v>46345</v>
      </c>
      <c r="C544" s="18"/>
      <c r="F544" s="14"/>
      <c r="G544" s="15"/>
      <c r="H544" s="15"/>
    </row>
    <row r="545" ht="15.75" customHeight="1">
      <c r="A545" s="6">
        <v>46344</v>
      </c>
      <c r="B545" s="6">
        <v>46346</v>
      </c>
      <c r="C545" s="18"/>
      <c r="F545" s="14"/>
      <c r="G545" s="15"/>
      <c r="H545" s="15"/>
    </row>
    <row r="546" ht="15.75" customHeight="1">
      <c r="A546" s="6">
        <v>46345</v>
      </c>
      <c r="B546" s="6">
        <v>46349</v>
      </c>
      <c r="C546" s="18"/>
      <c r="F546" s="14"/>
      <c r="G546" s="15"/>
      <c r="H546" s="15"/>
    </row>
    <row r="547" ht="15.75" customHeight="1">
      <c r="A547" s="6">
        <v>46346</v>
      </c>
      <c r="B547" s="6">
        <v>46350</v>
      </c>
      <c r="C547" s="18"/>
      <c r="F547" s="14"/>
      <c r="G547" s="15"/>
      <c r="H547" s="15"/>
    </row>
    <row r="548" ht="15.75" customHeight="1">
      <c r="A548" s="6">
        <v>46349</v>
      </c>
      <c r="B548" s="6">
        <v>46351</v>
      </c>
      <c r="C548" s="18"/>
      <c r="F548" s="14"/>
      <c r="G548" s="15"/>
      <c r="H548" s="15"/>
    </row>
    <row r="549" ht="15.75" customHeight="1">
      <c r="A549" s="6">
        <v>46350</v>
      </c>
      <c r="B549" s="6">
        <v>46356</v>
      </c>
      <c r="C549" s="18"/>
      <c r="F549" s="14"/>
      <c r="G549" s="15"/>
      <c r="H549" s="15"/>
    </row>
    <row r="550" ht="15.75" customHeight="1">
      <c r="A550" s="6">
        <v>46351</v>
      </c>
      <c r="B550" s="6">
        <v>46357</v>
      </c>
      <c r="C550" s="18"/>
      <c r="F550" s="14"/>
      <c r="G550" s="15"/>
      <c r="H550" s="15"/>
    </row>
    <row r="551" ht="15.75" customHeight="1">
      <c r="A551" s="6">
        <v>46356</v>
      </c>
      <c r="B551" s="16">
        <v>46358</v>
      </c>
      <c r="C551" s="18"/>
      <c r="F551" s="14"/>
      <c r="G551" s="15"/>
      <c r="H551" s="15"/>
    </row>
    <row r="552" ht="15.75" customHeight="1">
      <c r="A552" s="26" t="s">
        <v>127</v>
      </c>
      <c r="B552" s="27"/>
      <c r="C552" s="28">
        <f>SUM(C534:C551)</f>
        <v>0</v>
      </c>
      <c r="F552" s="14"/>
      <c r="G552" s="15"/>
      <c r="H552" s="15"/>
    </row>
    <row r="553" ht="15.75" customHeight="1">
      <c r="A553" s="6">
        <v>46357</v>
      </c>
      <c r="B553" s="6">
        <v>46359</v>
      </c>
      <c r="C553" s="18"/>
      <c r="F553" s="14"/>
      <c r="G553" s="15"/>
      <c r="H553" s="15"/>
    </row>
    <row r="554" ht="15.75" customHeight="1">
      <c r="A554" s="6">
        <v>46358</v>
      </c>
      <c r="B554" s="6">
        <v>46360</v>
      </c>
      <c r="C554" s="18"/>
      <c r="F554" s="14"/>
      <c r="G554" s="15"/>
      <c r="H554" s="15"/>
    </row>
    <row r="555" ht="15.75" customHeight="1">
      <c r="A555" s="6">
        <v>46359</v>
      </c>
      <c r="B555" s="6">
        <v>46363</v>
      </c>
      <c r="C555" s="18"/>
      <c r="F555" s="14"/>
      <c r="G555" s="15"/>
      <c r="H555" s="15"/>
    </row>
    <row r="556" ht="15.75" customHeight="1">
      <c r="A556" s="6">
        <v>46360</v>
      </c>
      <c r="B556" s="6">
        <v>46364</v>
      </c>
      <c r="C556" s="18"/>
      <c r="F556" s="14"/>
      <c r="G556" s="15"/>
      <c r="H556" s="15"/>
    </row>
    <row r="557" ht="15.75" customHeight="1">
      <c r="A557" s="6">
        <v>46363</v>
      </c>
      <c r="B557" s="16">
        <v>46365</v>
      </c>
      <c r="C557" s="18"/>
      <c r="F557" s="14"/>
      <c r="G557" s="15"/>
      <c r="H557" s="15"/>
    </row>
    <row r="558" ht="15.75" customHeight="1">
      <c r="A558" s="6">
        <v>46364</v>
      </c>
      <c r="B558" s="6">
        <v>46366</v>
      </c>
      <c r="C558" s="18"/>
      <c r="F558" s="14"/>
      <c r="G558" s="15"/>
      <c r="H558" s="15"/>
    </row>
    <row r="559" ht="15.75" customHeight="1">
      <c r="A559" s="6">
        <v>46365</v>
      </c>
      <c r="B559" s="6">
        <v>46367</v>
      </c>
      <c r="C559" s="18"/>
      <c r="F559" s="14"/>
      <c r="G559" s="15"/>
      <c r="H559" s="15"/>
    </row>
    <row r="560" ht="15.75" customHeight="1">
      <c r="A560" s="6">
        <v>46366</v>
      </c>
      <c r="B560" s="6">
        <v>46370</v>
      </c>
      <c r="C560" s="18"/>
      <c r="F560" s="14"/>
      <c r="G560" s="15"/>
      <c r="H560" s="15"/>
    </row>
    <row r="561" ht="15.75" customHeight="1">
      <c r="A561" s="6">
        <v>46367</v>
      </c>
      <c r="B561" s="6">
        <v>46371</v>
      </c>
      <c r="C561" s="18"/>
      <c r="F561" s="14"/>
      <c r="G561" s="15"/>
      <c r="H561" s="15"/>
    </row>
    <row r="562" ht="15.75" customHeight="1">
      <c r="A562" s="6">
        <v>46370</v>
      </c>
      <c r="B562" s="6">
        <v>46372</v>
      </c>
      <c r="C562" s="18"/>
      <c r="F562" s="14"/>
      <c r="G562" s="15"/>
      <c r="H562" s="15"/>
    </row>
    <row r="563" ht="15.75" customHeight="1">
      <c r="A563" s="6">
        <v>46371</v>
      </c>
      <c r="B563" s="6">
        <v>46373</v>
      </c>
      <c r="C563" s="18"/>
      <c r="F563" s="14"/>
      <c r="G563" s="15"/>
      <c r="H563" s="15"/>
    </row>
    <row r="564" ht="15.75" customHeight="1">
      <c r="A564" s="6">
        <v>46372</v>
      </c>
      <c r="B564" s="16">
        <v>46374</v>
      </c>
      <c r="C564" s="18"/>
      <c r="F564" s="14"/>
      <c r="G564" s="15"/>
      <c r="H564" s="15"/>
    </row>
    <row r="565" ht="15.75" customHeight="1">
      <c r="A565" s="6">
        <v>46373</v>
      </c>
      <c r="B565" s="6">
        <v>46377</v>
      </c>
      <c r="C565" s="18"/>
      <c r="F565" s="14"/>
      <c r="G565" s="15"/>
      <c r="H565" s="15"/>
    </row>
    <row r="566" ht="15.75" customHeight="1">
      <c r="A566" s="6">
        <v>46374</v>
      </c>
      <c r="B566" s="6">
        <v>46378</v>
      </c>
      <c r="C566" s="18"/>
      <c r="F566" s="14"/>
      <c r="G566" s="15"/>
      <c r="H566" s="15"/>
    </row>
    <row r="567" ht="15.75" customHeight="1">
      <c r="A567" s="6">
        <v>46377</v>
      </c>
      <c r="B567" s="6">
        <v>46379</v>
      </c>
      <c r="C567" s="18"/>
      <c r="F567" s="14"/>
      <c r="G567" s="15"/>
      <c r="H567" s="15"/>
    </row>
    <row r="568" ht="15.75" customHeight="1">
      <c r="A568" s="6">
        <v>46378</v>
      </c>
      <c r="B568" s="6">
        <v>46384</v>
      </c>
      <c r="C568" s="18"/>
      <c r="F568" s="14"/>
      <c r="G568" s="15"/>
      <c r="H568" s="15"/>
    </row>
    <row r="569" ht="15.75" customHeight="1">
      <c r="A569" s="6">
        <v>46379</v>
      </c>
      <c r="B569" s="6">
        <v>46385</v>
      </c>
      <c r="C569" s="18"/>
      <c r="F569" s="14"/>
      <c r="G569" s="15"/>
      <c r="H569" s="15"/>
    </row>
    <row r="570" ht="15.75" customHeight="1">
      <c r="A570" s="6">
        <v>46384</v>
      </c>
      <c r="B570" s="6">
        <v>46386</v>
      </c>
      <c r="C570" s="18"/>
      <c r="F570" s="14"/>
      <c r="G570" s="15"/>
      <c r="H570" s="15"/>
    </row>
    <row r="571" ht="15.75" customHeight="1">
      <c r="A571" s="6">
        <v>46385</v>
      </c>
      <c r="B571" s="19">
        <v>46391</v>
      </c>
      <c r="C571" s="18"/>
      <c r="F571" s="14"/>
      <c r="G571" s="15"/>
      <c r="H571" s="15"/>
    </row>
    <row r="572" ht="15.75" customHeight="1">
      <c r="A572" s="6">
        <v>46386</v>
      </c>
      <c r="B572" s="19">
        <v>46392</v>
      </c>
      <c r="C572" s="18"/>
      <c r="F572" s="14"/>
      <c r="G572" s="15"/>
      <c r="H572" s="15"/>
    </row>
    <row r="573" ht="15.75" customHeight="1">
      <c r="A573" s="26" t="s">
        <v>127</v>
      </c>
      <c r="B573" s="27"/>
      <c r="C573" s="28">
        <f>SUM(C553:C572)</f>
        <v>0</v>
      </c>
      <c r="F573" s="14"/>
      <c r="G573" s="15"/>
      <c r="H573" s="15"/>
    </row>
  </sheetData>
  <mergeCells>
    <mergeCell ref="A2:C2"/>
    <mergeCell ref="A25:C25"/>
  </mergeCells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4CDCF-E9DA-469F-984B-61A42A08C8D1}">
  <dimension ref="A1:Q2000"/>
  <sheetViews>
    <sheetView workbookViewId="0">
      <selection activeCell="I31" sqref="I31"/>
    </sheetView>
  </sheetViews>
  <sheetFormatPr defaultRowHeight="12.75" x14ac:dyDescent="0.2"/>
  <cols>
    <col min="1" max="1" bestFit="1" width="20.5703125" customWidth="1"/>
    <col min="2" max="2" bestFit="1" width="10.140625" customWidth="1" style="10"/>
    <col min="3" max="3" bestFit="1" width="11.42578125" customWidth="1" style="1"/>
    <col min="4" max="4" bestFit="1" width="10.140625" customWidth="1" style="3"/>
    <col min="5" max="5" bestFit="1" width="10.42578125" customWidth="1"/>
    <col min="6" max="6" hidden="1" width="15.42578125" customWidth="1"/>
  </cols>
  <sheetData>
    <row r="1" ht="15" customHeight="1">
      <c r="A1" s="29" t="s">
        <v>0</v>
      </c>
      <c r="B1" s="30" t="s">
        <v>129</v>
      </c>
      <c r="C1" s="31" t="s">
        <v>130</v>
      </c>
      <c r="D1" s="32" t="s">
        <v>131</v>
      </c>
      <c r="E1" s="33" t="s">
        <v>132</v>
      </c>
      <c r="F1" s="29" t="s">
        <v>42</v>
      </c>
    </row>
    <row r="2">
      <c r="A2" s="0" t="s">
        <v>77</v>
      </c>
      <c r="B2" s="10" t="s">
        <v>133</v>
      </c>
      <c r="C2" s="1">
        <v>6786.06</v>
      </c>
      <c r="D2" s="3">
        <v>46127</v>
      </c>
      <c r="F2" s="0" t="s">
        <v>78</v>
      </c>
    </row>
    <row r="3">
      <c r="A3" s="0" t="s">
        <v>85</v>
      </c>
      <c r="B3" s="10" t="s">
        <v>134</v>
      </c>
      <c r="C3" s="1">
        <v>3329.55</v>
      </c>
      <c r="D3" s="3">
        <v>46127</v>
      </c>
      <c r="F3" s="0" t="s">
        <v>86</v>
      </c>
    </row>
    <row r="4">
      <c r="A4" s="0" t="s">
        <v>81</v>
      </c>
      <c r="B4" s="10" t="s">
        <v>135</v>
      </c>
      <c r="C4" s="1">
        <v>6564.34</v>
      </c>
      <c r="D4" s="3">
        <v>46127</v>
      </c>
      <c r="F4" s="0" t="s">
        <v>82</v>
      </c>
    </row>
    <row r="5">
      <c r="A5" s="0" t="s">
        <v>136</v>
      </c>
      <c r="B5" s="10" t="s">
        <v>137</v>
      </c>
      <c r="C5" s="1">
        <v>7939.7</v>
      </c>
      <c r="D5" s="3">
        <v>46127</v>
      </c>
      <c r="F5" s="0" t="s">
        <v>76</v>
      </c>
    </row>
    <row r="6">
      <c r="A6" s="0" t="s">
        <v>73</v>
      </c>
      <c r="B6" s="10" t="s">
        <v>137</v>
      </c>
      <c r="C6" s="1">
        <v>7939.7</v>
      </c>
      <c r="D6" s="3">
        <v>46127</v>
      </c>
      <c r="F6" s="0" t="s">
        <v>74</v>
      </c>
    </row>
    <row r="7">
      <c r="A7" s="0" t="s">
        <v>79</v>
      </c>
      <c r="B7" s="10" t="s">
        <v>135</v>
      </c>
      <c r="C7" s="1">
        <v>6301.34</v>
      </c>
      <c r="D7" s="3">
        <v>46127</v>
      </c>
      <c r="F7" s="0" t="s">
        <v>80</v>
      </c>
    </row>
    <row r="8">
      <c r="A8" s="0" t="s">
        <v>87</v>
      </c>
      <c r="B8" s="10" t="s">
        <v>138</v>
      </c>
      <c r="C8" s="1">
        <v>2048.95</v>
      </c>
      <c r="D8" s="3">
        <v>46127</v>
      </c>
      <c r="F8" s="0" t="s">
        <v>88</v>
      </c>
    </row>
    <row r="9">
      <c r="A9" s="0" t="s">
        <v>61</v>
      </c>
      <c r="B9" s="10" t="s">
        <v>137</v>
      </c>
      <c r="C9" s="1">
        <v>6691.83</v>
      </c>
      <c r="D9" s="3">
        <v>46127</v>
      </c>
      <c r="F9" s="0" t="s">
        <v>62</v>
      </c>
    </row>
    <row r="10">
      <c r="A10" s="0" t="s">
        <v>136</v>
      </c>
      <c r="B10" s="11" t="s">
        <v>139</v>
      </c>
      <c r="C10" s="4">
        <v>1189.52</v>
      </c>
      <c r="D10" s="5">
        <v>46101</v>
      </c>
      <c r="F10" s="0" t="s">
        <v>76</v>
      </c>
    </row>
    <row r="11">
      <c r="A11" s="0" t="s">
        <v>73</v>
      </c>
      <c r="B11" s="11" t="s">
        <v>140</v>
      </c>
      <c r="C11" s="4">
        <v>256.12</v>
      </c>
      <c r="D11" s="5">
        <v>46101</v>
      </c>
      <c r="F11" s="0" t="s">
        <v>74</v>
      </c>
    </row>
    <row r="12">
      <c r="A12" s="0" t="s">
        <v>71</v>
      </c>
      <c r="B12" s="11" t="s">
        <v>141</v>
      </c>
      <c r="C12" s="4">
        <v>4284.73</v>
      </c>
      <c r="D12" s="5">
        <v>46097</v>
      </c>
      <c r="F12" s="0" t="s">
        <v>72</v>
      </c>
    </row>
    <row r="13">
      <c r="A13" s="0" t="s">
        <v>49</v>
      </c>
      <c r="B13" s="11" t="s">
        <v>142</v>
      </c>
      <c r="C13" s="4">
        <v>5818.64</v>
      </c>
      <c r="D13" s="5">
        <v>46097</v>
      </c>
      <c r="F13" s="0" t="s">
        <v>50</v>
      </c>
    </row>
    <row r="14">
      <c r="A14" s="50" t="s">
        <v>143</v>
      </c>
      <c r="B14" s="51"/>
      <c r="C14" s="52">
        <v>-3020.5</v>
      </c>
      <c r="D14" s="53">
        <v>46097</v>
      </c>
    </row>
    <row r="15">
      <c r="A15" s="0" t="s">
        <v>61</v>
      </c>
      <c r="B15" s="11" t="s">
        <v>142</v>
      </c>
      <c r="C15" s="4">
        <v>7171.34</v>
      </c>
      <c r="D15" s="5">
        <v>46097</v>
      </c>
      <c r="F15" s="0" t="s">
        <v>62</v>
      </c>
    </row>
    <row r="16">
      <c r="A16" s="0" t="s">
        <v>63</v>
      </c>
      <c r="B16" s="11" t="s">
        <v>142</v>
      </c>
      <c r="C16" s="4">
        <v>5652.2</v>
      </c>
      <c r="D16" s="5">
        <v>46097</v>
      </c>
      <c r="F16" s="0" t="s">
        <v>64</v>
      </c>
    </row>
    <row r="17">
      <c r="A17" s="0" t="s">
        <v>144</v>
      </c>
      <c r="B17" s="11" t="s">
        <v>142</v>
      </c>
      <c r="C17" s="4">
        <v>201.86</v>
      </c>
      <c r="D17" s="5">
        <v>46097</v>
      </c>
      <c r="F17" s="0" t="s">
        <v>105</v>
      </c>
    </row>
    <row r="18">
      <c r="A18" s="0" t="s">
        <v>145</v>
      </c>
      <c r="B18" s="11" t="s">
        <v>142</v>
      </c>
      <c r="C18" s="4">
        <v>5201.42</v>
      </c>
      <c r="D18" s="5">
        <v>46097</v>
      </c>
      <c r="F18" s="0" t="s">
        <v>60</v>
      </c>
    </row>
    <row r="19">
      <c r="A19" s="0" t="s">
        <v>65</v>
      </c>
      <c r="B19" s="11" t="s">
        <v>142</v>
      </c>
      <c r="C19" s="4">
        <v>6498.1</v>
      </c>
      <c r="D19" s="5">
        <v>46077</v>
      </c>
      <c r="F19" s="0" t="s">
        <v>66</v>
      </c>
    </row>
    <row r="20">
      <c r="A20" s="0" t="s">
        <v>65</v>
      </c>
      <c r="B20" s="11" t="s">
        <v>146</v>
      </c>
      <c r="C20" s="4">
        <v>4239.15</v>
      </c>
      <c r="D20" s="5">
        <v>46070</v>
      </c>
      <c r="F20" s="0" t="s">
        <v>66</v>
      </c>
    </row>
    <row r="21">
      <c r="A21" s="0" t="s">
        <v>61</v>
      </c>
      <c r="B21" s="11" t="s">
        <v>147</v>
      </c>
      <c r="C21" s="4">
        <v>6146.86</v>
      </c>
      <c r="D21" s="5">
        <v>46070</v>
      </c>
      <c r="F21" s="0" t="s">
        <v>62</v>
      </c>
    </row>
    <row r="22">
      <c r="A22" s="50" t="s">
        <v>143</v>
      </c>
      <c r="B22" s="51"/>
      <c r="C22" s="52">
        <v>-3020.5</v>
      </c>
      <c r="D22" s="53">
        <v>46070</v>
      </c>
    </row>
    <row r="23">
      <c r="A23" s="0" t="s">
        <v>145</v>
      </c>
      <c r="B23" s="11" t="s">
        <v>148</v>
      </c>
      <c r="C23" s="4">
        <v>6402.98</v>
      </c>
      <c r="D23" s="5">
        <v>46070</v>
      </c>
      <c r="F23" s="0" t="s">
        <v>60</v>
      </c>
    </row>
    <row r="24">
      <c r="A24" s="0" t="s">
        <v>49</v>
      </c>
      <c r="B24" s="11" t="s">
        <v>149</v>
      </c>
      <c r="C24" s="4">
        <v>6257.79</v>
      </c>
      <c r="D24" s="5">
        <v>46070</v>
      </c>
      <c r="F24" s="0" t="s">
        <v>50</v>
      </c>
    </row>
    <row r="25">
      <c r="A25" s="0" t="s">
        <v>63</v>
      </c>
      <c r="B25" s="11" t="s">
        <v>146</v>
      </c>
      <c r="C25" s="4">
        <v>4404.2</v>
      </c>
      <c r="D25" s="5">
        <v>46070</v>
      </c>
      <c r="F25" s="0" t="s">
        <v>64</v>
      </c>
    </row>
    <row r="26">
      <c r="A26" s="0" t="s">
        <v>53</v>
      </c>
      <c r="B26" s="11" t="s">
        <v>149</v>
      </c>
      <c r="C26" s="4">
        <v>3516.25</v>
      </c>
      <c r="D26" s="5">
        <v>46070</v>
      </c>
      <c r="F26" s="0" t="s">
        <v>54</v>
      </c>
    </row>
    <row r="27">
      <c r="A27" s="0" t="s">
        <v>55</v>
      </c>
      <c r="B27" s="11" t="s">
        <v>149</v>
      </c>
      <c r="C27" s="4">
        <v>5046.6</v>
      </c>
      <c r="D27" s="5">
        <v>46070</v>
      </c>
      <c r="F27" s="0" t="s">
        <v>56</v>
      </c>
    </row>
    <row r="28">
      <c r="A28" s="0" t="s">
        <v>144</v>
      </c>
      <c r="B28" s="11" t="s">
        <v>149</v>
      </c>
      <c r="C28" s="4">
        <v>6453.79</v>
      </c>
      <c r="D28" s="5">
        <v>46070</v>
      </c>
      <c r="F28" s="0" t="s">
        <v>105</v>
      </c>
    </row>
    <row r="29">
      <c r="A29" s="0" t="s">
        <v>57</v>
      </c>
      <c r="B29" s="11" t="s">
        <v>150</v>
      </c>
      <c r="C29" s="4">
        <v>1994.93</v>
      </c>
      <c r="D29" s="5">
        <v>46044</v>
      </c>
      <c r="F29" s="0" t="s">
        <v>58</v>
      </c>
    </row>
    <row r="30">
      <c r="A30" s="0" t="s">
        <v>53</v>
      </c>
      <c r="B30" s="11" t="s">
        <v>151</v>
      </c>
      <c r="C30" s="4">
        <v>7939.7</v>
      </c>
      <c r="D30" s="5">
        <v>46038</v>
      </c>
      <c r="F30" s="0" t="s">
        <v>54</v>
      </c>
    </row>
    <row r="31">
      <c r="A31" s="50" t="s">
        <v>143</v>
      </c>
      <c r="B31" s="51"/>
      <c r="C31" s="52">
        <v>-3020.5</v>
      </c>
      <c r="D31" s="53">
        <v>46038</v>
      </c>
    </row>
    <row r="32">
      <c r="A32" s="0" t="s">
        <v>55</v>
      </c>
      <c r="B32" s="11" t="s">
        <v>151</v>
      </c>
      <c r="C32" s="4">
        <v>6257.79</v>
      </c>
      <c r="D32" s="5">
        <v>46038</v>
      </c>
      <c r="F32" s="0" t="s">
        <v>56</v>
      </c>
    </row>
    <row r="33">
      <c r="A33" s="0" t="s">
        <v>49</v>
      </c>
      <c r="B33" s="11" t="s">
        <v>151</v>
      </c>
      <c r="C33" s="4">
        <v>7879</v>
      </c>
      <c r="D33" s="5">
        <v>46038</v>
      </c>
      <c r="F33" s="0" t="s">
        <v>50</v>
      </c>
    </row>
    <row r="34">
      <c r="A34" s="0" t="s">
        <v>144</v>
      </c>
      <c r="B34" s="11" t="s">
        <v>151</v>
      </c>
      <c r="C34" s="4">
        <v>6257.79</v>
      </c>
      <c r="D34" s="5">
        <v>46038</v>
      </c>
      <c r="F34" s="0" t="s">
        <v>105</v>
      </c>
    </row>
    <row r="35">
      <c r="A35" s="0" t="s">
        <v>47</v>
      </c>
      <c r="B35" s="11" t="s">
        <v>152</v>
      </c>
      <c r="C35" s="4">
        <v>-150.56</v>
      </c>
      <c r="D35" s="5">
        <v>46024</v>
      </c>
      <c r="E35" s="0" t="s">
        <v>153</v>
      </c>
      <c r="F35" s="0" t="s">
        <v>48</v>
      </c>
    </row>
    <row r="36">
      <c r="A36" s="0" t="s">
        <v>51</v>
      </c>
      <c r="B36" s="11" t="s">
        <v>154</v>
      </c>
      <c r="C36" s="4">
        <v>-26</v>
      </c>
      <c r="D36" s="5">
        <v>46024</v>
      </c>
      <c r="E36" s="0" t="s">
        <v>153</v>
      </c>
      <c r="F36" s="0" t="s">
        <v>52</v>
      </c>
    </row>
    <row r="37">
      <c r="A37" s="0" t="s">
        <v>144</v>
      </c>
      <c r="B37" s="11" t="s">
        <v>155</v>
      </c>
      <c r="C37" s="4">
        <v>-254.15</v>
      </c>
      <c r="D37" s="5">
        <v>46024</v>
      </c>
      <c r="E37" s="0" t="s">
        <v>153</v>
      </c>
      <c r="F37" s="0" t="s">
        <v>105</v>
      </c>
    </row>
    <row r="38">
      <c r="A38" s="0" t="s">
        <v>55</v>
      </c>
      <c r="B38" s="11" t="s">
        <v>156</v>
      </c>
      <c r="C38" s="4">
        <v>5248.47</v>
      </c>
      <c r="D38" s="5">
        <v>46024</v>
      </c>
      <c r="F38" s="0" t="s">
        <v>56</v>
      </c>
    </row>
    <row r="39">
      <c r="A39" s="0" t="s">
        <v>49</v>
      </c>
      <c r="B39" s="11" t="s">
        <v>154</v>
      </c>
      <c r="C39" s="4">
        <v>-31.17</v>
      </c>
      <c r="D39" s="5">
        <v>46024</v>
      </c>
      <c r="E39" s="0" t="s">
        <v>153</v>
      </c>
      <c r="F39" s="0" t="s">
        <v>50</v>
      </c>
    </row>
    <row r="40">
      <c r="A40" s="0" t="s">
        <v>43</v>
      </c>
      <c r="B40" s="11" t="s">
        <v>157</v>
      </c>
      <c r="C40" s="4">
        <v>-100.16</v>
      </c>
      <c r="D40" s="5">
        <v>46024</v>
      </c>
      <c r="E40" s="0" t="s">
        <v>153</v>
      </c>
      <c r="F40" s="0" t="s">
        <v>46</v>
      </c>
    </row>
    <row r="41">
      <c r="A41" s="0" t="s">
        <v>53</v>
      </c>
      <c r="B41" s="11" t="s">
        <v>158</v>
      </c>
      <c r="C41" s="4">
        <v>5122.38</v>
      </c>
      <c r="D41" s="5">
        <v>46006</v>
      </c>
      <c r="F41" s="0" t="s">
        <v>54</v>
      </c>
    </row>
    <row r="42">
      <c r="A42" s="0" t="s">
        <v>49</v>
      </c>
      <c r="B42" s="11" t="s">
        <v>159</v>
      </c>
      <c r="C42" s="4">
        <v>7683.57</v>
      </c>
      <c r="D42" s="5">
        <v>46006</v>
      </c>
      <c r="F42" s="0" t="s">
        <v>50</v>
      </c>
    </row>
    <row r="43">
      <c r="A43" s="50" t="s">
        <v>143</v>
      </c>
      <c r="B43" s="51"/>
      <c r="C43" s="52">
        <v>-3020.5</v>
      </c>
      <c r="D43" s="53">
        <v>46006</v>
      </c>
    </row>
    <row r="44">
      <c r="A44" s="0" t="s">
        <v>144</v>
      </c>
      <c r="B44" s="11" t="s">
        <v>159</v>
      </c>
      <c r="C44" s="4">
        <v>6212.25</v>
      </c>
      <c r="D44" s="5">
        <v>46006</v>
      </c>
      <c r="F44" s="0" t="s">
        <v>105</v>
      </c>
    </row>
    <row r="45">
      <c r="A45" s="0" t="s">
        <v>49</v>
      </c>
      <c r="B45" s="11" t="s">
        <v>154</v>
      </c>
      <c r="C45" s="4">
        <v>799.53</v>
      </c>
      <c r="D45" s="5">
        <v>45981</v>
      </c>
    </row>
    <row r="46">
      <c r="A46" s="0" t="s">
        <v>51</v>
      </c>
      <c r="B46" s="11" t="s">
        <v>154</v>
      </c>
      <c r="C46" s="4">
        <v>697.5</v>
      </c>
      <c r="D46" s="5">
        <v>45979</v>
      </c>
      <c r="F46" s="0" t="s">
        <v>52</v>
      </c>
    </row>
    <row r="47">
      <c r="A47" s="0" t="s">
        <v>144</v>
      </c>
      <c r="B47" s="11" t="s">
        <v>155</v>
      </c>
      <c r="C47" s="4">
        <v>6511.94</v>
      </c>
      <c r="D47" s="5">
        <v>45978</v>
      </c>
      <c r="F47" s="0" t="s">
        <v>105</v>
      </c>
    </row>
    <row r="48">
      <c r="A48" s="0" t="s">
        <v>43</v>
      </c>
      <c r="B48" s="11" t="s">
        <v>157</v>
      </c>
      <c r="C48" s="4">
        <v>2569.31</v>
      </c>
      <c r="D48" s="5">
        <v>45968</v>
      </c>
      <c r="F48" s="0" t="s">
        <v>46</v>
      </c>
    </row>
    <row r="49">
      <c r="A49" s="0" t="s">
        <v>47</v>
      </c>
      <c r="B49" s="11" t="s">
        <v>152</v>
      </c>
      <c r="C49" s="4">
        <v>3862.29</v>
      </c>
      <c r="D49" s="5">
        <v>45967</v>
      </c>
      <c r="F49" s="0" t="s">
        <v>48</v>
      </c>
    </row>
    <row r="50">
      <c r="A50" s="0" t="s">
        <v>144</v>
      </c>
      <c r="B50" s="11" t="s">
        <v>160</v>
      </c>
      <c r="C50" s="4">
        <v>6377.05</v>
      </c>
      <c r="D50" s="5">
        <v>45945</v>
      </c>
      <c r="F50" s="0" t="s">
        <v>105</v>
      </c>
    </row>
    <row r="51">
      <c r="A51" s="0" t="s">
        <v>161</v>
      </c>
      <c r="B51" s="11" t="s">
        <v>160</v>
      </c>
      <c r="C51" s="4">
        <v>3525.07</v>
      </c>
      <c r="D51" s="5">
        <v>45945</v>
      </c>
      <c r="F51" s="0" t="s">
        <v>97</v>
      </c>
    </row>
    <row r="52">
      <c r="A52" s="0" t="s">
        <v>144</v>
      </c>
      <c r="B52" s="11" t="s">
        <v>162</v>
      </c>
      <c r="C52" s="4">
        <v>6428.07</v>
      </c>
      <c r="D52" s="5">
        <v>45916</v>
      </c>
      <c r="F52" s="0" t="s">
        <v>105</v>
      </c>
    </row>
    <row r="53">
      <c r="A53" s="0" t="s">
        <v>161</v>
      </c>
      <c r="B53" s="11" t="s">
        <v>162</v>
      </c>
      <c r="C53" s="4">
        <v>6584.4</v>
      </c>
      <c r="D53" s="5">
        <v>45916</v>
      </c>
      <c r="F53" s="0" t="s">
        <v>97</v>
      </c>
    </row>
    <row r="54">
      <c r="A54" s="0" t="s">
        <v>161</v>
      </c>
      <c r="B54" s="11" t="s">
        <v>163</v>
      </c>
      <c r="C54" s="4">
        <v>6428.07</v>
      </c>
      <c r="D54" s="5">
        <v>45884</v>
      </c>
      <c r="F54" s="0" t="s">
        <v>97</v>
      </c>
    </row>
    <row r="55">
      <c r="A55" s="0" t="s">
        <v>144</v>
      </c>
      <c r="B55" s="11" t="s">
        <v>163</v>
      </c>
      <c r="C55" s="4">
        <v>6584.4</v>
      </c>
      <c r="D55" s="5">
        <v>45884</v>
      </c>
      <c r="F55" s="0" t="s">
        <v>105</v>
      </c>
    </row>
    <row r="56">
      <c r="A56" s="0" t="s">
        <v>144</v>
      </c>
      <c r="B56" s="11" t="s">
        <v>164</v>
      </c>
      <c r="C56" s="4">
        <v>6220.72</v>
      </c>
      <c r="D56" s="5">
        <v>45853</v>
      </c>
      <c r="F56" s="0" t="s">
        <v>105</v>
      </c>
    </row>
    <row r="57">
      <c r="A57" s="0" t="s">
        <v>49</v>
      </c>
      <c r="B57" s="11" t="s">
        <v>164</v>
      </c>
      <c r="C57" s="4">
        <v>3266.69</v>
      </c>
      <c r="D57" s="5">
        <v>45853</v>
      </c>
      <c r="F57" s="0" t="s">
        <v>50</v>
      </c>
    </row>
    <row r="58">
      <c r="A58" s="0" t="s">
        <v>161</v>
      </c>
      <c r="B58" s="11" t="s">
        <v>164</v>
      </c>
      <c r="C58" s="4">
        <v>6416.72</v>
      </c>
      <c r="D58" s="5">
        <v>45853</v>
      </c>
      <c r="F58" s="0" t="s">
        <v>97</v>
      </c>
    </row>
    <row r="59">
      <c r="A59" s="0" t="s">
        <v>165</v>
      </c>
      <c r="B59" s="11" t="s">
        <v>166</v>
      </c>
      <c r="C59" s="4">
        <v>3987.34</v>
      </c>
      <c r="D59" s="5">
        <v>45825</v>
      </c>
      <c r="F59" s="0" t="s">
        <v>117</v>
      </c>
    </row>
    <row r="60">
      <c r="A60" s="0" t="s">
        <v>49</v>
      </c>
      <c r="B60" s="11" t="s">
        <v>167</v>
      </c>
      <c r="C60" s="4">
        <v>6428.07</v>
      </c>
      <c r="D60" s="5">
        <v>45824</v>
      </c>
      <c r="F60" s="0" t="s">
        <v>50</v>
      </c>
    </row>
    <row r="61">
      <c r="A61" s="0" t="s">
        <v>161</v>
      </c>
      <c r="B61" s="11" t="s">
        <v>167</v>
      </c>
      <c r="C61" s="4">
        <v>6428.07</v>
      </c>
      <c r="D61" s="5">
        <v>45824</v>
      </c>
      <c r="F61" s="0" t="s">
        <v>97</v>
      </c>
    </row>
    <row r="62">
      <c r="A62" s="0" t="s">
        <v>144</v>
      </c>
      <c r="B62" s="11" t="s">
        <v>167</v>
      </c>
      <c r="C62" s="4">
        <v>6428.07</v>
      </c>
      <c r="D62" s="5">
        <v>45824</v>
      </c>
      <c r="F62" s="0" t="s">
        <v>105</v>
      </c>
    </row>
    <row r="63">
      <c r="A63" s="0" t="s">
        <v>168</v>
      </c>
      <c r="B63" s="11" t="s">
        <v>169</v>
      </c>
      <c r="C63" s="4">
        <v>7742.01</v>
      </c>
      <c r="D63" s="5">
        <v>45804</v>
      </c>
      <c r="E63" s="0" t="s">
        <v>153</v>
      </c>
      <c r="F63" s="0" t="s">
        <v>111</v>
      </c>
    </row>
    <row r="64">
      <c r="A64" s="0" t="s">
        <v>170</v>
      </c>
      <c r="B64" s="11" t="s">
        <v>167</v>
      </c>
      <c r="C64" s="4">
        <v>951.49</v>
      </c>
      <c r="D64" s="5">
        <v>45804</v>
      </c>
      <c r="F64" s="0" t="s">
        <v>113</v>
      </c>
    </row>
    <row r="65">
      <c r="A65" s="0" t="s">
        <v>168</v>
      </c>
      <c r="B65" s="11" t="s">
        <v>167</v>
      </c>
      <c r="C65" s="4">
        <v>1904.15</v>
      </c>
      <c r="D65" s="5">
        <v>45804</v>
      </c>
      <c r="F65" s="0" t="s">
        <v>111</v>
      </c>
    </row>
    <row r="66">
      <c r="A66" s="0" t="s">
        <v>170</v>
      </c>
      <c r="B66" s="11" t="s">
        <v>171</v>
      </c>
      <c r="C66" s="4">
        <v>7371.35</v>
      </c>
      <c r="D66" s="5">
        <v>45792</v>
      </c>
      <c r="F66" s="0" t="s">
        <v>113</v>
      </c>
    </row>
    <row r="67">
      <c r="A67" s="0" t="s">
        <v>161</v>
      </c>
      <c r="B67" s="11" t="s">
        <v>169</v>
      </c>
      <c r="C67" s="4">
        <v>6416.72</v>
      </c>
      <c r="D67" s="5">
        <v>45792</v>
      </c>
      <c r="F67" s="0" t="s">
        <v>97</v>
      </c>
    </row>
    <row r="68">
      <c r="A68" s="0" t="s">
        <v>49</v>
      </c>
      <c r="B68" s="11" t="s">
        <v>169</v>
      </c>
      <c r="C68" s="4">
        <v>6416.72</v>
      </c>
      <c r="D68" s="5">
        <v>45792</v>
      </c>
      <c r="F68" s="0" t="s">
        <v>50</v>
      </c>
    </row>
    <row r="69">
      <c r="A69" s="0" t="s">
        <v>172</v>
      </c>
      <c r="B69" s="11" t="s">
        <v>173</v>
      </c>
      <c r="C69" s="4">
        <v>1497.72</v>
      </c>
      <c r="D69" s="5">
        <v>45792</v>
      </c>
      <c r="F69" s="0" t="s">
        <v>115</v>
      </c>
    </row>
    <row r="70">
      <c r="A70" s="0" t="s">
        <v>168</v>
      </c>
      <c r="B70" s="11" t="s">
        <v>174</v>
      </c>
      <c r="C70" s="4">
        <v>255.46</v>
      </c>
      <c r="D70" s="5">
        <v>45792</v>
      </c>
      <c r="F70" s="0" t="s">
        <v>111</v>
      </c>
    </row>
    <row r="71">
      <c r="A71" s="0" t="s">
        <v>175</v>
      </c>
      <c r="B71" s="11" t="s">
        <v>169</v>
      </c>
      <c r="C71" s="4">
        <v>3847.38</v>
      </c>
      <c r="D71" s="5">
        <v>45792</v>
      </c>
      <c r="F71" s="0" t="s">
        <v>109</v>
      </c>
    </row>
    <row r="72">
      <c r="A72" s="0" t="s">
        <v>144</v>
      </c>
      <c r="B72" s="11" t="s">
        <v>169</v>
      </c>
      <c r="C72" s="4">
        <v>6220.72</v>
      </c>
      <c r="D72" s="5">
        <v>45792</v>
      </c>
      <c r="F72" s="0" t="s">
        <v>105</v>
      </c>
    </row>
    <row r="73">
      <c r="A73" s="0" t="s">
        <v>161</v>
      </c>
      <c r="B73" s="11" t="s">
        <v>176</v>
      </c>
      <c r="C73" s="4">
        <v>6428.07</v>
      </c>
      <c r="D73" s="5">
        <v>45762</v>
      </c>
      <c r="F73" s="0" t="s">
        <v>97</v>
      </c>
    </row>
    <row r="74">
      <c r="A74" s="0" t="s">
        <v>177</v>
      </c>
      <c r="B74" s="11" t="s">
        <v>176</v>
      </c>
      <c r="C74" s="4">
        <v>1660.42</v>
      </c>
      <c r="D74" s="5">
        <v>45762</v>
      </c>
      <c r="F74" s="0" t="s">
        <v>103</v>
      </c>
    </row>
    <row r="75">
      <c r="A75" s="0" t="s">
        <v>49</v>
      </c>
      <c r="B75" s="11" t="s">
        <v>176</v>
      </c>
      <c r="C75" s="4">
        <v>6428.07</v>
      </c>
      <c r="D75" s="5">
        <v>45762</v>
      </c>
      <c r="F75" s="0" t="s">
        <v>50</v>
      </c>
    </row>
    <row r="76">
      <c r="A76" s="0" t="s">
        <v>144</v>
      </c>
      <c r="B76" s="11" t="s">
        <v>176</v>
      </c>
      <c r="C76" s="4">
        <v>7210.75</v>
      </c>
      <c r="D76" s="5">
        <v>45762</v>
      </c>
      <c r="F76" s="0" t="s">
        <v>105</v>
      </c>
    </row>
    <row r="77">
      <c r="A77" s="0" t="s">
        <v>175</v>
      </c>
      <c r="B77" s="11" t="s">
        <v>178</v>
      </c>
      <c r="C77" s="4">
        <v>3948.94</v>
      </c>
      <c r="D77" s="5">
        <v>45762</v>
      </c>
      <c r="F77" s="0" t="s">
        <v>109</v>
      </c>
    </row>
    <row r="78">
      <c r="A78" s="0" t="s">
        <v>49</v>
      </c>
      <c r="B78" s="11" t="s">
        <v>179</v>
      </c>
      <c r="C78" s="4">
        <v>5962.33</v>
      </c>
      <c r="D78" s="5">
        <v>45733</v>
      </c>
      <c r="F78" s="0" t="s">
        <v>50</v>
      </c>
    </row>
    <row r="79">
      <c r="A79" s="0" t="s">
        <v>144</v>
      </c>
      <c r="B79" s="11" t="s">
        <v>179</v>
      </c>
      <c r="C79" s="4">
        <v>7371.35</v>
      </c>
      <c r="D79" s="5">
        <v>45733</v>
      </c>
      <c r="F79" s="0" t="s">
        <v>105</v>
      </c>
    </row>
    <row r="80">
      <c r="A80" s="0" t="s">
        <v>161</v>
      </c>
      <c r="B80" s="11" t="s">
        <v>179</v>
      </c>
      <c r="C80" s="4">
        <v>5806</v>
      </c>
      <c r="D80" s="5">
        <v>45733</v>
      </c>
      <c r="F80" s="0" t="s">
        <v>97</v>
      </c>
    </row>
    <row r="81">
      <c r="A81" s="0" t="s">
        <v>177</v>
      </c>
      <c r="B81" s="11" t="s">
        <v>179</v>
      </c>
      <c r="C81" s="4">
        <v>7371.35</v>
      </c>
      <c r="D81" s="5">
        <v>45733</v>
      </c>
      <c r="F81" s="0" t="s">
        <v>103</v>
      </c>
    </row>
    <row r="82">
      <c r="A82" s="0" t="s">
        <v>144</v>
      </c>
      <c r="B82" s="11" t="s">
        <v>180</v>
      </c>
      <c r="C82" s="4">
        <v>4738.73</v>
      </c>
      <c r="D82" s="5">
        <v>45706</v>
      </c>
      <c r="F82" s="0" t="s">
        <v>105</v>
      </c>
    </row>
    <row r="83">
      <c r="A83" s="0" t="s">
        <v>49</v>
      </c>
      <c r="B83" s="11" t="s">
        <v>181</v>
      </c>
      <c r="C83" s="4">
        <v>6428.07</v>
      </c>
      <c r="D83" s="5">
        <v>45706</v>
      </c>
      <c r="F83" s="0" t="s">
        <v>50</v>
      </c>
    </row>
    <row r="84">
      <c r="A84" s="0" t="s">
        <v>161</v>
      </c>
      <c r="B84" s="11" t="s">
        <v>181</v>
      </c>
      <c r="C84" s="4">
        <v>6428.07</v>
      </c>
      <c r="D84" s="5">
        <v>45706</v>
      </c>
      <c r="F84" s="0" t="s">
        <v>97</v>
      </c>
    </row>
    <row r="85">
      <c r="A85" s="0" t="s">
        <v>177</v>
      </c>
      <c r="B85" s="11" t="s">
        <v>182</v>
      </c>
      <c r="C85" s="4">
        <v>5791.78</v>
      </c>
      <c r="D85" s="5">
        <v>45706</v>
      </c>
      <c r="F85" s="0" t="s">
        <v>103</v>
      </c>
    </row>
    <row r="86">
      <c r="A86" s="0" t="s">
        <v>183</v>
      </c>
      <c r="B86" s="11" t="s">
        <v>184</v>
      </c>
      <c r="C86" s="4">
        <v>5760.99</v>
      </c>
      <c r="D86" s="5">
        <v>45701</v>
      </c>
      <c r="F86" s="0" t="s">
        <v>107</v>
      </c>
    </row>
    <row r="87">
      <c r="A87" s="0" t="s">
        <v>185</v>
      </c>
      <c r="B87" s="11" t="s">
        <v>186</v>
      </c>
      <c r="C87" s="4">
        <v>14301.62</v>
      </c>
      <c r="D87" s="5">
        <v>45687</v>
      </c>
      <c r="E87" s="0" t="s">
        <v>153</v>
      </c>
      <c r="F87" s="0" t="s">
        <v>101</v>
      </c>
    </row>
    <row r="88">
      <c r="A88" s="0" t="s">
        <v>49</v>
      </c>
      <c r="B88" s="11" t="s">
        <v>187</v>
      </c>
      <c r="C88" s="4">
        <v>6428.07</v>
      </c>
      <c r="D88" s="5">
        <v>45672</v>
      </c>
      <c r="F88" s="0" t="s">
        <v>50</v>
      </c>
    </row>
    <row r="89">
      <c r="A89" s="0" t="s">
        <v>161</v>
      </c>
      <c r="B89" s="11" t="s">
        <v>187</v>
      </c>
      <c r="C89" s="4">
        <v>7937.53</v>
      </c>
      <c r="D89" s="5">
        <v>45672</v>
      </c>
      <c r="F89" s="0" t="s">
        <v>97</v>
      </c>
    </row>
    <row r="90">
      <c r="A90" s="0" t="s">
        <v>188</v>
      </c>
      <c r="B90" s="11" t="s">
        <v>187</v>
      </c>
      <c r="C90" s="4">
        <v>6190.99</v>
      </c>
      <c r="D90" s="5">
        <v>45663</v>
      </c>
      <c r="F90" s="0" t="s">
        <v>99</v>
      </c>
    </row>
    <row r="91">
      <c r="A91" s="0" t="s">
        <v>188</v>
      </c>
      <c r="B91" s="11" t="s">
        <v>189</v>
      </c>
      <c r="C91" s="4">
        <v>1316.32</v>
      </c>
      <c r="D91" s="5">
        <v>45645</v>
      </c>
      <c r="F91" s="0" t="s">
        <v>99</v>
      </c>
    </row>
    <row r="92">
      <c r="A92" s="0" t="s">
        <v>161</v>
      </c>
      <c r="B92" s="11" t="s">
        <v>190</v>
      </c>
      <c r="C92" s="4">
        <v>7897.88</v>
      </c>
      <c r="D92" s="5">
        <v>45642</v>
      </c>
      <c r="F92" s="0" t="s">
        <v>97</v>
      </c>
    </row>
    <row r="93">
      <c r="A93" s="0" t="s">
        <v>49</v>
      </c>
      <c r="B93" s="11" t="s">
        <v>190</v>
      </c>
      <c r="C93" s="4">
        <v>6220.72</v>
      </c>
      <c r="D93" s="5">
        <v>45642</v>
      </c>
      <c r="F93" s="0" t="s">
        <v>50</v>
      </c>
    </row>
    <row r="94">
      <c r="A94" s="0" t="s">
        <v>161</v>
      </c>
      <c r="B94" s="11" t="s">
        <v>191</v>
      </c>
      <c r="C94" s="4">
        <v>789.79</v>
      </c>
      <c r="D94" s="5">
        <v>45628</v>
      </c>
      <c r="F94" s="0" t="s">
        <v>97</v>
      </c>
    </row>
    <row r="95">
      <c r="A95" s="0" t="s">
        <v>49</v>
      </c>
      <c r="B95" s="11" t="s">
        <v>192</v>
      </c>
      <c r="C95" s="4">
        <v>6428.07</v>
      </c>
      <c r="D95" s="5">
        <v>45611</v>
      </c>
      <c r="F95" s="0" t="s">
        <v>50</v>
      </c>
    </row>
    <row r="96">
      <c r="A96" s="0" t="s">
        <v>49</v>
      </c>
      <c r="B96" s="11" t="s">
        <v>193</v>
      </c>
      <c r="C96" s="4">
        <v>6182.73</v>
      </c>
      <c r="D96" s="5">
        <v>45580</v>
      </c>
      <c r="F96" s="0" t="s">
        <v>50</v>
      </c>
    </row>
    <row r="97">
      <c r="A97" s="0" t="s">
        <v>194</v>
      </c>
      <c r="B97" s="11" t="s">
        <v>193</v>
      </c>
      <c r="C97" s="4">
        <v>1236.54</v>
      </c>
      <c r="D97" s="5">
        <v>45580</v>
      </c>
      <c r="F97" s="0" t="s">
        <v>195</v>
      </c>
    </row>
    <row r="98">
      <c r="B98" s="11"/>
      <c r="C98" s="4"/>
      <c r="D98" s="5"/>
    </row>
    <row r="99">
      <c r="B99" s="11"/>
      <c r="C99" s="4"/>
      <c r="D99" s="5"/>
    </row>
    <row r="100">
      <c r="B100" s="11"/>
      <c r="C100" s="4"/>
      <c r="D100" s="5"/>
    </row>
    <row r="101">
      <c r="B101" s="11"/>
      <c r="C101" s="4"/>
      <c r="D101" s="5"/>
    </row>
    <row r="102">
      <c r="B102" s="11"/>
      <c r="C102" s="4"/>
      <c r="D102" s="5"/>
    </row>
    <row r="103">
      <c r="B103" s="11"/>
      <c r="C103" s="4"/>
      <c r="D103" s="5"/>
    </row>
    <row r="104">
      <c r="B104" s="11"/>
      <c r="C104" s="4"/>
      <c r="D104" s="5"/>
    </row>
    <row r="105">
      <c r="B105" s="11"/>
      <c r="C105" s="4"/>
      <c r="D105" s="5"/>
    </row>
    <row r="106">
      <c r="B106" s="11"/>
      <c r="C106" s="4"/>
      <c r="D106" s="5"/>
    </row>
    <row r="107">
      <c r="B107" s="11"/>
      <c r="C107" s="4"/>
      <c r="D107" s="5"/>
    </row>
    <row r="108">
      <c r="B108" s="11"/>
      <c r="C108" s="4"/>
      <c r="D108" s="5"/>
    </row>
    <row r="109">
      <c r="B109" s="11"/>
      <c r="C109" s="4"/>
      <c r="D109" s="5"/>
    </row>
    <row r="110">
      <c r="B110" s="11"/>
      <c r="C110" s="4"/>
      <c r="D110" s="5"/>
    </row>
    <row r="111">
      <c r="B111" s="11"/>
      <c r="C111" s="4"/>
      <c r="D111" s="5"/>
    </row>
    <row r="112">
      <c r="B112" s="11"/>
      <c r="C112" s="4"/>
      <c r="D112" s="5"/>
    </row>
    <row r="113">
      <c r="B113" s="11"/>
      <c r="C113" s="4"/>
      <c r="D113" s="5"/>
    </row>
    <row r="114">
      <c r="B114" s="11"/>
      <c r="C114" s="4"/>
      <c r="D114" s="5"/>
    </row>
    <row r="115">
      <c r="B115" s="11"/>
      <c r="C115" s="4"/>
      <c r="D115" s="5"/>
    </row>
    <row r="116">
      <c r="B116" s="11"/>
      <c r="C116" s="4"/>
      <c r="D116" s="5"/>
    </row>
    <row r="117">
      <c r="B117" s="11"/>
      <c r="C117" s="4"/>
      <c r="D117" s="5"/>
    </row>
    <row r="118">
      <c r="B118" s="11"/>
      <c r="C118" s="4"/>
      <c r="D118" s="5"/>
    </row>
    <row r="119">
      <c r="B119" s="11"/>
      <c r="C119" s="4"/>
      <c r="D119" s="5"/>
    </row>
    <row r="120">
      <c r="B120" s="11"/>
      <c r="C120" s="4"/>
      <c r="D120" s="5"/>
    </row>
    <row r="121">
      <c r="B121" s="11"/>
      <c r="C121" s="4"/>
      <c r="D121" s="5"/>
    </row>
    <row r="122">
      <c r="B122" s="11"/>
      <c r="C122" s="4"/>
      <c r="D122" s="5"/>
    </row>
    <row r="123">
      <c r="B123" s="11"/>
      <c r="C123" s="4"/>
      <c r="D123" s="5"/>
    </row>
    <row r="124">
      <c r="B124" s="11"/>
      <c r="C124" s="4"/>
      <c r="D124" s="5"/>
    </row>
    <row r="125">
      <c r="B125" s="11"/>
      <c r="C125" s="4"/>
      <c r="D125" s="5"/>
    </row>
    <row r="126">
      <c r="B126" s="11"/>
      <c r="C126" s="4"/>
      <c r="D126" s="5"/>
    </row>
    <row r="127">
      <c r="B127" s="11"/>
      <c r="C127" s="4"/>
      <c r="D127" s="5"/>
    </row>
    <row r="128">
      <c r="B128" s="11"/>
      <c r="C128" s="4"/>
      <c r="D128" s="5"/>
    </row>
    <row r="129">
      <c r="B129" s="11"/>
      <c r="C129" s="4"/>
      <c r="D129" s="5"/>
    </row>
    <row r="130">
      <c r="B130" s="11"/>
      <c r="C130" s="4"/>
      <c r="D130" s="5"/>
    </row>
    <row r="131">
      <c r="B131" s="11"/>
      <c r="C131" s="4"/>
      <c r="D131" s="5"/>
    </row>
    <row r="132">
      <c r="B132" s="11"/>
      <c r="C132" s="4"/>
      <c r="D132" s="5"/>
    </row>
    <row r="133">
      <c r="B133" s="11"/>
      <c r="C133" s="4"/>
      <c r="D133" s="5"/>
    </row>
    <row r="134">
      <c r="B134" s="11"/>
      <c r="C134" s="4"/>
      <c r="D134" s="5"/>
    </row>
    <row r="135">
      <c r="B135" s="11"/>
      <c r="C135" s="4"/>
      <c r="D135" s="5"/>
    </row>
    <row r="136">
      <c r="B136" s="11"/>
      <c r="C136" s="4"/>
      <c r="D136" s="5"/>
    </row>
    <row r="137">
      <c r="B137" s="11"/>
      <c r="C137" s="4"/>
      <c r="D137" s="5"/>
    </row>
    <row r="138">
      <c r="B138" s="11"/>
      <c r="C138" s="4"/>
      <c r="D138" s="5"/>
    </row>
    <row r="139">
      <c r="B139" s="11"/>
      <c r="C139" s="4"/>
      <c r="D139" s="5"/>
    </row>
    <row r="140">
      <c r="B140" s="11"/>
      <c r="C140" s="4"/>
      <c r="D140" s="5"/>
    </row>
    <row r="141">
      <c r="B141" s="11"/>
      <c r="C141" s="4"/>
      <c r="D141" s="5"/>
    </row>
    <row r="142">
      <c r="B142" s="11"/>
      <c r="C142" s="4"/>
      <c r="D142" s="5"/>
    </row>
    <row r="143">
      <c r="B143" s="11"/>
      <c r="C143" s="4"/>
      <c r="D143" s="5"/>
    </row>
    <row r="144">
      <c r="B144" s="11"/>
      <c r="C144" s="4"/>
      <c r="D144" s="5"/>
    </row>
    <row r="145">
      <c r="B145" s="11"/>
      <c r="C145" s="4"/>
      <c r="D145" s="5"/>
    </row>
    <row r="146">
      <c r="B146" s="11"/>
      <c r="C146" s="4"/>
      <c r="D146" s="5"/>
    </row>
    <row r="147">
      <c r="B147" s="11"/>
      <c r="C147" s="4"/>
      <c r="D147" s="5"/>
    </row>
    <row r="148">
      <c r="B148" s="11"/>
      <c r="C148" s="4"/>
      <c r="D148" s="5"/>
    </row>
    <row r="149">
      <c r="B149" s="11"/>
      <c r="C149" s="4"/>
      <c r="D149" s="5"/>
    </row>
    <row r="150">
      <c r="B150" s="11"/>
      <c r="C150" s="4"/>
      <c r="D150" s="5"/>
    </row>
    <row r="151">
      <c r="B151" s="11"/>
      <c r="C151" s="4"/>
      <c r="D151" s="5"/>
    </row>
    <row r="152">
      <c r="B152" s="11"/>
      <c r="C152" s="4"/>
      <c r="D152" s="5"/>
    </row>
    <row r="153">
      <c r="B153" s="11"/>
      <c r="C153" s="4"/>
      <c r="D153" s="5"/>
    </row>
    <row r="154">
      <c r="B154" s="11"/>
      <c r="C154" s="4"/>
      <c r="D154" s="5"/>
    </row>
    <row r="155">
      <c r="B155" s="11"/>
      <c r="C155" s="4"/>
      <c r="D155" s="5"/>
    </row>
    <row r="156">
      <c r="B156" s="11"/>
      <c r="C156" s="4"/>
      <c r="D156" s="5"/>
    </row>
    <row r="157">
      <c r="B157" s="11"/>
      <c r="C157" s="4"/>
      <c r="D157" s="5"/>
    </row>
    <row r="158">
      <c r="B158" s="11"/>
      <c r="C158" s="4"/>
      <c r="D158" s="5"/>
    </row>
    <row r="159">
      <c r="B159" s="11"/>
      <c r="C159" s="4"/>
      <c r="D159" s="5"/>
    </row>
    <row r="160">
      <c r="B160" s="11"/>
      <c r="C160" s="4"/>
      <c r="D160" s="5"/>
    </row>
    <row r="161">
      <c r="B161" s="11"/>
      <c r="C161" s="4"/>
      <c r="D161" s="5"/>
    </row>
    <row r="162">
      <c r="B162" s="11"/>
      <c r="C162" s="4"/>
      <c r="D162" s="5"/>
    </row>
    <row r="163">
      <c r="B163" s="11"/>
      <c r="C163" s="4"/>
      <c r="D163" s="5"/>
    </row>
    <row r="164">
      <c r="B164" s="11"/>
      <c r="C164" s="4"/>
      <c r="D164" s="5"/>
    </row>
    <row r="165">
      <c r="B165" s="11"/>
      <c r="C165" s="4"/>
      <c r="D165" s="5"/>
    </row>
    <row r="166">
      <c r="B166" s="11"/>
      <c r="C166" s="4"/>
      <c r="D166" s="5"/>
    </row>
    <row r="167">
      <c r="B167" s="11"/>
      <c r="C167" s="4"/>
      <c r="D167" s="5"/>
    </row>
    <row r="168">
      <c r="B168" s="11"/>
      <c r="C168" s="4"/>
      <c r="D168" s="5"/>
    </row>
    <row r="169">
      <c r="B169" s="11"/>
      <c r="C169" s="4"/>
      <c r="D169" s="5"/>
    </row>
    <row r="170">
      <c r="B170" s="11"/>
      <c r="C170" s="4"/>
      <c r="D170" s="5"/>
    </row>
    <row r="171">
      <c r="B171" s="11"/>
      <c r="C171" s="4"/>
      <c r="D171" s="5"/>
    </row>
    <row r="172">
      <c r="B172" s="11"/>
      <c r="C172" s="4"/>
      <c r="D172" s="5"/>
    </row>
    <row r="173">
      <c r="B173" s="11"/>
      <c r="C173" s="4"/>
      <c r="D173" s="5"/>
    </row>
    <row r="174">
      <c r="B174" s="11"/>
      <c r="C174" s="4"/>
      <c r="D174" s="5"/>
    </row>
    <row r="175">
      <c r="B175" s="11"/>
      <c r="C175" s="4"/>
      <c r="D175" s="5"/>
    </row>
    <row r="176">
      <c r="B176" s="11"/>
      <c r="C176" s="4"/>
      <c r="D176" s="5"/>
    </row>
    <row r="177">
      <c r="B177" s="11"/>
      <c r="C177" s="4"/>
      <c r="D177" s="5"/>
    </row>
    <row r="178">
      <c r="B178" s="11"/>
      <c r="C178" s="4"/>
      <c r="D178" s="5"/>
    </row>
    <row r="179">
      <c r="B179" s="11"/>
      <c r="C179" s="4"/>
      <c r="D179" s="5"/>
    </row>
    <row r="180">
      <c r="B180" s="11"/>
      <c r="C180" s="4"/>
      <c r="D180" s="5"/>
    </row>
    <row r="181">
      <c r="B181" s="11"/>
      <c r="C181" s="4"/>
      <c r="D181" s="5"/>
    </row>
    <row r="182">
      <c r="B182" s="11"/>
      <c r="C182" s="4"/>
      <c r="D182" s="5"/>
    </row>
    <row r="183">
      <c r="B183" s="11"/>
      <c r="C183" s="4"/>
      <c r="D183" s="5"/>
    </row>
    <row r="184">
      <c r="B184" s="11"/>
      <c r="C184" s="4"/>
      <c r="D184" s="5"/>
    </row>
    <row r="185">
      <c r="B185" s="11"/>
      <c r="C185" s="4"/>
      <c r="D185" s="5"/>
    </row>
    <row r="186">
      <c r="B186" s="11"/>
      <c r="C186" s="4"/>
      <c r="D186" s="5"/>
    </row>
    <row r="187">
      <c r="B187" s="11"/>
      <c r="C187" s="4"/>
      <c r="D187" s="5"/>
    </row>
    <row r="188">
      <c r="B188" s="11"/>
      <c r="C188" s="4"/>
      <c r="D188" s="5"/>
    </row>
    <row r="189">
      <c r="B189" s="11"/>
      <c r="C189" s="4"/>
      <c r="D189" s="5"/>
    </row>
    <row r="190">
      <c r="B190" s="11"/>
      <c r="C190" s="4"/>
      <c r="D190" s="5"/>
    </row>
    <row r="191">
      <c r="B191" s="11"/>
      <c r="C191" s="4"/>
      <c r="D191" s="5"/>
    </row>
    <row r="192">
      <c r="B192" s="11"/>
      <c r="C192" s="4"/>
      <c r="D192" s="5"/>
    </row>
    <row r="193">
      <c r="B193" s="11"/>
      <c r="C193" s="4"/>
      <c r="D193" s="5"/>
    </row>
    <row r="194">
      <c r="B194" s="11"/>
      <c r="C194" s="4"/>
      <c r="D194" s="5"/>
    </row>
    <row r="195">
      <c r="B195" s="11"/>
      <c r="C195" s="4"/>
      <c r="D195" s="5"/>
    </row>
    <row r="196">
      <c r="B196" s="11"/>
      <c r="C196" s="4"/>
      <c r="D196" s="5"/>
    </row>
    <row r="197">
      <c r="B197" s="11"/>
      <c r="C197" s="4"/>
      <c r="D197" s="5"/>
    </row>
    <row r="198">
      <c r="B198" s="11"/>
      <c r="C198" s="4"/>
      <c r="D198" s="5"/>
    </row>
    <row r="199">
      <c r="B199" s="11"/>
      <c r="C199" s="4"/>
      <c r="D199" s="5"/>
    </row>
    <row r="200">
      <c r="B200" s="11"/>
      <c r="C200" s="4"/>
      <c r="D200" s="5"/>
    </row>
    <row r="201">
      <c r="B201" s="11"/>
      <c r="C201" s="4"/>
      <c r="D201" s="5"/>
    </row>
    <row r="202">
      <c r="B202" s="11"/>
      <c r="C202" s="4"/>
      <c r="D202" s="5"/>
    </row>
    <row r="203">
      <c r="B203" s="11"/>
      <c r="C203" s="4"/>
      <c r="D203" s="5"/>
    </row>
    <row r="204">
      <c r="B204" s="11"/>
      <c r="C204" s="4"/>
      <c r="D204" s="5"/>
    </row>
    <row r="205">
      <c r="B205" s="11"/>
      <c r="C205" s="4"/>
      <c r="D205" s="5"/>
    </row>
    <row r="206">
      <c r="B206" s="11"/>
      <c r="C206" s="4"/>
      <c r="D206" s="5"/>
    </row>
    <row r="207">
      <c r="B207" s="11"/>
      <c r="C207" s="4"/>
      <c r="D207" s="5"/>
    </row>
    <row r="208">
      <c r="B208" s="11"/>
      <c r="C208" s="4"/>
      <c r="D208" s="5"/>
    </row>
    <row r="209">
      <c r="B209" s="11"/>
      <c r="C209" s="4"/>
      <c r="D209" s="5"/>
    </row>
    <row r="210">
      <c r="B210" s="11"/>
      <c r="C210" s="4"/>
      <c r="D210" s="5"/>
    </row>
    <row r="211">
      <c r="B211" s="11"/>
      <c r="C211" s="4"/>
      <c r="D211" s="5"/>
    </row>
    <row r="212">
      <c r="B212" s="11"/>
      <c r="C212" s="4"/>
      <c r="D212" s="5"/>
    </row>
    <row r="213">
      <c r="B213" s="11"/>
      <c r="C213" s="4"/>
      <c r="D213" s="5"/>
    </row>
    <row r="214">
      <c r="B214" s="11"/>
      <c r="C214" s="4"/>
      <c r="D214" s="5"/>
    </row>
    <row r="215">
      <c r="B215" s="11"/>
      <c r="C215" s="4"/>
      <c r="D215" s="5"/>
    </row>
    <row r="216">
      <c r="B216" s="11"/>
      <c r="C216" s="4"/>
      <c r="D216" s="5"/>
    </row>
    <row r="217">
      <c r="B217" s="11"/>
      <c r="C217" s="4"/>
      <c r="D217" s="5"/>
    </row>
    <row r="218">
      <c r="B218" s="11"/>
      <c r="C218" s="4"/>
      <c r="D218" s="5"/>
    </row>
    <row r="219">
      <c r="B219" s="11"/>
      <c r="C219" s="4"/>
      <c r="D219" s="5"/>
    </row>
    <row r="220">
      <c r="B220" s="11"/>
      <c r="C220" s="4"/>
      <c r="D220" s="5"/>
    </row>
    <row r="221">
      <c r="B221" s="11"/>
      <c r="C221" s="4"/>
      <c r="D221" s="5"/>
    </row>
    <row r="222">
      <c r="B222" s="11"/>
      <c r="C222" s="4"/>
      <c r="D222" s="5"/>
    </row>
    <row r="223">
      <c r="B223" s="11"/>
      <c r="C223" s="4"/>
      <c r="D223" s="5"/>
    </row>
    <row r="224">
      <c r="B224" s="11"/>
      <c r="C224" s="4"/>
      <c r="D224" s="5"/>
    </row>
    <row r="225">
      <c r="B225" s="11"/>
      <c r="C225" s="4"/>
      <c r="D225" s="5"/>
    </row>
    <row r="226">
      <c r="B226" s="11"/>
      <c r="C226" s="4"/>
      <c r="D226" s="5"/>
    </row>
    <row r="227">
      <c r="B227" s="11"/>
      <c r="C227" s="4"/>
      <c r="D227" s="5"/>
    </row>
    <row r="228">
      <c r="B228" s="11"/>
      <c r="C228" s="4"/>
      <c r="D228" s="5"/>
    </row>
    <row r="229">
      <c r="B229" s="11"/>
      <c r="C229" s="4"/>
      <c r="D229" s="5"/>
    </row>
    <row r="230">
      <c r="B230" s="11"/>
      <c r="C230" s="4"/>
      <c r="D230" s="5"/>
    </row>
    <row r="231">
      <c r="B231" s="11"/>
      <c r="C231" s="4"/>
      <c r="D231" s="5"/>
    </row>
    <row r="232">
      <c r="B232" s="11"/>
      <c r="C232" s="4"/>
      <c r="D232" s="5"/>
    </row>
    <row r="233">
      <c r="B233" s="11"/>
      <c r="C233" s="4"/>
      <c r="D233" s="5"/>
    </row>
    <row r="234">
      <c r="B234" s="11"/>
      <c r="C234" s="4"/>
      <c r="D234" s="5"/>
    </row>
    <row r="235">
      <c r="B235" s="11"/>
      <c r="C235" s="4"/>
      <c r="D235" s="5"/>
    </row>
    <row r="236">
      <c r="B236" s="11"/>
      <c r="C236" s="4"/>
      <c r="D236" s="5"/>
    </row>
    <row r="237">
      <c r="B237" s="11"/>
      <c r="C237" s="4"/>
      <c r="D237" s="5"/>
    </row>
    <row r="238">
      <c r="B238" s="11"/>
      <c r="C238" s="4"/>
      <c r="D238" s="5"/>
    </row>
    <row r="239">
      <c r="B239" s="11"/>
      <c r="C239" s="4"/>
      <c r="D239" s="5"/>
    </row>
    <row r="240">
      <c r="B240" s="11"/>
      <c r="C240" s="4"/>
      <c r="D240" s="5"/>
    </row>
    <row r="241">
      <c r="B241" s="11"/>
      <c r="C241" s="4"/>
      <c r="D241" s="5"/>
    </row>
    <row r="242">
      <c r="B242" s="11"/>
      <c r="C242" s="4"/>
      <c r="D242" s="5"/>
    </row>
    <row r="243">
      <c r="B243" s="11"/>
      <c r="C243" s="4"/>
      <c r="D243" s="5"/>
    </row>
    <row r="244">
      <c r="B244" s="11"/>
      <c r="C244" s="4"/>
      <c r="D244" s="5"/>
    </row>
    <row r="245">
      <c r="B245" s="11"/>
      <c r="C245" s="4"/>
      <c r="D245" s="5"/>
    </row>
    <row r="246">
      <c r="B246" s="11"/>
      <c r="C246" s="4"/>
      <c r="D246" s="5"/>
    </row>
    <row r="247">
      <c r="B247" s="11"/>
      <c r="C247" s="4"/>
      <c r="D247" s="5"/>
    </row>
    <row r="248">
      <c r="B248" s="11"/>
      <c r="C248" s="4"/>
      <c r="D248" s="5"/>
    </row>
    <row r="249">
      <c r="B249" s="11"/>
      <c r="C249" s="4"/>
      <c r="D249" s="5"/>
    </row>
    <row r="250">
      <c r="B250" s="11"/>
      <c r="C250" s="4"/>
      <c r="D250" s="5"/>
    </row>
    <row r="251">
      <c r="B251" s="11"/>
      <c r="C251" s="4"/>
      <c r="D251" s="5"/>
    </row>
    <row r="252">
      <c r="B252" s="11"/>
      <c r="C252" s="4"/>
      <c r="D252" s="5"/>
    </row>
    <row r="253">
      <c r="B253" s="11"/>
      <c r="C253" s="4"/>
      <c r="D253" s="5"/>
    </row>
    <row r="254">
      <c r="B254" s="11"/>
      <c r="C254" s="4"/>
      <c r="D254" s="5"/>
    </row>
    <row r="255">
      <c r="B255" s="11"/>
      <c r="C255" s="4"/>
      <c r="D255" s="5"/>
    </row>
    <row r="256">
      <c r="B256" s="11"/>
      <c r="C256" s="4"/>
      <c r="D256" s="5"/>
    </row>
    <row r="257">
      <c r="B257" s="11"/>
      <c r="C257" s="4"/>
      <c r="D257" s="5"/>
    </row>
    <row r="258">
      <c r="B258" s="11"/>
      <c r="C258" s="4"/>
      <c r="D258" s="5"/>
    </row>
    <row r="259">
      <c r="B259" s="11"/>
      <c r="C259" s="4"/>
      <c r="D259" s="5"/>
    </row>
    <row r="260">
      <c r="B260" s="11"/>
      <c r="C260" s="4"/>
      <c r="D260" s="5"/>
    </row>
    <row r="261">
      <c r="B261" s="11"/>
      <c r="C261" s="4"/>
      <c r="D261" s="5"/>
    </row>
    <row r="262">
      <c r="B262" s="11"/>
      <c r="C262" s="4"/>
      <c r="D262" s="5"/>
    </row>
    <row r="263">
      <c r="B263" s="11"/>
      <c r="C263" s="4"/>
      <c r="D263" s="5"/>
    </row>
    <row r="264">
      <c r="B264" s="11"/>
      <c r="C264" s="4"/>
      <c r="D264" s="5"/>
    </row>
    <row r="265">
      <c r="B265" s="11"/>
      <c r="C265" s="4"/>
      <c r="D265" s="5"/>
    </row>
    <row r="266">
      <c r="B266" s="11"/>
      <c r="C266" s="4"/>
      <c r="D266" s="5"/>
    </row>
    <row r="267">
      <c r="B267" s="11"/>
      <c r="C267" s="4"/>
      <c r="D267" s="5"/>
    </row>
    <row r="268">
      <c r="B268" s="11"/>
      <c r="C268" s="4"/>
      <c r="D268" s="5"/>
    </row>
    <row r="269">
      <c r="B269" s="11"/>
      <c r="C269" s="4"/>
      <c r="D269" s="5"/>
    </row>
    <row r="270">
      <c r="B270" s="11"/>
      <c r="C270" s="4"/>
      <c r="D270" s="5"/>
    </row>
    <row r="271">
      <c r="B271" s="11"/>
      <c r="C271" s="4"/>
      <c r="D271" s="5"/>
    </row>
    <row r="272">
      <c r="B272" s="11"/>
      <c r="C272" s="4"/>
      <c r="D272" s="5"/>
    </row>
    <row r="273">
      <c r="B273" s="11"/>
      <c r="C273" s="4"/>
      <c r="D273" s="5"/>
    </row>
    <row r="274">
      <c r="B274" s="11"/>
      <c r="C274" s="4"/>
      <c r="D274" s="5"/>
    </row>
    <row r="275">
      <c r="B275" s="11"/>
      <c r="C275" s="4"/>
      <c r="D275" s="5"/>
    </row>
    <row r="276">
      <c r="B276" s="11"/>
      <c r="C276" s="4"/>
      <c r="D276" s="5"/>
    </row>
    <row r="277">
      <c r="B277" s="11"/>
      <c r="C277" s="4"/>
      <c r="D277" s="5"/>
    </row>
    <row r="278">
      <c r="B278" s="11"/>
      <c r="C278" s="4"/>
      <c r="D278" s="5"/>
    </row>
    <row r="279">
      <c r="B279" s="11"/>
      <c r="C279" s="4"/>
      <c r="D279" s="5"/>
    </row>
    <row r="280">
      <c r="B280" s="11"/>
      <c r="C280" s="4"/>
      <c r="D280" s="5"/>
    </row>
    <row r="281">
      <c r="B281" s="11"/>
      <c r="C281" s="4"/>
      <c r="D281" s="5"/>
    </row>
    <row r="282">
      <c r="B282" s="11"/>
      <c r="C282" s="4"/>
      <c r="D282" s="5"/>
    </row>
    <row r="283">
      <c r="B283" s="11"/>
      <c r="C283" s="4"/>
      <c r="D283" s="5"/>
    </row>
    <row r="284">
      <c r="B284" s="11"/>
      <c r="C284" s="4"/>
      <c r="D284" s="5"/>
    </row>
    <row r="285">
      <c r="B285" s="11"/>
      <c r="C285" s="4"/>
      <c r="D285" s="5"/>
    </row>
    <row r="286">
      <c r="B286" s="11"/>
      <c r="C286" s="4"/>
      <c r="D286" s="5"/>
    </row>
    <row r="287">
      <c r="B287" s="11"/>
      <c r="C287" s="4"/>
      <c r="D287" s="5"/>
    </row>
    <row r="288">
      <c r="B288" s="11"/>
      <c r="C288" s="4"/>
      <c r="D288" s="5"/>
    </row>
    <row r="289">
      <c r="B289" s="11"/>
      <c r="C289" s="4"/>
      <c r="D289" s="5"/>
    </row>
    <row r="290">
      <c r="B290" s="11"/>
      <c r="C290" s="4"/>
      <c r="D290" s="5"/>
    </row>
    <row r="291">
      <c r="B291" s="11"/>
      <c r="C291" s="4"/>
      <c r="D291" s="5"/>
    </row>
    <row r="292">
      <c r="B292" s="11"/>
      <c r="C292" s="4"/>
      <c r="D292" s="5"/>
    </row>
    <row r="293">
      <c r="B293" s="11"/>
      <c r="C293" s="4"/>
      <c r="D293" s="5"/>
    </row>
    <row r="294">
      <c r="B294" s="11"/>
      <c r="C294" s="4"/>
      <c r="D294" s="5"/>
    </row>
    <row r="295">
      <c r="B295" s="11"/>
      <c r="C295" s="4"/>
      <c r="D295" s="5"/>
    </row>
    <row r="296">
      <c r="B296" s="11"/>
      <c r="C296" s="4"/>
      <c r="D296" s="5"/>
    </row>
    <row r="297">
      <c r="B297" s="11"/>
      <c r="C297" s="4"/>
      <c r="D297" s="5"/>
    </row>
    <row r="298">
      <c r="B298" s="11"/>
      <c r="C298" s="4"/>
      <c r="D298" s="5"/>
    </row>
    <row r="299">
      <c r="B299" s="11"/>
      <c r="C299" s="4"/>
      <c r="D299" s="5"/>
    </row>
    <row r="300">
      <c r="B300" s="11"/>
      <c r="C300" s="4"/>
      <c r="D300" s="5"/>
    </row>
    <row r="301">
      <c r="B301" s="11"/>
      <c r="C301" s="4"/>
      <c r="D301" s="5"/>
    </row>
    <row r="302">
      <c r="B302" s="11"/>
      <c r="C302" s="4"/>
      <c r="D302" s="5"/>
    </row>
    <row r="303">
      <c r="B303" s="11"/>
      <c r="C303" s="4"/>
      <c r="D303" s="5"/>
    </row>
    <row r="304">
      <c r="B304" s="11"/>
      <c r="C304" s="4"/>
      <c r="D304" s="5"/>
    </row>
    <row r="305">
      <c r="B305" s="11"/>
      <c r="C305" s="4"/>
      <c r="D305" s="5"/>
    </row>
    <row r="306">
      <c r="B306" s="11"/>
      <c r="C306" s="4"/>
      <c r="D306" s="5"/>
    </row>
    <row r="307">
      <c r="B307" s="11"/>
      <c r="C307" s="4"/>
      <c r="D307" s="5"/>
    </row>
    <row r="308">
      <c r="B308" s="11"/>
      <c r="C308" s="4"/>
      <c r="D308" s="5"/>
    </row>
    <row r="309">
      <c r="B309" s="11"/>
      <c r="C309" s="4"/>
      <c r="D309" s="5"/>
    </row>
    <row r="310">
      <c r="B310" s="11"/>
      <c r="C310" s="4"/>
      <c r="D310" s="5"/>
    </row>
    <row r="311">
      <c r="B311" s="11"/>
      <c r="C311" s="4"/>
      <c r="D311" s="5"/>
    </row>
    <row r="312">
      <c r="B312" s="11"/>
      <c r="C312" s="4"/>
      <c r="D312" s="5"/>
    </row>
    <row r="313">
      <c r="B313" s="11"/>
      <c r="C313" s="4"/>
      <c r="D313" s="5"/>
    </row>
    <row r="314">
      <c r="B314" s="11"/>
      <c r="C314" s="4"/>
      <c r="D314" s="5"/>
    </row>
    <row r="315">
      <c r="B315" s="11"/>
      <c r="C315" s="4"/>
      <c r="D315" s="5"/>
    </row>
    <row r="316">
      <c r="B316" s="11"/>
      <c r="C316" s="4"/>
      <c r="D316" s="5"/>
    </row>
    <row r="317">
      <c r="B317" s="11"/>
      <c r="C317" s="4"/>
      <c r="D317" s="5"/>
    </row>
    <row r="318">
      <c r="B318" s="11"/>
      <c r="C318" s="4"/>
      <c r="D318" s="5"/>
    </row>
    <row r="319">
      <c r="B319" s="11"/>
      <c r="C319" s="4"/>
      <c r="D319" s="5"/>
    </row>
    <row r="320">
      <c r="B320" s="11"/>
      <c r="C320" s="4"/>
      <c r="D320" s="5"/>
    </row>
    <row r="321">
      <c r="B321" s="11"/>
      <c r="C321" s="4"/>
      <c r="D321" s="5"/>
    </row>
    <row r="322">
      <c r="B322" s="11"/>
      <c r="C322" s="4"/>
      <c r="D322" s="5"/>
    </row>
    <row r="323">
      <c r="B323" s="11"/>
      <c r="C323" s="4"/>
      <c r="D323" s="5"/>
    </row>
    <row r="324">
      <c r="B324" s="11"/>
      <c r="C324" s="4"/>
      <c r="D324" s="5"/>
    </row>
    <row r="325">
      <c r="B325" s="11"/>
      <c r="C325" s="4"/>
      <c r="D325" s="5"/>
    </row>
    <row r="326">
      <c r="B326" s="11"/>
      <c r="C326" s="4"/>
      <c r="D326" s="5"/>
    </row>
    <row r="327">
      <c r="B327" s="11"/>
      <c r="C327" s="4"/>
      <c r="D327" s="5"/>
    </row>
    <row r="328">
      <c r="B328" s="11"/>
      <c r="C328" s="4"/>
      <c r="D328" s="5"/>
    </row>
    <row r="329">
      <c r="B329" s="11"/>
      <c r="C329" s="4"/>
      <c r="D329" s="5"/>
    </row>
    <row r="330">
      <c r="B330" s="11"/>
      <c r="C330" s="4"/>
      <c r="D330" s="5"/>
    </row>
    <row r="331">
      <c r="B331" s="11"/>
      <c r="C331" s="4"/>
      <c r="D331" s="5"/>
    </row>
    <row r="332">
      <c r="B332" s="11"/>
      <c r="C332" s="4"/>
      <c r="D332" s="5"/>
    </row>
    <row r="333">
      <c r="B333" s="11"/>
      <c r="C333" s="4"/>
      <c r="D333" s="5"/>
    </row>
    <row r="334">
      <c r="B334" s="11"/>
      <c r="C334" s="4"/>
      <c r="D334" s="5"/>
    </row>
    <row r="335">
      <c r="B335" s="11"/>
      <c r="C335" s="4"/>
      <c r="D335" s="5"/>
    </row>
    <row r="336">
      <c r="B336" s="11"/>
      <c r="C336" s="4"/>
      <c r="D336" s="5"/>
    </row>
    <row r="337">
      <c r="B337" s="11"/>
      <c r="C337" s="4"/>
      <c r="D337" s="5"/>
    </row>
    <row r="338">
      <c r="B338" s="11"/>
      <c r="C338" s="4"/>
      <c r="D338" s="5"/>
    </row>
    <row r="339">
      <c r="B339" s="11"/>
      <c r="C339" s="4"/>
      <c r="D339" s="5"/>
    </row>
    <row r="340">
      <c r="B340" s="11"/>
      <c r="C340" s="4"/>
      <c r="D340" s="5"/>
    </row>
    <row r="341">
      <c r="B341" s="11"/>
      <c r="C341" s="4"/>
      <c r="D341" s="5"/>
    </row>
    <row r="342">
      <c r="B342" s="11"/>
      <c r="C342" s="4"/>
      <c r="D342" s="5"/>
    </row>
    <row r="343">
      <c r="B343" s="11"/>
      <c r="C343" s="4"/>
      <c r="D343" s="5"/>
    </row>
    <row r="344">
      <c r="B344" s="11"/>
      <c r="C344" s="4"/>
      <c r="D344" s="5"/>
    </row>
    <row r="345">
      <c r="B345" s="11"/>
      <c r="C345" s="4"/>
      <c r="D345" s="5"/>
    </row>
    <row r="346">
      <c r="B346" s="11"/>
      <c r="C346" s="4"/>
      <c r="D346" s="5"/>
    </row>
    <row r="347">
      <c r="B347" s="11"/>
      <c r="C347" s="4"/>
      <c r="D347" s="5"/>
      <c r="H347" s="1"/>
    </row>
    <row r="348">
      <c r="B348" s="11"/>
      <c r="C348" s="4"/>
      <c r="D348" s="5"/>
    </row>
    <row r="349">
      <c r="B349" s="11"/>
      <c r="C349" s="4"/>
      <c r="D349" s="5"/>
    </row>
    <row r="350">
      <c r="B350" s="11"/>
      <c r="C350" s="4"/>
      <c r="D350" s="5"/>
    </row>
    <row r="351">
      <c r="B351" s="11"/>
      <c r="C351" s="4"/>
      <c r="D351" s="5"/>
    </row>
    <row r="352">
      <c r="B352" s="11"/>
      <c r="C352" s="4"/>
      <c r="D352" s="5"/>
    </row>
    <row r="353">
      <c r="B353" s="11"/>
      <c r="C353" s="4"/>
      <c r="D353" s="5"/>
    </row>
    <row r="354">
      <c r="B354" s="11"/>
      <c r="C354" s="4"/>
      <c r="D354" s="5"/>
    </row>
    <row r="355">
      <c r="B355" s="11"/>
      <c r="C355" s="4"/>
      <c r="D355" s="5"/>
    </row>
    <row r="356">
      <c r="B356" s="11"/>
      <c r="C356" s="4"/>
      <c r="D356" s="5"/>
    </row>
    <row r="357">
      <c r="B357" s="11"/>
      <c r="C357" s="4"/>
      <c r="D357" s="5"/>
    </row>
    <row r="358">
      <c r="B358" s="11"/>
      <c r="C358" s="4"/>
      <c r="D358" s="5"/>
    </row>
    <row r="359">
      <c r="B359" s="11"/>
      <c r="C359" s="4"/>
      <c r="D359" s="5"/>
    </row>
    <row r="360">
      <c r="B360" s="11"/>
      <c r="C360" s="4"/>
      <c r="D360" s="5"/>
    </row>
    <row r="361">
      <c r="B361" s="11"/>
      <c r="C361" s="4"/>
      <c r="D361" s="5"/>
    </row>
    <row r="362">
      <c r="B362" s="11"/>
      <c r="C362" s="4"/>
      <c r="D362" s="5"/>
    </row>
    <row r="363">
      <c r="B363" s="11"/>
      <c r="C363" s="4"/>
      <c r="D363" s="5"/>
    </row>
    <row r="364">
      <c r="B364" s="11"/>
      <c r="C364" s="4"/>
      <c r="D364" s="5"/>
    </row>
    <row r="365">
      <c r="B365" s="11"/>
      <c r="C365" s="4"/>
      <c r="D365" s="5"/>
    </row>
    <row r="366">
      <c r="B366" s="11"/>
      <c r="C366" s="4"/>
      <c r="D366" s="5"/>
    </row>
    <row r="367">
      <c r="B367" s="11"/>
      <c r="C367" s="4"/>
      <c r="D367" s="5"/>
    </row>
    <row r="368">
      <c r="B368" s="11"/>
      <c r="C368" s="4"/>
      <c r="D368" s="5"/>
    </row>
    <row r="369">
      <c r="B369" s="11"/>
      <c r="C369" s="4"/>
      <c r="D369" s="5"/>
    </row>
    <row r="370">
      <c r="B370" s="11"/>
      <c r="C370" s="4"/>
      <c r="D370" s="5"/>
    </row>
    <row r="371">
      <c r="B371" s="11"/>
      <c r="C371" s="4"/>
      <c r="D371" s="5"/>
    </row>
    <row r="372">
      <c r="B372" s="11"/>
      <c r="C372" s="4"/>
      <c r="D372" s="5"/>
    </row>
    <row r="373">
      <c r="B373" s="11"/>
      <c r="C373" s="4"/>
      <c r="D373" s="5"/>
    </row>
    <row r="374">
      <c r="B374" s="11"/>
      <c r="C374" s="4"/>
      <c r="D374" s="5"/>
    </row>
    <row r="375">
      <c r="B375" s="11"/>
      <c r="C375" s="4"/>
      <c r="D375" s="5"/>
    </row>
    <row r="376">
      <c r="B376" s="11"/>
      <c r="C376" s="4"/>
      <c r="D376" s="5"/>
    </row>
    <row r="377">
      <c r="B377" s="11"/>
      <c r="C377" s="4"/>
      <c r="D377" s="5"/>
    </row>
    <row r="378">
      <c r="B378" s="11"/>
      <c r="C378" s="4"/>
      <c r="D378" s="5"/>
    </row>
    <row r="379">
      <c r="B379" s="11"/>
      <c r="C379" s="4"/>
      <c r="D379" s="5"/>
    </row>
    <row r="380">
      <c r="B380" s="11"/>
      <c r="C380" s="4"/>
      <c r="D380" s="5"/>
    </row>
    <row r="381">
      <c r="B381" s="11"/>
      <c r="C381" s="4"/>
      <c r="D381" s="5"/>
    </row>
    <row r="382">
      <c r="B382" s="11"/>
      <c r="C382" s="4"/>
      <c r="D382" s="5"/>
    </row>
    <row r="383">
      <c r="B383" s="11"/>
      <c r="C383" s="4"/>
      <c r="D383" s="5"/>
    </row>
    <row r="384">
      <c r="B384" s="11"/>
      <c r="C384" s="4"/>
      <c r="D384" s="5"/>
    </row>
    <row r="385">
      <c r="B385" s="11"/>
      <c r="C385" s="4"/>
      <c r="D385" s="5"/>
    </row>
    <row r="386">
      <c r="B386" s="11"/>
      <c r="C386" s="4"/>
      <c r="D386" s="5"/>
    </row>
    <row r="387">
      <c r="B387" s="11"/>
      <c r="C387" s="4"/>
      <c r="D387" s="5"/>
    </row>
    <row r="388">
      <c r="B388" s="11"/>
      <c r="C388" s="4"/>
      <c r="D388" s="5"/>
    </row>
    <row r="389">
      <c r="B389" s="11"/>
      <c r="C389" s="4"/>
      <c r="D389" s="5"/>
    </row>
    <row r="390">
      <c r="B390" s="11"/>
      <c r="C390" s="4"/>
      <c r="D390" s="5"/>
    </row>
    <row r="391">
      <c r="B391" s="11"/>
      <c r="C391" s="4"/>
      <c r="D391" s="5"/>
    </row>
    <row r="392">
      <c r="B392" s="11"/>
      <c r="C392" s="4"/>
      <c r="D392" s="5"/>
    </row>
    <row r="393">
      <c r="B393" s="11"/>
      <c r="C393" s="4"/>
      <c r="D393" s="5"/>
    </row>
    <row r="394">
      <c r="B394" s="11"/>
      <c r="C394" s="4"/>
      <c r="D394" s="5"/>
    </row>
    <row r="395">
      <c r="B395" s="11"/>
      <c r="C395" s="4"/>
      <c r="D395" s="5"/>
    </row>
    <row r="396">
      <c r="B396" s="11"/>
      <c r="C396" s="4"/>
      <c r="D396" s="5"/>
    </row>
    <row r="397">
      <c r="B397" s="11"/>
      <c r="C397" s="4"/>
      <c r="D397" s="5"/>
    </row>
    <row r="398">
      <c r="B398" s="11"/>
      <c r="C398" s="4"/>
      <c r="D398" s="5"/>
    </row>
    <row r="399">
      <c r="B399" s="11"/>
      <c r="C399" s="4"/>
      <c r="D399" s="5"/>
    </row>
    <row r="400">
      <c r="B400" s="11"/>
      <c r="C400" s="4"/>
      <c r="D400" s="5"/>
    </row>
    <row r="401">
      <c r="B401" s="11"/>
      <c r="C401" s="4"/>
      <c r="D401" s="5"/>
    </row>
    <row r="402">
      <c r="B402" s="11"/>
      <c r="C402" s="4"/>
      <c r="D402" s="5"/>
    </row>
    <row r="403">
      <c r="B403" s="11"/>
      <c r="C403" s="4"/>
      <c r="D403" s="5"/>
    </row>
    <row r="404">
      <c r="B404" s="11"/>
      <c r="C404" s="4"/>
      <c r="D404" s="5"/>
    </row>
    <row r="405">
      <c r="B405" s="11"/>
      <c r="C405" s="4"/>
      <c r="D405" s="5"/>
    </row>
    <row r="406">
      <c r="B406" s="11"/>
      <c r="C406" s="4"/>
      <c r="D406" s="5"/>
    </row>
    <row r="407">
      <c r="B407" s="11"/>
      <c r="C407" s="4"/>
      <c r="D407" s="5"/>
    </row>
    <row r="408">
      <c r="B408" s="11"/>
      <c r="C408" s="4"/>
      <c r="D408" s="5"/>
    </row>
    <row r="409">
      <c r="B409" s="11"/>
      <c r="C409" s="4"/>
      <c r="D409" s="5"/>
    </row>
    <row r="410">
      <c r="B410" s="11"/>
      <c r="C410" s="4"/>
      <c r="D410" s="5"/>
    </row>
    <row r="411">
      <c r="B411" s="11"/>
      <c r="C411" s="4"/>
      <c r="D411" s="5"/>
    </row>
    <row r="412">
      <c r="B412" s="11"/>
      <c r="C412" s="4"/>
      <c r="D412" s="5"/>
      <c r="H412" s="1"/>
    </row>
    <row r="413">
      <c r="B413" s="11"/>
      <c r="C413" s="4"/>
      <c r="D413" s="5"/>
    </row>
    <row r="414">
      <c r="B414" s="11"/>
      <c r="C414" s="4"/>
      <c r="D414" s="5"/>
    </row>
    <row r="415">
      <c r="B415" s="11"/>
      <c r="C415" s="4"/>
      <c r="D415" s="5"/>
    </row>
    <row r="416">
      <c r="B416" s="11"/>
      <c r="C416" s="4"/>
      <c r="D416" s="5"/>
    </row>
    <row r="417">
      <c r="B417" s="11"/>
      <c r="C417" s="4"/>
      <c r="D417" s="5"/>
    </row>
    <row r="418">
      <c r="B418" s="11"/>
      <c r="C418" s="4"/>
      <c r="D418" s="5"/>
    </row>
    <row r="419">
      <c r="B419" s="11"/>
      <c r="C419" s="4"/>
      <c r="D419" s="5"/>
    </row>
    <row r="420">
      <c r="B420" s="11"/>
      <c r="C420" s="4"/>
      <c r="D420" s="5"/>
    </row>
    <row r="421">
      <c r="B421" s="11"/>
      <c r="C421" s="4"/>
      <c r="D421" s="5"/>
    </row>
    <row r="422">
      <c r="B422" s="11"/>
      <c r="C422" s="4"/>
      <c r="D422" s="5"/>
    </row>
    <row r="423">
      <c r="B423" s="11"/>
      <c r="C423" s="4"/>
      <c r="D423" s="5"/>
    </row>
    <row r="424">
      <c r="B424" s="11"/>
      <c r="C424" s="4"/>
      <c r="D424" s="5"/>
    </row>
    <row r="425">
      <c r="B425" s="11"/>
      <c r="C425" s="4"/>
      <c r="D425" s="5"/>
    </row>
    <row r="426">
      <c r="B426" s="11"/>
      <c r="C426" s="4"/>
      <c r="D426" s="5"/>
    </row>
    <row r="427">
      <c r="B427" s="11"/>
      <c r="C427" s="4"/>
      <c r="D427" s="5"/>
    </row>
    <row r="428">
      <c r="B428" s="11"/>
      <c r="C428" s="4"/>
      <c r="D428" s="5"/>
    </row>
    <row r="429">
      <c r="B429" s="11"/>
      <c r="C429" s="4"/>
      <c r="D429" s="5"/>
    </row>
    <row r="430">
      <c r="B430" s="11"/>
      <c r="C430" s="4"/>
      <c r="D430" s="5"/>
    </row>
    <row r="431">
      <c r="B431" s="11"/>
      <c r="C431" s="4"/>
      <c r="D431" s="5"/>
    </row>
    <row r="432">
      <c r="B432" s="11"/>
      <c r="C432" s="4"/>
      <c r="D432" s="5"/>
    </row>
    <row r="433">
      <c r="B433" s="11"/>
      <c r="C433" s="4"/>
      <c r="D433" s="5"/>
    </row>
    <row r="434">
      <c r="B434" s="11"/>
      <c r="C434" s="4"/>
      <c r="D434" s="5"/>
    </row>
    <row r="435">
      <c r="B435" s="11"/>
      <c r="C435" s="4"/>
      <c r="D435" s="5"/>
    </row>
    <row r="436">
      <c r="B436" s="11"/>
      <c r="C436" s="4"/>
      <c r="D436" s="5"/>
    </row>
    <row r="437">
      <c r="B437" s="11"/>
      <c r="C437" s="4"/>
      <c r="D437" s="5"/>
    </row>
    <row r="438">
      <c r="B438" s="11"/>
      <c r="C438" s="4"/>
      <c r="D438" s="5"/>
    </row>
    <row r="439">
      <c r="B439" s="11"/>
      <c r="C439" s="4"/>
      <c r="D439" s="5"/>
    </row>
    <row r="440">
      <c r="B440" s="11"/>
      <c r="C440" s="4"/>
      <c r="D440" s="5"/>
    </row>
    <row r="441">
      <c r="B441" s="11"/>
      <c r="C441" s="4"/>
      <c r="D441" s="5"/>
    </row>
    <row r="442">
      <c r="B442" s="11"/>
      <c r="C442" s="4"/>
      <c r="D442" s="5"/>
    </row>
    <row r="443">
      <c r="B443" s="11"/>
      <c r="C443" s="4"/>
      <c r="D443" s="5"/>
    </row>
    <row r="444">
      <c r="B444" s="11"/>
      <c r="C444" s="4"/>
      <c r="D444" s="5"/>
    </row>
    <row r="445">
      <c r="B445" s="11"/>
      <c r="C445" s="4"/>
      <c r="D445" s="5"/>
    </row>
    <row r="446">
      <c r="B446" s="11"/>
      <c r="C446" s="4"/>
      <c r="D446" s="5"/>
    </row>
    <row r="447">
      <c r="B447" s="11"/>
      <c r="C447" s="4"/>
      <c r="D447" s="5"/>
    </row>
    <row r="448">
      <c r="B448" s="11"/>
      <c r="C448" s="4"/>
      <c r="D448" s="5"/>
    </row>
    <row r="449">
      <c r="B449" s="11"/>
      <c r="C449" s="4"/>
      <c r="D449" s="5"/>
    </row>
    <row r="450">
      <c r="B450" s="11"/>
      <c r="C450" s="4"/>
      <c r="D450" s="5"/>
    </row>
    <row r="451">
      <c r="B451" s="11"/>
      <c r="C451" s="4"/>
      <c r="D451" s="5"/>
    </row>
    <row r="452">
      <c r="B452" s="11"/>
      <c r="C452" s="4"/>
      <c r="D452" s="5"/>
    </row>
    <row r="453">
      <c r="B453" s="11"/>
      <c r="C453" s="4"/>
      <c r="D453" s="5"/>
    </row>
    <row r="454">
      <c r="B454" s="11"/>
      <c r="C454" s="4"/>
      <c r="D454" s="5"/>
    </row>
    <row r="455">
      <c r="B455" s="11"/>
      <c r="C455" s="4"/>
      <c r="D455" s="5"/>
    </row>
    <row r="456">
      <c r="B456" s="11"/>
      <c r="C456" s="4"/>
      <c r="D456" s="5"/>
    </row>
    <row r="457">
      <c r="B457" s="11"/>
      <c r="C457" s="4"/>
      <c r="D457" s="5"/>
    </row>
    <row r="458">
      <c r="B458" s="11"/>
      <c r="C458" s="4"/>
      <c r="D458" s="5"/>
    </row>
    <row r="459">
      <c r="B459" s="11"/>
      <c r="C459" s="4"/>
      <c r="D459" s="5"/>
    </row>
    <row r="460">
      <c r="B460" s="11"/>
      <c r="C460" s="4"/>
      <c r="D460" s="5"/>
    </row>
    <row r="461">
      <c r="B461" s="11"/>
      <c r="C461" s="4"/>
      <c r="D461" s="5"/>
    </row>
    <row r="462">
      <c r="B462" s="11"/>
      <c r="C462" s="4"/>
      <c r="D462" s="5"/>
    </row>
    <row r="463">
      <c r="B463" s="11"/>
      <c r="C463" s="4"/>
      <c r="D463" s="5"/>
    </row>
    <row r="464">
      <c r="B464" s="11"/>
      <c r="C464" s="4"/>
      <c r="D464" s="5"/>
    </row>
    <row r="465">
      <c r="B465" s="11"/>
      <c r="C465" s="4"/>
      <c r="D465" s="5"/>
    </row>
    <row r="466">
      <c r="B466" s="11"/>
      <c r="C466" s="4"/>
      <c r="D466" s="5"/>
    </row>
    <row r="467">
      <c r="B467" s="11"/>
      <c r="C467" s="4"/>
      <c r="D467" s="5"/>
    </row>
    <row r="468">
      <c r="B468" s="11"/>
      <c r="C468" s="4"/>
      <c r="D468" s="5"/>
    </row>
    <row r="469">
      <c r="B469" s="11"/>
      <c r="C469" s="4"/>
      <c r="D469" s="5"/>
    </row>
    <row r="470">
      <c r="B470" s="11"/>
      <c r="C470" s="4"/>
      <c r="D470" s="5"/>
    </row>
    <row r="471">
      <c r="B471" s="11"/>
      <c r="C471" s="4"/>
      <c r="D471" s="5"/>
    </row>
    <row r="472">
      <c r="B472" s="11"/>
      <c r="C472" s="4"/>
      <c r="D472" s="5"/>
    </row>
    <row r="473">
      <c r="B473" s="11"/>
      <c r="C473" s="4"/>
      <c r="D473" s="5"/>
    </row>
    <row r="474">
      <c r="B474" s="11"/>
      <c r="C474" s="4"/>
      <c r="D474" s="5"/>
    </row>
    <row r="475">
      <c r="B475" s="11"/>
      <c r="C475" s="4"/>
      <c r="D475" s="5"/>
    </row>
    <row r="476">
      <c r="B476" s="11"/>
      <c r="C476" s="4"/>
      <c r="D476" s="5"/>
    </row>
    <row r="477">
      <c r="B477" s="11"/>
      <c r="C477" s="4"/>
      <c r="D477" s="5"/>
    </row>
    <row r="478">
      <c r="B478" s="11"/>
      <c r="C478" s="4"/>
      <c r="D478" s="5"/>
      <c r="H478" s="3"/>
      <c r="L478" s="3"/>
      <c r="M478" s="3"/>
      <c r="N478" s="3"/>
      <c r="O478" s="3"/>
      <c r="Q478" s="3"/>
    </row>
    <row r="479">
      <c r="B479" s="11"/>
      <c r="C479" s="4"/>
      <c r="D479" s="5"/>
      <c r="H479" s="3"/>
      <c r="L479" s="3"/>
      <c r="M479" s="3"/>
      <c r="N479" s="3"/>
      <c r="O479" s="3"/>
      <c r="Q479" s="3"/>
    </row>
    <row r="480">
      <c r="B480" s="11"/>
      <c r="C480" s="4"/>
      <c r="D480" s="5"/>
      <c r="H480" s="3"/>
      <c r="L480" s="3"/>
      <c r="M480" s="3"/>
      <c r="N480" s="3"/>
      <c r="O480" s="3"/>
      <c r="Q480" s="3"/>
    </row>
    <row r="481">
      <c r="B481" s="11"/>
      <c r="C481" s="4"/>
      <c r="D481" s="5"/>
      <c r="H481" s="3"/>
      <c r="L481" s="3"/>
      <c r="M481" s="3"/>
      <c r="N481" s="3"/>
      <c r="O481" s="3"/>
      <c r="Q481" s="3"/>
    </row>
    <row r="482">
      <c r="B482" s="11"/>
      <c r="C482" s="4"/>
      <c r="D482" s="5"/>
      <c r="H482" s="3"/>
      <c r="L482" s="3"/>
      <c r="M482" s="3"/>
      <c r="N482" s="3"/>
      <c r="O482" s="3"/>
      <c r="Q482" s="3"/>
    </row>
    <row r="483">
      <c r="B483" s="11"/>
      <c r="C483" s="4"/>
      <c r="D483" s="5"/>
    </row>
    <row r="484">
      <c r="B484" s="11"/>
      <c r="C484" s="4"/>
      <c r="D484" s="5"/>
    </row>
    <row r="485">
      <c r="B485" s="11"/>
      <c r="C485" s="4"/>
      <c r="D485" s="5"/>
    </row>
    <row r="486">
      <c r="B486" s="11"/>
      <c r="C486" s="4"/>
      <c r="D486" s="5"/>
    </row>
    <row r="487">
      <c r="B487" s="11"/>
      <c r="C487" s="4"/>
      <c r="D487" s="5"/>
    </row>
    <row r="488">
      <c r="B488" s="11"/>
      <c r="C488" s="4"/>
      <c r="D488" s="5"/>
    </row>
    <row r="489">
      <c r="B489" s="11"/>
      <c r="C489" s="4"/>
      <c r="D489" s="5"/>
    </row>
    <row r="490">
      <c r="B490" s="11"/>
      <c r="C490" s="4"/>
      <c r="D490" s="5"/>
    </row>
    <row r="491">
      <c r="B491" s="11"/>
      <c r="C491" s="4"/>
      <c r="D491" s="5"/>
    </row>
    <row r="492">
      <c r="B492" s="11"/>
      <c r="C492" s="4"/>
      <c r="D492" s="5"/>
    </row>
    <row r="493">
      <c r="B493" s="11"/>
      <c r="C493" s="4"/>
      <c r="D493" s="5"/>
    </row>
    <row r="494">
      <c r="B494" s="11"/>
      <c r="C494" s="4"/>
      <c r="D494" s="5"/>
    </row>
    <row r="495">
      <c r="B495" s="11"/>
      <c r="C495" s="4"/>
      <c r="D495" s="5"/>
    </row>
    <row r="496">
      <c r="B496" s="11"/>
      <c r="C496" s="4"/>
      <c r="D496" s="5"/>
    </row>
    <row r="497">
      <c r="B497" s="11"/>
      <c r="C497" s="4"/>
      <c r="D497" s="5"/>
    </row>
    <row r="498">
      <c r="B498" s="11"/>
      <c r="C498" s="4"/>
      <c r="D498" s="5"/>
    </row>
    <row r="499">
      <c r="B499" s="11"/>
      <c r="C499" s="4"/>
      <c r="D499" s="5"/>
    </row>
    <row r="500">
      <c r="B500" s="11"/>
      <c r="C500" s="4"/>
      <c r="D500" s="5"/>
    </row>
    <row r="501">
      <c r="B501" s="11"/>
      <c r="C501" s="4"/>
      <c r="D501" s="5"/>
    </row>
    <row r="502">
      <c r="B502" s="11"/>
      <c r="C502" s="4"/>
      <c r="D502" s="5"/>
    </row>
    <row r="503">
      <c r="B503" s="11"/>
      <c r="C503" s="4"/>
      <c r="D503" s="5"/>
    </row>
    <row r="504">
      <c r="B504" s="11"/>
      <c r="C504" s="4"/>
      <c r="D504" s="5"/>
    </row>
    <row r="505">
      <c r="B505" s="11"/>
      <c r="C505" s="4"/>
      <c r="D505" s="5"/>
    </row>
    <row r="506">
      <c r="B506" s="11"/>
      <c r="C506" s="4"/>
      <c r="D506" s="5"/>
    </row>
    <row r="507">
      <c r="B507" s="11"/>
      <c r="C507" s="4"/>
      <c r="D507" s="5"/>
    </row>
    <row r="508">
      <c r="B508" s="11"/>
      <c r="C508" s="4"/>
      <c r="D508" s="5"/>
    </row>
    <row r="509">
      <c r="B509" s="11"/>
      <c r="C509" s="4"/>
      <c r="D509" s="5"/>
    </row>
    <row r="510">
      <c r="B510" s="11"/>
      <c r="C510" s="4"/>
      <c r="D510" s="5"/>
    </row>
    <row r="511">
      <c r="B511" s="11"/>
      <c r="C511" s="4"/>
      <c r="D511" s="5"/>
    </row>
    <row r="512">
      <c r="B512" s="11"/>
      <c r="C512" s="4"/>
      <c r="D512" s="5"/>
    </row>
    <row r="513">
      <c r="B513" s="11"/>
      <c r="C513" s="4"/>
      <c r="D513" s="5"/>
    </row>
    <row r="514">
      <c r="B514" s="11"/>
      <c r="C514" s="4"/>
      <c r="D514" s="5"/>
    </row>
    <row r="515">
      <c r="B515" s="11"/>
      <c r="C515" s="4"/>
      <c r="D515" s="5"/>
    </row>
    <row r="516">
      <c r="B516" s="11"/>
      <c r="C516" s="4"/>
      <c r="D516" s="5"/>
    </row>
    <row r="517">
      <c r="B517" s="11"/>
      <c r="C517" s="4"/>
      <c r="D517" s="5"/>
    </row>
    <row r="518">
      <c r="B518" s="11"/>
      <c r="C518" s="4"/>
      <c r="D518" s="5"/>
    </row>
    <row r="519">
      <c r="B519" s="11"/>
      <c r="C519" s="4"/>
      <c r="D519" s="5"/>
    </row>
    <row r="520">
      <c r="B520" s="11"/>
      <c r="C520" s="4"/>
      <c r="D520" s="5"/>
    </row>
    <row r="521">
      <c r="B521" s="11"/>
      <c r="C521" s="4"/>
      <c r="D521" s="5"/>
    </row>
    <row r="522">
      <c r="B522" s="11"/>
      <c r="C522" s="4"/>
      <c r="D522" s="5"/>
    </row>
    <row r="523">
      <c r="B523" s="11"/>
      <c r="C523" s="4"/>
      <c r="D523" s="5"/>
    </row>
    <row r="524">
      <c r="B524" s="11"/>
      <c r="C524" s="4"/>
      <c r="D524" s="5"/>
    </row>
    <row r="525">
      <c r="B525" s="11"/>
      <c r="C525" s="4"/>
      <c r="D525" s="5"/>
    </row>
    <row r="526">
      <c r="B526" s="11"/>
      <c r="C526" s="4"/>
      <c r="D526" s="5"/>
    </row>
    <row r="527">
      <c r="B527" s="11"/>
      <c r="C527" s="4"/>
      <c r="D527" s="5"/>
    </row>
    <row r="528">
      <c r="B528" s="11"/>
      <c r="C528" s="4"/>
      <c r="D528" s="5"/>
    </row>
    <row r="529">
      <c r="B529" s="11"/>
      <c r="C529" s="4"/>
      <c r="D529" s="5"/>
    </row>
    <row r="530">
      <c r="B530" s="11"/>
      <c r="C530" s="4"/>
      <c r="D530" s="5"/>
    </row>
    <row r="531">
      <c r="B531" s="11"/>
      <c r="C531" s="4"/>
      <c r="D531" s="5"/>
    </row>
    <row r="532">
      <c r="B532" s="11"/>
      <c r="C532" s="4"/>
      <c r="D532" s="5"/>
    </row>
    <row r="533">
      <c r="B533" s="11"/>
      <c r="C533" s="4"/>
      <c r="D533" s="5"/>
    </row>
    <row r="534">
      <c r="B534" s="11"/>
      <c r="C534" s="4"/>
      <c r="D534" s="5"/>
    </row>
    <row r="535">
      <c r="B535" s="11"/>
      <c r="C535" s="4"/>
      <c r="D535" s="5"/>
    </row>
    <row r="536">
      <c r="B536" s="11"/>
      <c r="C536" s="4"/>
      <c r="D536" s="5"/>
    </row>
    <row r="537">
      <c r="B537" s="11"/>
      <c r="C537" s="4"/>
      <c r="D537" s="5"/>
    </row>
    <row r="538">
      <c r="B538" s="11"/>
      <c r="C538" s="4"/>
      <c r="D538" s="5"/>
    </row>
    <row r="539">
      <c r="B539" s="11"/>
      <c r="C539" s="4"/>
      <c r="D539" s="5"/>
    </row>
    <row r="540">
      <c r="B540" s="11"/>
      <c r="C540" s="4"/>
      <c r="D540" s="5"/>
    </row>
    <row r="541">
      <c r="B541" s="11"/>
      <c r="C541" s="4"/>
      <c r="D541" s="5"/>
    </row>
    <row r="542">
      <c r="B542" s="11"/>
      <c r="C542" s="4"/>
      <c r="D542" s="5"/>
    </row>
    <row r="543">
      <c r="B543" s="11"/>
      <c r="C543" s="4"/>
      <c r="D543" s="5"/>
    </row>
    <row r="544">
      <c r="B544" s="11"/>
      <c r="C544" s="4"/>
      <c r="D544" s="5"/>
    </row>
    <row r="545">
      <c r="B545" s="11"/>
      <c r="C545" s="4"/>
      <c r="D545" s="5"/>
    </row>
    <row r="546">
      <c r="B546" s="11"/>
      <c r="C546" s="4"/>
      <c r="D546" s="5"/>
    </row>
    <row r="547">
      <c r="B547" s="11"/>
      <c r="C547" s="4"/>
      <c r="D547" s="5"/>
    </row>
    <row r="548">
      <c r="B548" s="11"/>
      <c r="C548" s="4"/>
      <c r="D548" s="5"/>
    </row>
    <row r="549">
      <c r="B549" s="11"/>
      <c r="C549" s="4"/>
      <c r="D549" s="5"/>
    </row>
    <row r="550">
      <c r="B550" s="11"/>
      <c r="C550" s="4"/>
      <c r="D550" s="5"/>
    </row>
    <row r="551">
      <c r="B551" s="11"/>
      <c r="C551" s="4"/>
      <c r="D551" s="5"/>
    </row>
    <row r="552">
      <c r="B552" s="11"/>
      <c r="C552" s="4"/>
      <c r="D552" s="5"/>
    </row>
    <row r="553">
      <c r="B553" s="11"/>
      <c r="C553" s="4"/>
      <c r="D553" s="5"/>
    </row>
    <row r="554">
      <c r="B554" s="11"/>
      <c r="C554" s="4"/>
      <c r="D554" s="5"/>
    </row>
    <row r="555">
      <c r="B555" s="11"/>
      <c r="C555" s="4"/>
      <c r="D555" s="5"/>
    </row>
    <row r="556">
      <c r="B556" s="11"/>
      <c r="C556" s="4"/>
      <c r="D556" s="5"/>
    </row>
    <row r="557">
      <c r="B557" s="11"/>
      <c r="C557" s="4"/>
      <c r="D557" s="5"/>
    </row>
    <row r="558">
      <c r="B558" s="11"/>
      <c r="C558" s="4"/>
      <c r="D558" s="5"/>
    </row>
    <row r="559">
      <c r="B559" s="11"/>
      <c r="C559" s="4"/>
      <c r="D559" s="5"/>
    </row>
    <row r="560">
      <c r="B560" s="11"/>
      <c r="C560" s="4"/>
      <c r="D560" s="5"/>
    </row>
    <row r="561">
      <c r="B561" s="11"/>
      <c r="C561" s="4"/>
      <c r="D561" s="5"/>
    </row>
    <row r="562">
      <c r="B562" s="11"/>
      <c r="C562" s="4"/>
      <c r="D562" s="5"/>
    </row>
    <row r="563">
      <c r="B563" s="11"/>
      <c r="C563" s="4"/>
      <c r="D563" s="5"/>
    </row>
    <row r="564">
      <c r="B564" s="11"/>
      <c r="C564" s="4"/>
      <c r="D564" s="5"/>
    </row>
    <row r="565">
      <c r="B565" s="11"/>
      <c r="C565" s="4"/>
      <c r="D565" s="5"/>
    </row>
    <row r="566">
      <c r="B566" s="11"/>
      <c r="C566" s="4"/>
      <c r="D566" s="5"/>
    </row>
    <row r="567">
      <c r="B567" s="11"/>
      <c r="C567" s="4"/>
      <c r="D567" s="5"/>
    </row>
    <row r="568">
      <c r="B568" s="11"/>
      <c r="C568" s="4"/>
      <c r="D568" s="5"/>
    </row>
    <row r="569">
      <c r="B569" s="11"/>
      <c r="C569" s="4"/>
      <c r="D569" s="5"/>
    </row>
    <row r="570">
      <c r="B570" s="11"/>
      <c r="C570" s="4"/>
      <c r="D570" s="5"/>
    </row>
    <row r="571">
      <c r="B571" s="11"/>
      <c r="C571" s="4"/>
      <c r="D571" s="5"/>
    </row>
    <row r="572">
      <c r="B572" s="11"/>
      <c r="C572" s="4"/>
      <c r="D572" s="5"/>
    </row>
    <row r="573">
      <c r="B573" s="11"/>
      <c r="C573" s="4"/>
      <c r="D573" s="5"/>
    </row>
    <row r="574">
      <c r="B574" s="11"/>
      <c r="C574" s="4"/>
      <c r="D574" s="5"/>
    </row>
    <row r="575">
      <c r="B575" s="11"/>
      <c r="C575" s="4"/>
      <c r="D575" s="5"/>
    </row>
    <row r="576">
      <c r="B576" s="11"/>
      <c r="C576" s="4"/>
      <c r="D576" s="5"/>
    </row>
    <row r="577">
      <c r="B577" s="11"/>
      <c r="C577" s="4"/>
      <c r="D577" s="5"/>
    </row>
    <row r="578">
      <c r="B578" s="11"/>
      <c r="C578" s="4"/>
      <c r="D578" s="5"/>
    </row>
    <row r="579">
      <c r="B579" s="11"/>
      <c r="C579" s="4"/>
      <c r="D579" s="5"/>
    </row>
    <row r="580">
      <c r="B580" s="11"/>
      <c r="C580" s="4"/>
      <c r="D580" s="5"/>
    </row>
    <row r="581">
      <c r="B581" s="11"/>
      <c r="C581" s="4"/>
      <c r="D581" s="5"/>
    </row>
    <row r="582">
      <c r="B582" s="11"/>
      <c r="C582" s="4"/>
      <c r="D582" s="5"/>
    </row>
    <row r="583">
      <c r="B583" s="11"/>
      <c r="C583" s="4"/>
      <c r="D583" s="5"/>
    </row>
    <row r="584">
      <c r="B584" s="11"/>
      <c r="C584" s="4"/>
      <c r="D584" s="5"/>
    </row>
    <row r="585">
      <c r="B585" s="11"/>
      <c r="C585" s="4"/>
      <c r="D585" s="5"/>
    </row>
    <row r="586">
      <c r="B586" s="11"/>
      <c r="C586" s="4"/>
      <c r="D586" s="5"/>
    </row>
    <row r="587">
      <c r="B587" s="11"/>
      <c r="C587" s="4"/>
      <c r="D587" s="5"/>
    </row>
    <row r="588">
      <c r="B588" s="11"/>
      <c r="C588" s="4"/>
      <c r="D588" s="5"/>
    </row>
    <row r="589">
      <c r="B589" s="11"/>
      <c r="C589" s="4"/>
      <c r="D589" s="5"/>
    </row>
    <row r="590">
      <c r="B590" s="11"/>
      <c r="C590" s="4"/>
      <c r="D590" s="5"/>
    </row>
    <row r="591">
      <c r="B591" s="11"/>
      <c r="C591" s="4"/>
      <c r="D591" s="5"/>
    </row>
    <row r="592">
      <c r="B592" s="11"/>
      <c r="C592" s="4"/>
      <c r="D592" s="5"/>
    </row>
    <row r="593">
      <c r="B593" s="11"/>
      <c r="C593" s="4"/>
      <c r="D593" s="5"/>
    </row>
    <row r="594">
      <c r="B594" s="11"/>
      <c r="C594" s="4"/>
      <c r="D594" s="5"/>
    </row>
    <row r="595">
      <c r="B595" s="11"/>
      <c r="C595" s="4"/>
      <c r="D595" s="5"/>
    </row>
    <row r="596">
      <c r="B596" s="11"/>
      <c r="C596" s="4"/>
      <c r="D596" s="5"/>
    </row>
    <row r="597">
      <c r="B597" s="11"/>
      <c r="C597" s="4"/>
      <c r="D597" s="5"/>
    </row>
    <row r="598">
      <c r="B598" s="11"/>
      <c r="C598" s="4"/>
      <c r="D598" s="5"/>
    </row>
    <row r="599">
      <c r="B599" s="11"/>
      <c r="C599" s="4"/>
      <c r="D599" s="5"/>
    </row>
    <row r="600">
      <c r="B600" s="11"/>
      <c r="C600" s="4"/>
      <c r="D600" s="5"/>
    </row>
    <row r="601">
      <c r="B601" s="11"/>
      <c r="C601" s="4"/>
      <c r="D601" s="5"/>
    </row>
    <row r="602">
      <c r="B602" s="11"/>
      <c r="C602" s="4"/>
      <c r="D602" s="5"/>
    </row>
    <row r="603">
      <c r="B603" s="11"/>
      <c r="C603" s="4"/>
      <c r="D603" s="5"/>
    </row>
    <row r="604">
      <c r="B604" s="11"/>
      <c r="C604" s="4"/>
      <c r="D604" s="5"/>
    </row>
    <row r="605">
      <c r="B605" s="11"/>
      <c r="C605" s="4"/>
      <c r="D605" s="5"/>
    </row>
    <row r="606">
      <c r="B606" s="11"/>
      <c r="C606" s="4"/>
      <c r="D606" s="5"/>
    </row>
    <row r="607">
      <c r="B607" s="11"/>
      <c r="C607" s="4"/>
      <c r="D607" s="5"/>
    </row>
    <row r="608">
      <c r="B608" s="11"/>
      <c r="C608" s="4"/>
      <c r="D608" s="5"/>
    </row>
    <row r="609">
      <c r="B609" s="11"/>
      <c r="C609" s="4"/>
      <c r="D609" s="5"/>
    </row>
    <row r="610">
      <c r="B610" s="11"/>
      <c r="C610" s="4"/>
      <c r="D610" s="5"/>
    </row>
    <row r="611">
      <c r="B611" s="11"/>
      <c r="C611" s="4"/>
      <c r="D611" s="5"/>
    </row>
    <row r="612">
      <c r="B612" s="11"/>
      <c r="C612" s="4"/>
      <c r="D612" s="5"/>
    </row>
    <row r="613">
      <c r="B613" s="11"/>
      <c r="C613" s="4"/>
      <c r="D613" s="5"/>
    </row>
    <row r="614">
      <c r="B614" s="11"/>
      <c r="C614" s="4"/>
      <c r="D614" s="5"/>
    </row>
    <row r="615">
      <c r="B615" s="11"/>
      <c r="C615" s="4"/>
      <c r="D615" s="5"/>
    </row>
    <row r="616">
      <c r="B616" s="11"/>
      <c r="C616" s="4"/>
      <c r="D616" s="5"/>
    </row>
    <row r="617">
      <c r="B617" s="11"/>
      <c r="C617" s="4"/>
      <c r="D617" s="5"/>
    </row>
    <row r="618">
      <c r="B618" s="11"/>
      <c r="C618" s="4"/>
      <c r="D618" s="5"/>
    </row>
    <row r="619">
      <c r="B619" s="11"/>
      <c r="C619" s="4"/>
      <c r="D619" s="5"/>
    </row>
    <row r="620">
      <c r="B620" s="11"/>
      <c r="C620" s="4"/>
      <c r="D620" s="5"/>
    </row>
    <row r="621">
      <c r="B621" s="11"/>
      <c r="C621" s="4"/>
      <c r="D621" s="5"/>
    </row>
    <row r="622">
      <c r="B622" s="11"/>
      <c r="C622" s="4"/>
      <c r="D622" s="5"/>
    </row>
    <row r="623">
      <c r="B623" s="11"/>
      <c r="C623" s="4"/>
      <c r="D623" s="5"/>
    </row>
    <row r="624">
      <c r="B624" s="11"/>
      <c r="C624" s="4"/>
      <c r="D624" s="5"/>
    </row>
    <row r="625">
      <c r="B625" s="11"/>
      <c r="C625" s="4"/>
      <c r="D625" s="5"/>
    </row>
    <row r="626">
      <c r="B626" s="11"/>
      <c r="C626" s="4"/>
      <c r="D626" s="5"/>
    </row>
    <row r="627">
      <c r="B627" s="11"/>
      <c r="C627" s="4"/>
      <c r="D627" s="5"/>
    </row>
    <row r="628">
      <c r="B628" s="11"/>
      <c r="C628" s="4"/>
      <c r="D628" s="5"/>
    </row>
    <row r="629">
      <c r="B629" s="11"/>
      <c r="C629" s="4"/>
      <c r="D629" s="5"/>
    </row>
    <row r="630">
      <c r="B630" s="11"/>
      <c r="C630" s="4"/>
      <c r="D630" s="5"/>
    </row>
    <row r="631">
      <c r="B631" s="11"/>
      <c r="C631" s="4"/>
      <c r="D631" s="5"/>
    </row>
    <row r="632">
      <c r="B632" s="11"/>
      <c r="C632" s="4"/>
      <c r="D632" s="5"/>
    </row>
    <row r="633">
      <c r="B633" s="11"/>
      <c r="C633" s="4"/>
      <c r="D633" s="5"/>
    </row>
    <row r="634">
      <c r="B634" s="11"/>
      <c r="C634" s="4"/>
      <c r="D634" s="5"/>
    </row>
    <row r="635">
      <c r="B635" s="11"/>
      <c r="C635" s="4"/>
      <c r="D635" s="5"/>
    </row>
    <row r="636">
      <c r="B636" s="11"/>
      <c r="C636" s="4"/>
      <c r="D636" s="5"/>
    </row>
    <row r="637">
      <c r="B637" s="11"/>
      <c r="C637" s="4"/>
      <c r="D637" s="5"/>
    </row>
    <row r="638">
      <c r="B638" s="11"/>
      <c r="C638" s="4"/>
      <c r="D638" s="5"/>
    </row>
    <row r="639">
      <c r="B639" s="11"/>
      <c r="C639" s="4"/>
      <c r="D639" s="5"/>
    </row>
    <row r="640">
      <c r="B640" s="11"/>
      <c r="C640" s="4"/>
      <c r="D640" s="5"/>
    </row>
    <row r="641">
      <c r="B641" s="11"/>
      <c r="C641" s="4"/>
      <c r="D641" s="5"/>
    </row>
    <row r="642">
      <c r="B642" s="11"/>
      <c r="C642" s="4"/>
      <c r="D642" s="5"/>
    </row>
    <row r="643">
      <c r="B643" s="11"/>
      <c r="C643" s="4"/>
      <c r="D643" s="5"/>
    </row>
    <row r="644">
      <c r="B644" s="11"/>
      <c r="C644" s="4"/>
      <c r="D644" s="5"/>
    </row>
    <row r="645">
      <c r="B645" s="11"/>
      <c r="C645" s="4"/>
      <c r="D645" s="5"/>
    </row>
    <row r="646">
      <c r="B646" s="11"/>
      <c r="C646" s="4"/>
      <c r="D646" s="5"/>
    </row>
    <row r="647">
      <c r="B647" s="11"/>
      <c r="C647" s="4"/>
      <c r="D647" s="5"/>
    </row>
    <row r="648">
      <c r="B648" s="11"/>
      <c r="C648" s="4"/>
      <c r="D648" s="5"/>
    </row>
    <row r="649">
      <c r="B649" s="11"/>
      <c r="C649" s="4"/>
      <c r="D649" s="5"/>
    </row>
    <row r="650">
      <c r="B650" s="11"/>
      <c r="C650" s="4"/>
      <c r="D650" s="5"/>
    </row>
    <row r="651">
      <c r="B651" s="11"/>
      <c r="C651" s="4"/>
      <c r="D651" s="5"/>
    </row>
    <row r="652">
      <c r="B652" s="11"/>
      <c r="C652" s="4"/>
      <c r="D652" s="5"/>
    </row>
    <row r="653">
      <c r="B653" s="11"/>
      <c r="C653" s="4"/>
      <c r="D653" s="5"/>
    </row>
    <row r="654">
      <c r="B654" s="11"/>
      <c r="C654" s="4"/>
      <c r="D654" s="5"/>
    </row>
    <row r="655">
      <c r="B655" s="11"/>
      <c r="C655" s="4"/>
      <c r="D655" s="5"/>
    </row>
    <row r="656">
      <c r="B656" s="11"/>
      <c r="C656" s="4"/>
      <c r="D656" s="5"/>
    </row>
    <row r="657">
      <c r="B657" s="11"/>
      <c r="C657" s="4"/>
      <c r="D657" s="5"/>
    </row>
    <row r="658">
      <c r="B658" s="11"/>
      <c r="C658" s="4"/>
      <c r="D658" s="5"/>
    </row>
    <row r="659">
      <c r="B659" s="11"/>
      <c r="C659" s="4"/>
      <c r="D659" s="5"/>
    </row>
    <row r="660">
      <c r="B660" s="11"/>
      <c r="C660" s="4"/>
      <c r="D660" s="5"/>
    </row>
    <row r="661">
      <c r="B661" s="11"/>
      <c r="C661" s="4"/>
      <c r="D661" s="5"/>
    </row>
    <row r="662">
      <c r="B662" s="11"/>
      <c r="C662" s="4"/>
      <c r="D662" s="5"/>
    </row>
    <row r="663">
      <c r="B663" s="11"/>
      <c r="C663" s="4"/>
      <c r="D663" s="5"/>
    </row>
    <row r="664">
      <c r="B664" s="11"/>
      <c r="C664" s="4"/>
      <c r="D664" s="5"/>
    </row>
    <row r="665">
      <c r="B665" s="11"/>
      <c r="C665" s="4"/>
      <c r="D665" s="5"/>
    </row>
    <row r="666">
      <c r="B666" s="11"/>
      <c r="C666" s="4"/>
      <c r="D666" s="5"/>
    </row>
    <row r="667">
      <c r="B667" s="11"/>
      <c r="C667" s="4"/>
      <c r="D667" s="5"/>
    </row>
    <row r="668">
      <c r="B668" s="11"/>
      <c r="C668" s="4"/>
      <c r="D668" s="5"/>
    </row>
    <row r="669">
      <c r="B669" s="11"/>
      <c r="C669" s="4"/>
      <c r="D669" s="5"/>
    </row>
    <row r="670">
      <c r="B670" s="11"/>
      <c r="C670" s="4"/>
      <c r="D670" s="5"/>
    </row>
    <row r="671">
      <c r="B671" s="11"/>
      <c r="C671" s="4"/>
      <c r="D671" s="5"/>
    </row>
    <row r="672">
      <c r="B672" s="11"/>
      <c r="C672" s="4"/>
      <c r="D672" s="5"/>
    </row>
    <row r="673">
      <c r="B673" s="11"/>
      <c r="C673" s="4"/>
      <c r="D673" s="5"/>
    </row>
    <row r="674">
      <c r="B674" s="11"/>
      <c r="C674" s="4"/>
      <c r="D674" s="5"/>
    </row>
    <row r="675">
      <c r="B675" s="11"/>
      <c r="C675" s="4"/>
      <c r="D675" s="5"/>
    </row>
    <row r="676">
      <c r="B676" s="11"/>
      <c r="C676" s="4"/>
      <c r="D676" s="5"/>
    </row>
    <row r="677">
      <c r="B677" s="11"/>
      <c r="C677" s="4"/>
      <c r="D677" s="5"/>
    </row>
    <row r="678">
      <c r="B678" s="11"/>
      <c r="C678" s="4"/>
      <c r="D678" s="5"/>
    </row>
    <row r="679">
      <c r="B679" s="11"/>
      <c r="C679" s="4"/>
      <c r="D679" s="5"/>
    </row>
    <row r="680">
      <c r="B680" s="11"/>
      <c r="C680" s="4"/>
      <c r="D680" s="5"/>
    </row>
    <row r="681">
      <c r="B681" s="11"/>
      <c r="C681" s="4"/>
      <c r="D681" s="5"/>
    </row>
    <row r="682">
      <c r="B682" s="11"/>
      <c r="C682" s="4"/>
      <c r="D682" s="5"/>
    </row>
    <row r="683">
      <c r="B683" s="11"/>
      <c r="C683" s="4"/>
      <c r="D683" s="5"/>
    </row>
    <row r="684">
      <c r="B684" s="11"/>
      <c r="C684" s="4"/>
      <c r="D684" s="5"/>
    </row>
    <row r="685">
      <c r="B685" s="11"/>
      <c r="C685" s="4"/>
      <c r="D685" s="5"/>
    </row>
    <row r="686">
      <c r="B686" s="11"/>
      <c r="C686" s="4"/>
      <c r="D686" s="5"/>
    </row>
    <row r="687">
      <c r="B687" s="11"/>
      <c r="C687" s="4"/>
      <c r="D687" s="5"/>
    </row>
    <row r="688">
      <c r="B688" s="11"/>
      <c r="C688" s="4"/>
      <c r="D688" s="5"/>
    </row>
    <row r="689">
      <c r="B689" s="11"/>
      <c r="C689" s="4"/>
      <c r="D689" s="5"/>
    </row>
    <row r="690">
      <c r="B690" s="11"/>
      <c r="C690" s="4"/>
      <c r="D690" s="5"/>
    </row>
    <row r="691">
      <c r="B691" s="11"/>
      <c r="C691" s="4"/>
      <c r="D691" s="5"/>
    </row>
    <row r="692">
      <c r="B692" s="11"/>
      <c r="C692" s="4"/>
      <c r="D692" s="5"/>
    </row>
    <row r="693">
      <c r="B693" s="11"/>
      <c r="C693" s="4"/>
      <c r="D693" s="5"/>
    </row>
    <row r="694">
      <c r="B694" s="11"/>
      <c r="C694" s="4"/>
      <c r="D694" s="5"/>
    </row>
    <row r="695">
      <c r="B695" s="11"/>
      <c r="C695" s="4"/>
      <c r="D695" s="5"/>
    </row>
    <row r="696">
      <c r="B696" s="11"/>
      <c r="C696" s="4"/>
      <c r="D696" s="5"/>
    </row>
    <row r="697">
      <c r="B697" s="11"/>
      <c r="C697" s="4"/>
      <c r="D697" s="5"/>
    </row>
    <row r="698">
      <c r="B698" s="11"/>
      <c r="C698" s="4"/>
      <c r="D698" s="5"/>
    </row>
    <row r="699">
      <c r="B699" s="11"/>
      <c r="C699" s="4"/>
      <c r="D699" s="5"/>
    </row>
    <row r="700">
      <c r="B700" s="11"/>
      <c r="C700" s="4"/>
      <c r="D700" s="5"/>
    </row>
    <row r="701">
      <c r="B701" s="11"/>
      <c r="C701" s="4"/>
      <c r="D701" s="5"/>
    </row>
    <row r="702">
      <c r="B702" s="11"/>
      <c r="C702" s="4"/>
      <c r="D702" s="5"/>
    </row>
    <row r="703">
      <c r="B703" s="11"/>
      <c r="C703" s="4"/>
      <c r="D703" s="5"/>
    </row>
    <row r="704">
      <c r="B704" s="11"/>
      <c r="C704" s="4"/>
      <c r="D704" s="5"/>
    </row>
    <row r="705">
      <c r="B705" s="11"/>
      <c r="C705" s="4"/>
      <c r="D705" s="5"/>
    </row>
    <row r="706">
      <c r="B706" s="11"/>
      <c r="C706" s="4"/>
      <c r="D706" s="5"/>
    </row>
    <row r="707">
      <c r="B707" s="11"/>
      <c r="C707" s="4"/>
      <c r="D707" s="5"/>
    </row>
    <row r="708">
      <c r="B708" s="11"/>
      <c r="C708" s="4"/>
      <c r="D708" s="5"/>
    </row>
    <row r="709">
      <c r="B709" s="11"/>
      <c r="C709" s="4"/>
      <c r="D709" s="5"/>
    </row>
    <row r="710">
      <c r="B710" s="11"/>
      <c r="C710" s="4"/>
      <c r="D710" s="5"/>
    </row>
    <row r="711">
      <c r="B711" s="11"/>
      <c r="C711" s="4"/>
      <c r="D711" s="5"/>
    </row>
    <row r="712">
      <c r="B712" s="11"/>
      <c r="C712" s="4"/>
      <c r="D712" s="5"/>
    </row>
    <row r="713">
      <c r="B713" s="11"/>
      <c r="C713" s="4"/>
      <c r="D713" s="5"/>
    </row>
    <row r="714">
      <c r="B714" s="11"/>
      <c r="C714" s="4"/>
      <c r="D714" s="5"/>
    </row>
    <row r="715">
      <c r="B715" s="11"/>
      <c r="C715" s="4"/>
      <c r="D715" s="5"/>
    </row>
    <row r="716">
      <c r="B716" s="11"/>
      <c r="C716" s="4"/>
      <c r="D716" s="5"/>
    </row>
    <row r="717">
      <c r="B717" s="11"/>
      <c r="C717" s="4"/>
      <c r="D717" s="5"/>
    </row>
    <row r="718">
      <c r="B718" s="11"/>
      <c r="C718" s="4"/>
      <c r="D718" s="5"/>
    </row>
    <row r="719">
      <c r="B719" s="11"/>
      <c r="C719" s="4"/>
      <c r="D719" s="5"/>
    </row>
    <row r="720">
      <c r="B720" s="11"/>
      <c r="C720" s="4"/>
      <c r="D720" s="5"/>
    </row>
    <row r="721">
      <c r="B721" s="11"/>
      <c r="C721" s="4"/>
      <c r="D721" s="5"/>
    </row>
    <row r="722">
      <c r="B722" s="11"/>
      <c r="C722" s="4"/>
      <c r="D722" s="5"/>
    </row>
    <row r="723">
      <c r="B723" s="11"/>
      <c r="C723" s="4"/>
      <c r="D723" s="5"/>
    </row>
    <row r="724">
      <c r="B724" s="11"/>
      <c r="C724" s="4"/>
      <c r="D724" s="5"/>
    </row>
    <row r="725">
      <c r="B725" s="11"/>
      <c r="C725" s="4"/>
      <c r="D725" s="5"/>
    </row>
    <row r="726">
      <c r="B726" s="11"/>
      <c r="C726" s="4"/>
      <c r="D726" s="5"/>
    </row>
    <row r="727">
      <c r="B727" s="11"/>
      <c r="C727" s="4"/>
      <c r="D727" s="5"/>
    </row>
    <row r="728">
      <c r="B728" s="11"/>
      <c r="C728" s="4"/>
      <c r="D728" s="5"/>
    </row>
    <row r="729">
      <c r="B729" s="11"/>
      <c r="C729" s="4"/>
      <c r="D729" s="5"/>
    </row>
    <row r="730">
      <c r="B730" s="11"/>
      <c r="C730" s="4"/>
      <c r="D730" s="5"/>
    </row>
    <row r="731">
      <c r="B731" s="11"/>
      <c r="C731" s="4"/>
      <c r="D731" s="5"/>
    </row>
    <row r="732">
      <c r="B732" s="11"/>
      <c r="C732" s="4"/>
      <c r="D732" s="5"/>
    </row>
    <row r="733">
      <c r="B733" s="11"/>
      <c r="C733" s="4"/>
      <c r="D733" s="5"/>
    </row>
    <row r="734">
      <c r="B734" s="11"/>
      <c r="C734" s="4"/>
      <c r="D734" s="5"/>
    </row>
    <row r="735">
      <c r="B735" s="11"/>
      <c r="C735" s="4"/>
      <c r="D735" s="5"/>
    </row>
    <row r="736">
      <c r="B736" s="11"/>
      <c r="C736" s="4"/>
      <c r="D736" s="5"/>
    </row>
    <row r="737">
      <c r="B737" s="11"/>
      <c r="C737" s="4"/>
      <c r="D737" s="5"/>
    </row>
    <row r="738">
      <c r="B738" s="11"/>
      <c r="C738" s="4"/>
      <c r="D738" s="5"/>
    </row>
    <row r="739">
      <c r="B739" s="11"/>
      <c r="C739" s="4"/>
      <c r="D739" s="5"/>
    </row>
    <row r="740">
      <c r="B740" s="11"/>
      <c r="C740" s="4"/>
      <c r="D740" s="5"/>
    </row>
    <row r="741">
      <c r="B741" s="11"/>
      <c r="C741" s="4"/>
      <c r="D741" s="5"/>
    </row>
    <row r="742">
      <c r="B742" s="11"/>
      <c r="C742" s="4"/>
      <c r="D742" s="5"/>
    </row>
    <row r="743">
      <c r="B743" s="11"/>
      <c r="C743" s="4"/>
      <c r="D743" s="5"/>
    </row>
    <row r="744">
      <c r="B744" s="11"/>
      <c r="C744" s="4"/>
      <c r="D744" s="5"/>
    </row>
    <row r="745">
      <c r="B745" s="11"/>
      <c r="C745" s="4"/>
      <c r="D745" s="5"/>
    </row>
    <row r="746">
      <c r="B746" s="11"/>
      <c r="C746" s="4"/>
      <c r="D746" s="5"/>
    </row>
    <row r="747">
      <c r="B747" s="11"/>
      <c r="C747" s="4"/>
      <c r="D747" s="5"/>
    </row>
    <row r="748">
      <c r="B748" s="11"/>
      <c r="C748" s="4"/>
      <c r="D748" s="5"/>
    </row>
    <row r="749">
      <c r="B749" s="11"/>
      <c r="C749" s="4"/>
      <c r="D749" s="5"/>
    </row>
    <row r="750">
      <c r="B750" s="11"/>
      <c r="C750" s="4"/>
      <c r="D750" s="5"/>
    </row>
    <row r="751">
      <c r="B751" s="11"/>
      <c r="C751" s="4"/>
      <c r="D751" s="5"/>
    </row>
    <row r="752">
      <c r="B752" s="11"/>
      <c r="C752" s="4"/>
      <c r="D752" s="5"/>
    </row>
    <row r="753">
      <c r="B753" s="11"/>
      <c r="C753" s="4"/>
      <c r="D753" s="5"/>
    </row>
    <row r="754">
      <c r="B754" s="11"/>
      <c r="C754" s="4"/>
      <c r="D754" s="5"/>
    </row>
    <row r="755">
      <c r="B755" s="11"/>
      <c r="C755" s="4"/>
      <c r="D755" s="5"/>
    </row>
    <row r="756">
      <c r="B756" s="11"/>
      <c r="C756" s="4"/>
      <c r="D756" s="5"/>
    </row>
    <row r="757">
      <c r="B757" s="11"/>
      <c r="C757" s="4"/>
      <c r="D757" s="5"/>
    </row>
    <row r="758">
      <c r="B758" s="11"/>
      <c r="C758" s="4"/>
      <c r="D758" s="5"/>
    </row>
    <row r="759">
      <c r="B759" s="11"/>
      <c r="C759" s="4"/>
      <c r="D759" s="5"/>
    </row>
    <row r="760">
      <c r="B760" s="11"/>
      <c r="C760" s="4"/>
      <c r="D760" s="5"/>
    </row>
    <row r="761">
      <c r="B761" s="11"/>
      <c r="C761" s="4"/>
      <c r="D761" s="5"/>
    </row>
    <row r="762">
      <c r="B762" s="11"/>
      <c r="C762" s="4"/>
      <c r="D762" s="5"/>
    </row>
    <row r="763">
      <c r="B763" s="11"/>
      <c r="C763" s="4"/>
      <c r="D763" s="5"/>
    </row>
    <row r="764">
      <c r="B764" s="11"/>
      <c r="C764" s="4"/>
      <c r="D764" s="5"/>
    </row>
    <row r="765">
      <c r="B765" s="11"/>
      <c r="C765" s="4"/>
      <c r="D765" s="5"/>
    </row>
    <row r="766">
      <c r="B766" s="11"/>
      <c r="C766" s="4"/>
      <c r="D766" s="5"/>
    </row>
    <row r="767">
      <c r="B767" s="11"/>
      <c r="C767" s="4"/>
      <c r="D767" s="5"/>
    </row>
    <row r="768">
      <c r="B768" s="11"/>
      <c r="C768" s="4"/>
      <c r="D768" s="5"/>
    </row>
    <row r="769">
      <c r="B769" s="11"/>
      <c r="C769" s="4"/>
      <c r="D769" s="5"/>
    </row>
    <row r="770">
      <c r="B770" s="11"/>
      <c r="C770" s="4"/>
      <c r="D770" s="5"/>
    </row>
    <row r="771">
      <c r="B771" s="11"/>
      <c r="C771" s="4"/>
      <c r="D771" s="5"/>
    </row>
    <row r="772">
      <c r="B772" s="11"/>
      <c r="C772" s="4"/>
      <c r="D772" s="5"/>
    </row>
    <row r="773">
      <c r="B773" s="11"/>
      <c r="C773" s="4"/>
      <c r="D773" s="5"/>
    </row>
    <row r="774">
      <c r="B774" s="11"/>
      <c r="C774" s="4"/>
      <c r="D774" s="5"/>
    </row>
    <row r="775">
      <c r="B775" s="11"/>
      <c r="C775" s="4"/>
      <c r="D775" s="5"/>
    </row>
    <row r="776">
      <c r="B776" s="11"/>
      <c r="C776" s="4"/>
      <c r="D776" s="5"/>
    </row>
    <row r="777">
      <c r="B777" s="11"/>
      <c r="C777" s="4"/>
      <c r="D777" s="5"/>
    </row>
    <row r="778">
      <c r="B778" s="11"/>
      <c r="C778" s="4"/>
      <c r="D778" s="5"/>
    </row>
    <row r="779">
      <c r="B779" s="11"/>
      <c r="C779" s="4"/>
      <c r="D779" s="5"/>
    </row>
    <row r="780">
      <c r="B780" s="11"/>
      <c r="C780" s="4"/>
      <c r="D780" s="5"/>
    </row>
    <row r="781">
      <c r="B781" s="11"/>
      <c r="C781" s="4"/>
      <c r="D781" s="5"/>
    </row>
    <row r="782">
      <c r="B782" s="11"/>
      <c r="C782" s="4"/>
      <c r="D782" s="5"/>
    </row>
    <row r="783">
      <c r="B783" s="11"/>
      <c r="C783" s="4"/>
      <c r="D783" s="5"/>
    </row>
    <row r="784">
      <c r="B784" s="11"/>
      <c r="C784" s="4"/>
      <c r="D784" s="5"/>
    </row>
    <row r="785">
      <c r="B785" s="11"/>
      <c r="C785" s="4"/>
      <c r="D785" s="5"/>
    </row>
    <row r="786">
      <c r="B786" s="11"/>
      <c r="C786" s="4"/>
      <c r="D786" s="5"/>
    </row>
    <row r="787">
      <c r="B787" s="11"/>
      <c r="C787" s="4"/>
      <c r="D787" s="5"/>
    </row>
    <row r="788">
      <c r="B788" s="11"/>
      <c r="C788" s="4"/>
      <c r="D788" s="5"/>
    </row>
    <row r="789">
      <c r="B789" s="11"/>
      <c r="C789" s="4"/>
      <c r="D789" s="5"/>
    </row>
    <row r="790">
      <c r="B790" s="11"/>
      <c r="C790" s="4"/>
      <c r="D790" s="5"/>
    </row>
    <row r="791">
      <c r="B791" s="11"/>
      <c r="C791" s="4"/>
      <c r="D791" s="5"/>
    </row>
    <row r="792">
      <c r="B792" s="11"/>
      <c r="C792" s="4"/>
      <c r="D792" s="5"/>
    </row>
    <row r="793">
      <c r="B793" s="11"/>
      <c r="C793" s="4"/>
      <c r="D793" s="5"/>
    </row>
    <row r="794">
      <c r="B794" s="11"/>
      <c r="C794" s="4"/>
      <c r="D794" s="5"/>
    </row>
    <row r="795">
      <c r="B795" s="11"/>
      <c r="C795" s="4"/>
      <c r="D795" s="5"/>
    </row>
    <row r="796">
      <c r="B796" s="11"/>
      <c r="C796" s="4"/>
      <c r="D796" s="5"/>
    </row>
    <row r="797">
      <c r="B797" s="11"/>
      <c r="C797" s="4"/>
      <c r="D797" s="5"/>
    </row>
    <row r="798">
      <c r="B798" s="11"/>
      <c r="C798" s="4"/>
      <c r="D798" s="5"/>
    </row>
    <row r="799">
      <c r="B799" s="11"/>
      <c r="C799" s="4"/>
      <c r="D799" s="5"/>
    </row>
    <row r="800">
      <c r="B800" s="11"/>
      <c r="C800" s="4"/>
      <c r="D800" s="5"/>
    </row>
    <row r="801">
      <c r="B801" s="11"/>
      <c r="C801" s="4"/>
      <c r="D801" s="5"/>
    </row>
    <row r="802">
      <c r="B802" s="11"/>
      <c r="C802" s="4"/>
      <c r="D802" s="5"/>
    </row>
    <row r="803">
      <c r="B803" s="11"/>
      <c r="C803" s="4"/>
      <c r="D803" s="5"/>
    </row>
    <row r="804">
      <c r="B804" s="11"/>
      <c r="C804" s="4"/>
      <c r="D804" s="5"/>
    </row>
    <row r="805">
      <c r="B805" s="11"/>
      <c r="C805" s="4"/>
      <c r="D805" s="5"/>
    </row>
    <row r="806">
      <c r="B806" s="11"/>
      <c r="C806" s="4"/>
      <c r="D806" s="5"/>
    </row>
    <row r="807">
      <c r="B807" s="11"/>
      <c r="C807" s="4"/>
      <c r="D807" s="5"/>
    </row>
    <row r="808">
      <c r="B808" s="11"/>
      <c r="C808" s="4"/>
      <c r="D808" s="5"/>
    </row>
    <row r="809">
      <c r="B809" s="11"/>
      <c r="C809" s="4"/>
      <c r="D809" s="5"/>
    </row>
    <row r="810">
      <c r="B810" s="11"/>
      <c r="C810" s="4"/>
      <c r="D810" s="5"/>
    </row>
    <row r="811">
      <c r="B811" s="11"/>
      <c r="C811" s="4"/>
      <c r="D811" s="5"/>
    </row>
    <row r="812">
      <c r="B812" s="11"/>
      <c r="C812" s="4"/>
      <c r="D812" s="5"/>
    </row>
    <row r="813">
      <c r="B813" s="11"/>
      <c r="C813" s="4"/>
      <c r="D813" s="5"/>
    </row>
    <row r="814">
      <c r="B814" s="11"/>
      <c r="C814" s="4"/>
      <c r="D814" s="5"/>
    </row>
    <row r="815">
      <c r="B815" s="11"/>
      <c r="C815" s="4"/>
      <c r="D815" s="5"/>
    </row>
    <row r="816">
      <c r="B816" s="11"/>
      <c r="C816" s="4"/>
      <c r="D816" s="5"/>
    </row>
    <row r="817">
      <c r="B817" s="11"/>
      <c r="C817" s="4"/>
      <c r="D817" s="5"/>
    </row>
    <row r="818">
      <c r="B818" s="11"/>
      <c r="C818" s="4"/>
      <c r="D818" s="5"/>
    </row>
    <row r="819">
      <c r="B819" s="11"/>
      <c r="C819" s="4"/>
      <c r="D819" s="5"/>
    </row>
    <row r="820">
      <c r="B820" s="11"/>
      <c r="C820" s="4"/>
      <c r="D820" s="5"/>
    </row>
    <row r="821">
      <c r="B821" s="11"/>
      <c r="C821" s="4"/>
      <c r="D821" s="5"/>
    </row>
    <row r="822">
      <c r="B822" s="11"/>
      <c r="C822" s="4"/>
      <c r="D822" s="5"/>
    </row>
    <row r="823">
      <c r="B823" s="11"/>
      <c r="C823" s="4"/>
      <c r="D823" s="5"/>
    </row>
    <row r="824">
      <c r="B824" s="11"/>
      <c r="C824" s="4"/>
      <c r="D824" s="5"/>
    </row>
    <row r="825">
      <c r="B825" s="11"/>
      <c r="C825" s="4"/>
      <c r="D825" s="5"/>
    </row>
    <row r="826">
      <c r="B826" s="11"/>
      <c r="C826" s="4"/>
      <c r="D826" s="5"/>
    </row>
    <row r="827">
      <c r="B827" s="11"/>
      <c r="C827" s="4"/>
      <c r="D827" s="5"/>
    </row>
    <row r="828">
      <c r="B828" s="11"/>
      <c r="C828" s="4"/>
      <c r="D828" s="5"/>
    </row>
    <row r="829">
      <c r="B829" s="11"/>
      <c r="C829" s="4"/>
      <c r="D829" s="5"/>
    </row>
    <row r="830">
      <c r="B830" s="11"/>
      <c r="C830" s="4"/>
      <c r="D830" s="5"/>
    </row>
    <row r="831">
      <c r="B831" s="11"/>
      <c r="C831" s="4"/>
      <c r="D831" s="5"/>
    </row>
    <row r="832">
      <c r="B832" s="11"/>
      <c r="C832" s="4"/>
      <c r="D832" s="5"/>
    </row>
    <row r="833">
      <c r="B833" s="11"/>
      <c r="C833" s="4"/>
      <c r="D833" s="5"/>
    </row>
    <row r="834">
      <c r="B834" s="11"/>
      <c r="C834" s="4"/>
      <c r="D834" s="5"/>
    </row>
    <row r="835">
      <c r="B835" s="11"/>
      <c r="C835" s="4"/>
      <c r="D835" s="5"/>
    </row>
    <row r="836">
      <c r="B836" s="11"/>
      <c r="C836" s="4"/>
      <c r="D836" s="5"/>
    </row>
    <row r="837">
      <c r="B837" s="11"/>
      <c r="C837" s="4"/>
      <c r="D837" s="5"/>
    </row>
    <row r="838">
      <c r="B838" s="11"/>
      <c r="C838" s="4"/>
      <c r="D838" s="5"/>
    </row>
    <row r="839">
      <c r="B839" s="11"/>
      <c r="C839" s="4"/>
      <c r="D839" s="5"/>
    </row>
    <row r="840">
      <c r="B840" s="11"/>
      <c r="C840" s="4"/>
      <c r="D840" s="5"/>
    </row>
    <row r="841">
      <c r="B841" s="11"/>
      <c r="C841" s="4"/>
      <c r="D841" s="5"/>
    </row>
    <row r="842">
      <c r="B842" s="11"/>
      <c r="C842" s="4"/>
      <c r="D842" s="5"/>
    </row>
    <row r="843">
      <c r="B843" s="11"/>
      <c r="C843" s="4"/>
      <c r="D843" s="5"/>
    </row>
    <row r="844">
      <c r="B844" s="11"/>
      <c r="C844" s="4"/>
      <c r="D844" s="5"/>
    </row>
    <row r="845">
      <c r="B845" s="11"/>
      <c r="C845" s="4"/>
      <c r="D845" s="5"/>
    </row>
    <row r="846">
      <c r="B846" s="11"/>
      <c r="C846" s="4"/>
      <c r="D846" s="5"/>
    </row>
    <row r="847">
      <c r="B847" s="11"/>
      <c r="C847" s="4"/>
      <c r="D847" s="5"/>
    </row>
    <row r="848">
      <c r="B848" s="11"/>
      <c r="C848" s="4"/>
      <c r="D848" s="5"/>
    </row>
    <row r="849">
      <c r="B849" s="11"/>
      <c r="C849" s="4"/>
      <c r="D849" s="5"/>
    </row>
    <row r="850">
      <c r="B850" s="11"/>
      <c r="C850" s="4"/>
      <c r="D850" s="5"/>
    </row>
    <row r="851">
      <c r="B851" s="11"/>
      <c r="C851" s="4"/>
      <c r="D851" s="5"/>
    </row>
    <row r="852">
      <c r="B852" s="11"/>
      <c r="C852" s="4"/>
      <c r="D852" s="5"/>
    </row>
    <row r="853">
      <c r="B853" s="11"/>
      <c r="C853" s="4"/>
      <c r="D853" s="5"/>
    </row>
    <row r="854">
      <c r="B854" s="11"/>
      <c r="C854" s="4"/>
      <c r="D854" s="5"/>
    </row>
    <row r="855">
      <c r="B855" s="11"/>
      <c r="C855" s="4"/>
      <c r="D855" s="5"/>
    </row>
    <row r="856">
      <c r="B856" s="11"/>
      <c r="C856" s="4"/>
      <c r="D856" s="5"/>
    </row>
    <row r="857">
      <c r="B857" s="11"/>
      <c r="C857" s="4"/>
      <c r="D857" s="5"/>
    </row>
    <row r="858">
      <c r="B858" s="11"/>
      <c r="C858" s="4"/>
      <c r="D858" s="5"/>
    </row>
    <row r="859">
      <c r="B859" s="11"/>
      <c r="C859" s="4"/>
      <c r="D859" s="5"/>
    </row>
    <row r="860">
      <c r="B860" s="11"/>
      <c r="C860" s="4"/>
      <c r="D860" s="5"/>
    </row>
    <row r="861">
      <c r="B861" s="11"/>
      <c r="C861" s="4"/>
      <c r="D861" s="5"/>
    </row>
    <row r="862">
      <c r="B862" s="11"/>
      <c r="C862" s="4"/>
      <c r="D862" s="5"/>
    </row>
    <row r="863">
      <c r="B863" s="11"/>
      <c r="C863" s="4"/>
      <c r="D863" s="5"/>
    </row>
    <row r="864">
      <c r="B864" s="11"/>
      <c r="C864" s="4"/>
      <c r="D864" s="5"/>
    </row>
    <row r="865">
      <c r="B865" s="11"/>
      <c r="C865" s="4"/>
      <c r="D865" s="5"/>
    </row>
    <row r="866">
      <c r="B866" s="11"/>
      <c r="C866" s="4"/>
      <c r="D866" s="5"/>
    </row>
    <row r="867">
      <c r="B867" s="11"/>
      <c r="C867" s="4"/>
      <c r="D867" s="5"/>
    </row>
    <row r="868">
      <c r="B868" s="11"/>
      <c r="C868" s="4"/>
      <c r="D868" s="5"/>
    </row>
    <row r="869">
      <c r="B869" s="11"/>
      <c r="C869" s="4"/>
      <c r="D869" s="5"/>
    </row>
    <row r="870">
      <c r="B870" s="11"/>
      <c r="C870" s="4"/>
      <c r="D870" s="5"/>
    </row>
    <row r="871">
      <c r="B871" s="11"/>
      <c r="C871" s="4"/>
      <c r="D871" s="5"/>
    </row>
    <row r="872">
      <c r="B872" s="11"/>
      <c r="C872" s="4"/>
      <c r="D872" s="5"/>
    </row>
    <row r="873">
      <c r="B873" s="11"/>
      <c r="C873" s="4"/>
      <c r="D873" s="5"/>
    </row>
    <row r="874">
      <c r="B874" s="11"/>
      <c r="C874" s="4"/>
      <c r="D874" s="5"/>
    </row>
    <row r="875">
      <c r="B875" s="11"/>
      <c r="C875" s="4"/>
      <c r="D875" s="5"/>
    </row>
    <row r="876">
      <c r="B876" s="11"/>
      <c r="C876" s="4"/>
      <c r="D876" s="5"/>
    </row>
    <row r="877">
      <c r="B877" s="11"/>
      <c r="C877" s="4"/>
      <c r="D877" s="5"/>
    </row>
    <row r="878">
      <c r="B878" s="11"/>
      <c r="C878" s="4"/>
      <c r="D878" s="5"/>
    </row>
    <row r="879">
      <c r="B879" s="11"/>
      <c r="C879" s="4"/>
      <c r="D879" s="5"/>
    </row>
    <row r="880">
      <c r="B880" s="11"/>
      <c r="C880" s="4"/>
      <c r="D880" s="5"/>
    </row>
    <row r="881">
      <c r="B881" s="11"/>
      <c r="C881" s="4"/>
      <c r="D881" s="5"/>
    </row>
    <row r="882">
      <c r="B882" s="11"/>
      <c r="C882" s="4"/>
      <c r="D882" s="5"/>
    </row>
    <row r="883">
      <c r="B883" s="11"/>
      <c r="C883" s="4"/>
      <c r="D883" s="5"/>
    </row>
    <row r="884">
      <c r="B884" s="11"/>
      <c r="C884" s="4"/>
      <c r="D884" s="5"/>
    </row>
    <row r="885">
      <c r="B885" s="11"/>
      <c r="C885" s="4"/>
      <c r="D885" s="5"/>
    </row>
    <row r="886">
      <c r="B886" s="11"/>
      <c r="C886" s="4"/>
      <c r="D886" s="5"/>
    </row>
    <row r="887">
      <c r="B887" s="11"/>
      <c r="C887" s="4"/>
      <c r="D887" s="5"/>
    </row>
    <row r="888">
      <c r="B888" s="11"/>
      <c r="C888" s="4"/>
      <c r="D888" s="5"/>
    </row>
    <row r="889">
      <c r="B889" s="11"/>
      <c r="C889" s="4"/>
      <c r="D889" s="5"/>
    </row>
    <row r="890">
      <c r="B890" s="11"/>
      <c r="C890" s="4"/>
      <c r="D890" s="5"/>
    </row>
    <row r="891">
      <c r="B891" s="11"/>
      <c r="C891" s="4"/>
      <c r="D891" s="5"/>
    </row>
    <row r="892">
      <c r="B892" s="11"/>
      <c r="C892" s="4"/>
      <c r="D892" s="5"/>
    </row>
    <row r="893">
      <c r="B893" s="11"/>
      <c r="C893" s="4"/>
      <c r="D893" s="5"/>
    </row>
    <row r="894">
      <c r="B894" s="11"/>
      <c r="C894" s="4"/>
      <c r="D894" s="5"/>
    </row>
    <row r="895">
      <c r="B895" s="11"/>
      <c r="C895" s="4"/>
      <c r="D895" s="5"/>
    </row>
    <row r="896">
      <c r="B896" s="11"/>
      <c r="C896" s="4"/>
      <c r="D896" s="5"/>
    </row>
    <row r="897">
      <c r="B897" s="11"/>
      <c r="C897" s="4"/>
      <c r="D897" s="5"/>
    </row>
    <row r="898">
      <c r="B898" s="11"/>
      <c r="C898" s="4"/>
      <c r="D898" s="5"/>
    </row>
    <row r="899">
      <c r="B899" s="11"/>
      <c r="C899" s="4"/>
      <c r="D899" s="5"/>
    </row>
    <row r="900">
      <c r="B900" s="11"/>
      <c r="C900" s="4"/>
      <c r="D900" s="5"/>
    </row>
    <row r="901">
      <c r="B901" s="11"/>
      <c r="C901" s="4"/>
      <c r="D901" s="5"/>
    </row>
    <row r="902">
      <c r="B902" s="11"/>
      <c r="C902" s="4"/>
      <c r="D902" s="5"/>
    </row>
    <row r="903">
      <c r="B903" s="11"/>
      <c r="C903" s="4"/>
      <c r="D903" s="5"/>
    </row>
    <row r="904">
      <c r="B904" s="11"/>
      <c r="C904" s="4"/>
      <c r="D904" s="5"/>
    </row>
    <row r="905">
      <c r="B905" s="11"/>
      <c r="C905" s="4"/>
      <c r="D905" s="5"/>
    </row>
    <row r="906">
      <c r="B906" s="11"/>
      <c r="C906" s="4"/>
      <c r="D906" s="5"/>
    </row>
    <row r="907">
      <c r="B907" s="11"/>
      <c r="C907" s="4"/>
      <c r="D907" s="5"/>
    </row>
    <row r="908">
      <c r="B908" s="11"/>
      <c r="C908" s="4"/>
      <c r="D908" s="5"/>
    </row>
    <row r="909">
      <c r="B909" s="11"/>
      <c r="C909" s="4"/>
      <c r="D909" s="5"/>
    </row>
    <row r="910">
      <c r="B910" s="11"/>
      <c r="C910" s="4"/>
      <c r="D910" s="5"/>
    </row>
    <row r="911">
      <c r="B911" s="11"/>
      <c r="C911" s="4"/>
      <c r="D911" s="5"/>
    </row>
    <row r="912">
      <c r="B912" s="11"/>
      <c r="C912" s="4"/>
      <c r="D912" s="5"/>
    </row>
    <row r="913">
      <c r="B913" s="11"/>
      <c r="C913" s="4"/>
      <c r="D913" s="5"/>
    </row>
    <row r="914">
      <c r="B914" s="11"/>
      <c r="C914" s="4"/>
      <c r="D914" s="5"/>
    </row>
    <row r="915">
      <c r="B915" s="11"/>
      <c r="C915" s="4"/>
      <c r="D915" s="5"/>
    </row>
    <row r="916">
      <c r="B916" s="11"/>
      <c r="C916" s="4"/>
      <c r="D916" s="5"/>
    </row>
    <row r="917">
      <c r="B917" s="11"/>
      <c r="C917" s="4"/>
      <c r="D917" s="5"/>
    </row>
    <row r="918">
      <c r="B918" s="11"/>
      <c r="C918" s="4"/>
      <c r="D918" s="5"/>
    </row>
    <row r="919">
      <c r="B919" s="11"/>
      <c r="C919" s="4"/>
      <c r="D919" s="5"/>
    </row>
    <row r="920">
      <c r="B920" s="11"/>
      <c r="C920" s="4"/>
      <c r="D920" s="5"/>
    </row>
    <row r="921">
      <c r="B921" s="11"/>
      <c r="C921" s="4"/>
      <c r="D921" s="5"/>
    </row>
    <row r="922">
      <c r="B922" s="11"/>
      <c r="C922" s="4"/>
      <c r="D922" s="5"/>
    </row>
    <row r="923">
      <c r="B923" s="11"/>
      <c r="C923" s="4"/>
      <c r="D923" s="5"/>
    </row>
    <row r="924">
      <c r="B924" s="11"/>
      <c r="C924" s="4"/>
      <c r="D924" s="5"/>
    </row>
    <row r="925">
      <c r="B925" s="11"/>
      <c r="C925" s="4"/>
      <c r="D925" s="5"/>
    </row>
    <row r="926">
      <c r="B926" s="11"/>
      <c r="C926" s="4"/>
      <c r="D926" s="5"/>
    </row>
    <row r="927">
      <c r="B927" s="11"/>
      <c r="C927" s="4"/>
      <c r="D927" s="5"/>
    </row>
    <row r="928">
      <c r="B928" s="11"/>
      <c r="C928" s="4"/>
      <c r="D928" s="5"/>
    </row>
    <row r="929">
      <c r="B929" s="11"/>
      <c r="C929" s="4"/>
      <c r="D929" s="5"/>
    </row>
    <row r="930">
      <c r="B930" s="11"/>
      <c r="C930" s="4"/>
      <c r="D930" s="5"/>
    </row>
    <row r="931">
      <c r="B931" s="11"/>
      <c r="C931" s="4"/>
      <c r="D931" s="5"/>
    </row>
    <row r="932">
      <c r="B932" s="11"/>
      <c r="C932" s="4"/>
      <c r="D932" s="5"/>
    </row>
    <row r="933">
      <c r="B933" s="11"/>
      <c r="C933" s="4"/>
      <c r="D933" s="5"/>
    </row>
    <row r="934">
      <c r="B934" s="11"/>
      <c r="C934" s="4"/>
      <c r="D934" s="5"/>
    </row>
    <row r="935">
      <c r="B935" s="11"/>
      <c r="C935" s="4"/>
      <c r="D935" s="5"/>
    </row>
    <row r="936">
      <c r="B936" s="11"/>
      <c r="C936" s="4"/>
      <c r="D936" s="5"/>
    </row>
    <row r="937">
      <c r="B937" s="11"/>
      <c r="C937" s="4"/>
      <c r="D937" s="5"/>
    </row>
    <row r="938">
      <c r="B938" s="11"/>
      <c r="C938" s="4"/>
      <c r="D938" s="5"/>
    </row>
    <row r="939">
      <c r="B939" s="11"/>
      <c r="C939" s="4"/>
      <c r="D939" s="5"/>
    </row>
    <row r="940">
      <c r="B940" s="11"/>
      <c r="C940" s="4"/>
      <c r="D940" s="5"/>
    </row>
    <row r="941">
      <c r="B941" s="11"/>
      <c r="C941" s="4"/>
      <c r="D941" s="5"/>
    </row>
    <row r="942">
      <c r="B942" s="11"/>
      <c r="C942" s="4"/>
      <c r="D942" s="5"/>
    </row>
    <row r="943">
      <c r="B943" s="11"/>
      <c r="C943" s="4"/>
      <c r="D943" s="5"/>
    </row>
    <row r="944">
      <c r="B944" s="11"/>
      <c r="C944" s="4"/>
      <c r="D944" s="5"/>
    </row>
    <row r="945">
      <c r="B945" s="11"/>
      <c r="C945" s="4"/>
      <c r="D945" s="5"/>
    </row>
    <row r="946">
      <c r="B946" s="11"/>
      <c r="C946" s="4"/>
      <c r="D946" s="5"/>
    </row>
    <row r="947">
      <c r="B947" s="11"/>
      <c r="C947" s="4"/>
      <c r="D947" s="5"/>
    </row>
    <row r="948">
      <c r="B948" s="11"/>
      <c r="C948" s="4"/>
      <c r="D948" s="5"/>
    </row>
    <row r="949">
      <c r="B949" s="11"/>
      <c r="C949" s="4"/>
      <c r="D949" s="5"/>
    </row>
    <row r="950">
      <c r="B950" s="11"/>
      <c r="C950" s="4"/>
      <c r="D950" s="5"/>
    </row>
    <row r="951">
      <c r="B951" s="11"/>
      <c r="C951" s="4"/>
      <c r="D951" s="5"/>
    </row>
    <row r="952">
      <c r="B952" s="11"/>
      <c r="C952" s="4"/>
      <c r="D952" s="5"/>
    </row>
    <row r="953">
      <c r="B953" s="11"/>
      <c r="C953" s="4"/>
      <c r="D953" s="5"/>
    </row>
    <row r="954">
      <c r="B954" s="11"/>
      <c r="C954" s="4"/>
      <c r="D954" s="5"/>
    </row>
    <row r="955">
      <c r="B955" s="11"/>
      <c r="C955" s="4"/>
      <c r="D955" s="5"/>
    </row>
    <row r="956">
      <c r="B956" s="11"/>
      <c r="C956" s="4"/>
      <c r="D956" s="5"/>
    </row>
    <row r="957">
      <c r="B957" s="11"/>
      <c r="C957" s="4"/>
      <c r="D957" s="5"/>
    </row>
    <row r="958">
      <c r="B958" s="11"/>
      <c r="C958" s="4"/>
      <c r="D958" s="5"/>
    </row>
    <row r="959">
      <c r="B959" s="11"/>
      <c r="C959" s="4"/>
      <c r="D959" s="5"/>
    </row>
    <row r="960">
      <c r="B960" s="11"/>
      <c r="C960" s="4"/>
      <c r="D960" s="5"/>
    </row>
    <row r="961">
      <c r="B961" s="11"/>
      <c r="C961" s="4"/>
      <c r="D961" s="5"/>
    </row>
    <row r="962">
      <c r="B962" s="11"/>
      <c r="C962" s="4"/>
      <c r="D962" s="5"/>
    </row>
    <row r="963">
      <c r="B963" s="11"/>
      <c r="C963" s="4"/>
      <c r="D963" s="5"/>
    </row>
    <row r="964">
      <c r="B964" s="11"/>
      <c r="C964" s="4"/>
      <c r="D964" s="5"/>
    </row>
    <row r="965">
      <c r="B965" s="11"/>
      <c r="C965" s="4"/>
      <c r="D965" s="5"/>
    </row>
    <row r="966">
      <c r="B966" s="11"/>
      <c r="C966" s="4"/>
      <c r="D966" s="5"/>
    </row>
    <row r="967">
      <c r="B967" s="11"/>
      <c r="C967" s="4"/>
      <c r="D967" s="5"/>
    </row>
    <row r="968">
      <c r="B968" s="11"/>
      <c r="C968" s="4"/>
      <c r="D968" s="5"/>
    </row>
    <row r="969">
      <c r="B969" s="11"/>
      <c r="C969" s="4"/>
      <c r="D969" s="5"/>
    </row>
    <row r="970">
      <c r="B970" s="11"/>
      <c r="C970" s="4"/>
      <c r="D970" s="5"/>
    </row>
    <row r="971">
      <c r="B971" s="11"/>
      <c r="C971" s="4"/>
      <c r="D971" s="5"/>
    </row>
    <row r="972">
      <c r="B972" s="11"/>
      <c r="C972" s="4"/>
      <c r="D972" s="5"/>
    </row>
    <row r="973">
      <c r="B973" s="11"/>
      <c r="C973" s="4"/>
      <c r="D973" s="5"/>
    </row>
    <row r="974">
      <c r="B974" s="11"/>
      <c r="C974" s="4"/>
      <c r="D974" s="5"/>
    </row>
    <row r="975">
      <c r="B975" s="11"/>
      <c r="C975" s="4"/>
      <c r="D975" s="5"/>
    </row>
    <row r="976">
      <c r="B976" s="11"/>
      <c r="C976" s="4"/>
      <c r="D976" s="5"/>
    </row>
    <row r="977">
      <c r="B977" s="11"/>
      <c r="C977" s="4"/>
      <c r="D977" s="5"/>
    </row>
    <row r="978">
      <c r="B978" s="11"/>
      <c r="C978" s="4"/>
      <c r="D978" s="5"/>
    </row>
    <row r="979">
      <c r="B979" s="11"/>
      <c r="C979" s="4"/>
      <c r="D979" s="5"/>
    </row>
    <row r="980">
      <c r="B980" s="11"/>
      <c r="C980" s="4"/>
      <c r="D980" s="5"/>
    </row>
    <row r="981">
      <c r="B981" s="11"/>
      <c r="C981" s="4"/>
      <c r="D981" s="5"/>
    </row>
    <row r="982">
      <c r="B982" s="11"/>
      <c r="C982" s="4"/>
      <c r="D982" s="5"/>
    </row>
    <row r="983">
      <c r="B983" s="11"/>
      <c r="C983" s="4"/>
      <c r="D983" s="5"/>
    </row>
    <row r="984">
      <c r="B984" s="11"/>
      <c r="C984" s="4"/>
      <c r="D984" s="5"/>
    </row>
    <row r="985">
      <c r="B985" s="11"/>
      <c r="C985" s="4"/>
      <c r="D985" s="5"/>
    </row>
    <row r="986">
      <c r="B986" s="11"/>
      <c r="C986" s="4"/>
      <c r="D986" s="5"/>
    </row>
    <row r="987">
      <c r="B987" s="11"/>
      <c r="C987" s="4"/>
      <c r="D987" s="5"/>
    </row>
    <row r="988">
      <c r="B988" s="11"/>
      <c r="C988" s="4"/>
      <c r="D988" s="5"/>
    </row>
    <row r="989">
      <c r="B989" s="11"/>
      <c r="C989" s="4"/>
      <c r="D989" s="5"/>
    </row>
    <row r="990">
      <c r="B990" s="11"/>
      <c r="C990" s="4"/>
      <c r="D990" s="5"/>
    </row>
    <row r="991">
      <c r="B991" s="11"/>
      <c r="C991" s="4"/>
      <c r="D991" s="5"/>
    </row>
    <row r="992">
      <c r="B992" s="11"/>
      <c r="C992" s="4"/>
      <c r="D992" s="5"/>
    </row>
    <row r="993">
      <c r="B993" s="11"/>
      <c r="C993" s="4"/>
      <c r="D993" s="5"/>
    </row>
    <row r="994">
      <c r="B994" s="11"/>
      <c r="C994" s="4"/>
      <c r="D994" s="5"/>
    </row>
    <row r="995">
      <c r="B995" s="11"/>
      <c r="C995" s="4"/>
      <c r="D995" s="5"/>
    </row>
    <row r="996">
      <c r="B996" s="11"/>
      <c r="C996" s="4"/>
      <c r="D996" s="5"/>
    </row>
    <row r="997">
      <c r="B997" s="11"/>
      <c r="C997" s="4"/>
      <c r="D997" s="5"/>
    </row>
    <row r="998">
      <c r="B998" s="11"/>
      <c r="C998" s="4"/>
      <c r="D998" s="5"/>
    </row>
    <row r="999">
      <c r="B999" s="11"/>
      <c r="C999" s="4"/>
      <c r="D999" s="5"/>
    </row>
    <row r="1000">
      <c r="B1000" s="11"/>
      <c r="C1000" s="4"/>
      <c r="D1000" s="5"/>
    </row>
    <row r="1001">
      <c r="B1001" s="11"/>
      <c r="C1001" s="4"/>
      <c r="D1001" s="5"/>
    </row>
    <row r="1002">
      <c r="B1002" s="11"/>
      <c r="C1002" s="4"/>
      <c r="D1002" s="5"/>
    </row>
    <row r="1003">
      <c r="B1003" s="11"/>
      <c r="C1003" s="4"/>
      <c r="D1003" s="5"/>
    </row>
    <row r="1004">
      <c r="B1004" s="11"/>
      <c r="C1004" s="4"/>
      <c r="D1004" s="5"/>
    </row>
    <row r="1005">
      <c r="B1005" s="11"/>
      <c r="C1005" s="4"/>
      <c r="D1005" s="5"/>
    </row>
    <row r="1006">
      <c r="B1006" s="11"/>
      <c r="C1006" s="4"/>
      <c r="D1006" s="5"/>
    </row>
    <row r="1007">
      <c r="B1007" s="11"/>
      <c r="C1007" s="4"/>
      <c r="D1007" s="5"/>
    </row>
    <row r="1008">
      <c r="B1008" s="11"/>
      <c r="C1008" s="4"/>
      <c r="D1008" s="5"/>
    </row>
    <row r="1009">
      <c r="B1009" s="11"/>
      <c r="C1009" s="4"/>
      <c r="D1009" s="5"/>
    </row>
    <row r="1010">
      <c r="B1010" s="11"/>
      <c r="C1010" s="4"/>
      <c r="D1010" s="5"/>
    </row>
    <row r="1011">
      <c r="B1011" s="11"/>
      <c r="C1011" s="4"/>
      <c r="D1011" s="5"/>
    </row>
    <row r="1012">
      <c r="B1012" s="11"/>
      <c r="C1012" s="4"/>
      <c r="D1012" s="5"/>
    </row>
    <row r="1013">
      <c r="B1013" s="11"/>
      <c r="C1013" s="4"/>
      <c r="D1013" s="5"/>
    </row>
    <row r="1014">
      <c r="B1014" s="11"/>
      <c r="C1014" s="4"/>
      <c r="D1014" s="5"/>
    </row>
    <row r="1015">
      <c r="B1015" s="11"/>
      <c r="C1015" s="4"/>
      <c r="D1015" s="5"/>
    </row>
    <row r="1016">
      <c r="B1016" s="11"/>
      <c r="C1016" s="4"/>
      <c r="D1016" s="5"/>
    </row>
    <row r="1017">
      <c r="B1017" s="11"/>
      <c r="C1017" s="4"/>
      <c r="D1017" s="5"/>
    </row>
    <row r="1018">
      <c r="B1018" s="11"/>
      <c r="C1018" s="4"/>
      <c r="D1018" s="5"/>
    </row>
    <row r="1019">
      <c r="B1019" s="11"/>
      <c r="C1019" s="4"/>
      <c r="D1019" s="5"/>
    </row>
    <row r="1020">
      <c r="B1020" s="11"/>
      <c r="C1020" s="4"/>
      <c r="D1020" s="5"/>
    </row>
    <row r="1021">
      <c r="B1021" s="11"/>
      <c r="C1021" s="4"/>
      <c r="D1021" s="5"/>
    </row>
    <row r="1022">
      <c r="B1022" s="11"/>
      <c r="C1022" s="4"/>
      <c r="D1022" s="5"/>
    </row>
    <row r="1023">
      <c r="B1023" s="11"/>
      <c r="C1023" s="4"/>
      <c r="D1023" s="5"/>
    </row>
    <row r="1024">
      <c r="B1024" s="11"/>
      <c r="C1024" s="4"/>
      <c r="D1024" s="5"/>
    </row>
    <row r="1025">
      <c r="B1025" s="11"/>
      <c r="C1025" s="4"/>
      <c r="D1025" s="5"/>
    </row>
    <row r="1026">
      <c r="B1026" s="11"/>
      <c r="C1026" s="4"/>
      <c r="D1026" s="5"/>
    </row>
    <row r="1027">
      <c r="B1027" s="11"/>
      <c r="C1027" s="4"/>
      <c r="D1027" s="5"/>
    </row>
    <row r="1028">
      <c r="B1028" s="11"/>
      <c r="C1028" s="4"/>
      <c r="D1028" s="5"/>
    </row>
    <row r="1029">
      <c r="B1029" s="11"/>
      <c r="C1029" s="4"/>
      <c r="D1029" s="5"/>
    </row>
    <row r="1030">
      <c r="B1030" s="11"/>
      <c r="C1030" s="4"/>
      <c r="D1030" s="5"/>
    </row>
    <row r="1031">
      <c r="B1031" s="11"/>
      <c r="C1031" s="4"/>
      <c r="D1031" s="5"/>
    </row>
    <row r="1032">
      <c r="B1032" s="11"/>
      <c r="C1032" s="4"/>
      <c r="D1032" s="5"/>
    </row>
    <row r="1033">
      <c r="B1033" s="11"/>
      <c r="C1033" s="4"/>
      <c r="D1033" s="5"/>
    </row>
    <row r="1034">
      <c r="B1034" s="11"/>
      <c r="C1034" s="4"/>
      <c r="D1034" s="5"/>
    </row>
    <row r="1035">
      <c r="B1035" s="11"/>
      <c r="C1035" s="4"/>
      <c r="D1035" s="5"/>
    </row>
    <row r="1036">
      <c r="B1036" s="11"/>
      <c r="C1036" s="4"/>
      <c r="D1036" s="5"/>
    </row>
    <row r="1037">
      <c r="B1037" s="11"/>
      <c r="C1037" s="4"/>
      <c r="D1037" s="5"/>
    </row>
    <row r="1038">
      <c r="B1038" s="11"/>
      <c r="C1038" s="4"/>
      <c r="D1038" s="5"/>
    </row>
    <row r="1039">
      <c r="B1039" s="11"/>
      <c r="C1039" s="4"/>
      <c r="D1039" s="5"/>
    </row>
    <row r="1040">
      <c r="B1040" s="11"/>
      <c r="C1040" s="4"/>
      <c r="D1040" s="5"/>
    </row>
    <row r="1041">
      <c r="B1041" s="11"/>
      <c r="C1041" s="4"/>
      <c r="D1041" s="5"/>
    </row>
    <row r="1042">
      <c r="B1042" s="11"/>
      <c r="C1042" s="4"/>
      <c r="D1042" s="5"/>
    </row>
    <row r="1043">
      <c r="B1043" s="11"/>
      <c r="C1043" s="4"/>
      <c r="D1043" s="5"/>
    </row>
    <row r="1044">
      <c r="B1044" s="11"/>
      <c r="C1044" s="4"/>
      <c r="D1044" s="5"/>
    </row>
    <row r="1045">
      <c r="B1045" s="11"/>
      <c r="C1045" s="4"/>
      <c r="D1045" s="5"/>
    </row>
    <row r="1046">
      <c r="B1046" s="11"/>
      <c r="C1046" s="4"/>
      <c r="D1046" s="5"/>
    </row>
    <row r="1047">
      <c r="B1047" s="11"/>
      <c r="C1047" s="4"/>
      <c r="D1047" s="5"/>
    </row>
    <row r="1048">
      <c r="B1048" s="11"/>
      <c r="C1048" s="4"/>
      <c r="D1048" s="5"/>
    </row>
    <row r="1049">
      <c r="B1049" s="11"/>
      <c r="C1049" s="4"/>
      <c r="D1049" s="5"/>
    </row>
    <row r="1050">
      <c r="B1050" s="11"/>
      <c r="C1050" s="4"/>
      <c r="D1050" s="5"/>
    </row>
    <row r="1051">
      <c r="B1051" s="11"/>
      <c r="C1051" s="4"/>
      <c r="D1051" s="5"/>
    </row>
    <row r="1052">
      <c r="B1052" s="11"/>
      <c r="C1052" s="4"/>
      <c r="D1052" s="5"/>
    </row>
    <row r="1053">
      <c r="B1053" s="11"/>
      <c r="C1053" s="4"/>
      <c r="D1053" s="5"/>
    </row>
    <row r="1054">
      <c r="B1054" s="11"/>
      <c r="C1054" s="4"/>
      <c r="D1054" s="5"/>
    </row>
    <row r="1055">
      <c r="B1055" s="11"/>
      <c r="C1055" s="4"/>
      <c r="D1055" s="5"/>
    </row>
    <row r="1056">
      <c r="B1056" s="11"/>
      <c r="C1056" s="4"/>
      <c r="D1056" s="5"/>
    </row>
    <row r="1057">
      <c r="B1057" s="11"/>
      <c r="C1057" s="4"/>
      <c r="D1057" s="5"/>
    </row>
    <row r="1058">
      <c r="B1058" s="11"/>
      <c r="C1058" s="4"/>
      <c r="D1058" s="5"/>
    </row>
    <row r="1059">
      <c r="B1059" s="11"/>
      <c r="C1059" s="4"/>
      <c r="D1059" s="5"/>
    </row>
    <row r="1060">
      <c r="B1060" s="11"/>
      <c r="C1060" s="4"/>
      <c r="D1060" s="5"/>
    </row>
    <row r="1061">
      <c r="B1061" s="11"/>
      <c r="C1061" s="4"/>
      <c r="D1061" s="5"/>
    </row>
    <row r="1062">
      <c r="B1062" s="11"/>
      <c r="C1062" s="4"/>
      <c r="D1062" s="5"/>
    </row>
    <row r="1063">
      <c r="B1063" s="11"/>
      <c r="C1063" s="4"/>
      <c r="D1063" s="5"/>
    </row>
    <row r="1064">
      <c r="B1064" s="11"/>
      <c r="C1064" s="4"/>
      <c r="D1064" s="5"/>
    </row>
    <row r="1065">
      <c r="B1065" s="11"/>
      <c r="C1065" s="4"/>
      <c r="D1065" s="5"/>
    </row>
    <row r="1066">
      <c r="B1066" s="11"/>
      <c r="C1066" s="4"/>
      <c r="D1066" s="5"/>
    </row>
    <row r="1067">
      <c r="B1067" s="11"/>
      <c r="C1067" s="4"/>
      <c r="D1067" s="5"/>
    </row>
    <row r="1068">
      <c r="B1068" s="11"/>
      <c r="C1068" s="4"/>
      <c r="D1068" s="5"/>
    </row>
    <row r="1069">
      <c r="B1069" s="11"/>
      <c r="C1069" s="4"/>
      <c r="D1069" s="5"/>
    </row>
    <row r="1070">
      <c r="B1070" s="11"/>
      <c r="C1070" s="4"/>
      <c r="D1070" s="5"/>
    </row>
    <row r="1071">
      <c r="B1071" s="11"/>
      <c r="C1071" s="4"/>
      <c r="D1071" s="5"/>
    </row>
    <row r="1072">
      <c r="B1072" s="11"/>
      <c r="C1072" s="4"/>
      <c r="D1072" s="5"/>
    </row>
    <row r="1073">
      <c r="B1073" s="11"/>
      <c r="C1073" s="4"/>
      <c r="D1073" s="5"/>
    </row>
    <row r="1074">
      <c r="B1074" s="11"/>
      <c r="C1074" s="4"/>
      <c r="D1074" s="5"/>
    </row>
    <row r="1075">
      <c r="B1075" s="11"/>
      <c r="C1075" s="4"/>
      <c r="D1075" s="5"/>
    </row>
    <row r="1076">
      <c r="B1076" s="11"/>
      <c r="C1076" s="4"/>
      <c r="D1076" s="5"/>
    </row>
    <row r="1077">
      <c r="B1077" s="11"/>
      <c r="C1077" s="4"/>
      <c r="D1077" s="5"/>
    </row>
    <row r="1078">
      <c r="B1078" s="11"/>
      <c r="C1078" s="4"/>
      <c r="D1078" s="5"/>
    </row>
    <row r="1079">
      <c r="B1079" s="11"/>
      <c r="C1079" s="4"/>
      <c r="D1079" s="5"/>
    </row>
    <row r="1080">
      <c r="B1080" s="11"/>
      <c r="C1080" s="4"/>
      <c r="D1080" s="5"/>
    </row>
    <row r="1081">
      <c r="B1081" s="11"/>
      <c r="C1081" s="4"/>
      <c r="D1081" s="5"/>
    </row>
    <row r="1082">
      <c r="B1082" s="11"/>
      <c r="C1082" s="4"/>
      <c r="D1082" s="5"/>
    </row>
    <row r="1083">
      <c r="B1083" s="11"/>
      <c r="C1083" s="4"/>
      <c r="D1083" s="5"/>
    </row>
    <row r="1084">
      <c r="B1084" s="11"/>
      <c r="C1084" s="4"/>
      <c r="D1084" s="5"/>
    </row>
    <row r="1085">
      <c r="B1085" s="11"/>
      <c r="C1085" s="4"/>
      <c r="D1085" s="5"/>
    </row>
    <row r="1086">
      <c r="B1086" s="11"/>
      <c r="C1086" s="4"/>
      <c r="D1086" s="5"/>
    </row>
    <row r="1087">
      <c r="B1087" s="11"/>
      <c r="C1087" s="4"/>
      <c r="D1087" s="5"/>
    </row>
    <row r="1088">
      <c r="B1088" s="11"/>
      <c r="C1088" s="4"/>
      <c r="D1088" s="5"/>
    </row>
    <row r="1089">
      <c r="B1089" s="11"/>
      <c r="C1089" s="4"/>
      <c r="D1089" s="5"/>
    </row>
    <row r="1090">
      <c r="B1090" s="11"/>
      <c r="C1090" s="4"/>
      <c r="D1090" s="5"/>
    </row>
    <row r="1091">
      <c r="B1091" s="11"/>
      <c r="C1091" s="4"/>
      <c r="D1091" s="5"/>
    </row>
    <row r="1092">
      <c r="B1092" s="11"/>
      <c r="C1092" s="4"/>
      <c r="D1092" s="5"/>
    </row>
    <row r="1093">
      <c r="B1093" s="11"/>
      <c r="C1093" s="4"/>
      <c r="D1093" s="5"/>
    </row>
    <row r="1094">
      <c r="B1094" s="11"/>
      <c r="C1094" s="4"/>
      <c r="D1094" s="5"/>
    </row>
    <row r="1095">
      <c r="B1095" s="11"/>
      <c r="C1095" s="4"/>
      <c r="D1095" s="5"/>
    </row>
    <row r="1096">
      <c r="B1096" s="11"/>
      <c r="C1096" s="4"/>
      <c r="D1096" s="5"/>
    </row>
    <row r="1097">
      <c r="B1097" s="11"/>
      <c r="C1097" s="4"/>
      <c r="D1097" s="5"/>
    </row>
    <row r="1098">
      <c r="B1098" s="11"/>
      <c r="C1098" s="4"/>
      <c r="D1098" s="5"/>
    </row>
    <row r="1099">
      <c r="B1099" s="11"/>
      <c r="C1099" s="4"/>
      <c r="D1099" s="5"/>
    </row>
    <row r="1100">
      <c r="B1100" s="11"/>
      <c r="C1100" s="4"/>
      <c r="D1100" s="5"/>
    </row>
    <row r="1101">
      <c r="B1101" s="11"/>
      <c r="C1101" s="4"/>
      <c r="D1101" s="5"/>
    </row>
    <row r="1102">
      <c r="B1102" s="11"/>
      <c r="C1102" s="4"/>
      <c r="D1102" s="5"/>
    </row>
    <row r="1103">
      <c r="B1103" s="11"/>
      <c r="C1103" s="4"/>
      <c r="D1103" s="5"/>
    </row>
    <row r="1104">
      <c r="B1104" s="11"/>
      <c r="C1104" s="4"/>
      <c r="D1104" s="5"/>
    </row>
    <row r="1105">
      <c r="B1105" s="11"/>
      <c r="C1105" s="4"/>
      <c r="D1105" s="5"/>
    </row>
    <row r="1106">
      <c r="B1106" s="11"/>
      <c r="C1106" s="4"/>
      <c r="D1106" s="5"/>
    </row>
    <row r="1107">
      <c r="B1107" s="11"/>
      <c r="C1107" s="4"/>
      <c r="D1107" s="5"/>
    </row>
    <row r="1108">
      <c r="B1108" s="11"/>
      <c r="C1108" s="4"/>
      <c r="D1108" s="5"/>
    </row>
    <row r="1109">
      <c r="B1109" s="11"/>
      <c r="C1109" s="4"/>
      <c r="D1109" s="5"/>
    </row>
    <row r="1110">
      <c r="B1110" s="11"/>
      <c r="C1110" s="4"/>
      <c r="D1110" s="5"/>
    </row>
    <row r="1111">
      <c r="B1111" s="11"/>
      <c r="C1111" s="4"/>
      <c r="D1111" s="5"/>
    </row>
    <row r="1112">
      <c r="B1112" s="11"/>
      <c r="C1112" s="4"/>
      <c r="D1112" s="5"/>
    </row>
    <row r="1113">
      <c r="B1113" s="11"/>
      <c r="C1113" s="4"/>
      <c r="D1113" s="5"/>
    </row>
    <row r="1114">
      <c r="B1114" s="11"/>
      <c r="C1114" s="4"/>
      <c r="D1114" s="5"/>
    </row>
    <row r="1115">
      <c r="B1115" s="11"/>
      <c r="C1115" s="4"/>
      <c r="D1115" s="5"/>
    </row>
    <row r="1116">
      <c r="B1116" s="11"/>
      <c r="C1116" s="4"/>
      <c r="D1116" s="5"/>
    </row>
    <row r="1117">
      <c r="B1117" s="11"/>
      <c r="C1117" s="4"/>
      <c r="D1117" s="5"/>
    </row>
    <row r="1118">
      <c r="B1118" s="11"/>
      <c r="C1118" s="4"/>
      <c r="D1118" s="5"/>
    </row>
    <row r="1119">
      <c r="B1119" s="11"/>
      <c r="C1119" s="4"/>
      <c r="D1119" s="5"/>
    </row>
    <row r="1120">
      <c r="B1120" s="11"/>
      <c r="C1120" s="4"/>
      <c r="D1120" s="5"/>
    </row>
    <row r="1121">
      <c r="B1121" s="11"/>
      <c r="C1121" s="4"/>
      <c r="D1121" s="5"/>
    </row>
    <row r="1122">
      <c r="B1122" s="11"/>
      <c r="C1122" s="4"/>
      <c r="D1122" s="5"/>
    </row>
    <row r="1123">
      <c r="B1123" s="11"/>
      <c r="C1123" s="4"/>
      <c r="D1123" s="5"/>
    </row>
    <row r="1124">
      <c r="B1124" s="11"/>
      <c r="C1124" s="4"/>
      <c r="D1124" s="5"/>
    </row>
    <row r="1125">
      <c r="B1125" s="11"/>
      <c r="C1125" s="4"/>
      <c r="D1125" s="5"/>
    </row>
    <row r="1126">
      <c r="B1126" s="11"/>
      <c r="C1126" s="4"/>
      <c r="D1126" s="5"/>
    </row>
    <row r="1127">
      <c r="B1127" s="11"/>
      <c r="C1127" s="4"/>
      <c r="D1127" s="5"/>
    </row>
    <row r="1128">
      <c r="B1128" s="11"/>
      <c r="C1128" s="4"/>
      <c r="D1128" s="5"/>
    </row>
    <row r="1129">
      <c r="B1129" s="11"/>
      <c r="C1129" s="4"/>
      <c r="D1129" s="5"/>
    </row>
    <row r="1130">
      <c r="B1130" s="11"/>
      <c r="C1130" s="4"/>
      <c r="D1130" s="5"/>
    </row>
    <row r="1131">
      <c r="B1131" s="11"/>
      <c r="C1131" s="4"/>
      <c r="D1131" s="5"/>
    </row>
    <row r="1132">
      <c r="B1132" s="11"/>
      <c r="C1132" s="4"/>
      <c r="D1132" s="5"/>
    </row>
    <row r="1133">
      <c r="B1133" s="11"/>
      <c r="C1133" s="4"/>
      <c r="D1133" s="5"/>
    </row>
    <row r="1134">
      <c r="B1134" s="11"/>
      <c r="C1134" s="4"/>
      <c r="D1134" s="5"/>
    </row>
    <row r="1135">
      <c r="B1135" s="11"/>
      <c r="C1135" s="4"/>
      <c r="D1135" s="5"/>
    </row>
    <row r="1136">
      <c r="B1136" s="11"/>
      <c r="C1136" s="4"/>
      <c r="D1136" s="5"/>
    </row>
    <row r="1137">
      <c r="B1137" s="11"/>
      <c r="C1137" s="4"/>
      <c r="D1137" s="5"/>
    </row>
    <row r="1138">
      <c r="B1138" s="11"/>
      <c r="C1138" s="4"/>
      <c r="D1138" s="5"/>
    </row>
    <row r="1139">
      <c r="B1139" s="11"/>
      <c r="C1139" s="4"/>
      <c r="D1139" s="5"/>
    </row>
    <row r="1140">
      <c r="B1140" s="11"/>
      <c r="C1140" s="4"/>
      <c r="D1140" s="5"/>
    </row>
    <row r="1141">
      <c r="B1141" s="11"/>
      <c r="C1141" s="4"/>
      <c r="D1141" s="5"/>
    </row>
    <row r="1142">
      <c r="B1142" s="11"/>
      <c r="C1142" s="4"/>
      <c r="D1142" s="5"/>
    </row>
    <row r="1143">
      <c r="B1143" s="11"/>
      <c r="C1143" s="4"/>
      <c r="D1143" s="5"/>
    </row>
    <row r="1144">
      <c r="B1144" s="11"/>
      <c r="C1144" s="4"/>
      <c r="D1144" s="5"/>
    </row>
    <row r="1145">
      <c r="B1145" s="11"/>
      <c r="C1145" s="4"/>
      <c r="D1145" s="5"/>
    </row>
    <row r="1146">
      <c r="B1146" s="11"/>
      <c r="C1146" s="4"/>
      <c r="D1146" s="5"/>
    </row>
    <row r="1147">
      <c r="B1147" s="11"/>
      <c r="C1147" s="4"/>
      <c r="D1147" s="5"/>
    </row>
    <row r="1148">
      <c r="B1148" s="11"/>
      <c r="C1148" s="4"/>
      <c r="D1148" s="5"/>
    </row>
    <row r="1149">
      <c r="B1149" s="11"/>
      <c r="C1149" s="4"/>
      <c r="D1149" s="5"/>
    </row>
    <row r="1150">
      <c r="B1150" s="11"/>
      <c r="C1150" s="4"/>
      <c r="D1150" s="5"/>
    </row>
    <row r="1151">
      <c r="B1151" s="11"/>
      <c r="C1151" s="4"/>
      <c r="D1151" s="5"/>
    </row>
    <row r="1152">
      <c r="B1152" s="11"/>
      <c r="C1152" s="4"/>
      <c r="D1152" s="5"/>
    </row>
    <row r="1153">
      <c r="B1153" s="11"/>
      <c r="C1153" s="4"/>
      <c r="D1153" s="5"/>
    </row>
    <row r="1154">
      <c r="B1154" s="11"/>
      <c r="C1154" s="4"/>
      <c r="D1154" s="5"/>
    </row>
    <row r="1155">
      <c r="B1155" s="11"/>
      <c r="C1155" s="4"/>
      <c r="D1155" s="5"/>
    </row>
    <row r="1156">
      <c r="B1156" s="11"/>
      <c r="C1156" s="4"/>
      <c r="D1156" s="5"/>
    </row>
    <row r="1157">
      <c r="B1157" s="11"/>
      <c r="C1157" s="4"/>
      <c r="D1157" s="5"/>
    </row>
    <row r="1158">
      <c r="B1158" s="11"/>
      <c r="C1158" s="4"/>
      <c r="D1158" s="5"/>
    </row>
    <row r="1159">
      <c r="B1159" s="11"/>
      <c r="C1159" s="4"/>
      <c r="D1159" s="5"/>
    </row>
    <row r="1160">
      <c r="B1160" s="11"/>
      <c r="C1160" s="4"/>
      <c r="D1160" s="5"/>
    </row>
    <row r="1161">
      <c r="B1161" s="11"/>
      <c r="C1161" s="4"/>
      <c r="D1161" s="5"/>
    </row>
    <row r="1162">
      <c r="B1162" s="11"/>
      <c r="C1162" s="4"/>
      <c r="D1162" s="5"/>
    </row>
    <row r="1163">
      <c r="B1163" s="11"/>
      <c r="C1163" s="4"/>
      <c r="D1163" s="5"/>
    </row>
    <row r="1164">
      <c r="B1164" s="11"/>
      <c r="C1164" s="4"/>
      <c r="D1164" s="5"/>
    </row>
    <row r="1165">
      <c r="B1165" s="11"/>
      <c r="C1165" s="4"/>
      <c r="D1165" s="5"/>
    </row>
    <row r="1166">
      <c r="B1166" s="11"/>
      <c r="C1166" s="4"/>
      <c r="D1166" s="5"/>
    </row>
    <row r="1167">
      <c r="B1167" s="11"/>
      <c r="C1167" s="4"/>
      <c r="D1167" s="5"/>
    </row>
    <row r="1168">
      <c r="B1168" s="11"/>
      <c r="C1168" s="4"/>
      <c r="D1168" s="5"/>
    </row>
    <row r="1169">
      <c r="B1169" s="11"/>
      <c r="C1169" s="4"/>
      <c r="D1169" s="5"/>
    </row>
    <row r="1170">
      <c r="B1170" s="11"/>
      <c r="C1170" s="4"/>
      <c r="D1170" s="5"/>
    </row>
    <row r="1171">
      <c r="B1171" s="11"/>
      <c r="C1171" s="4"/>
      <c r="D1171" s="5"/>
    </row>
    <row r="1172">
      <c r="B1172" s="11"/>
      <c r="C1172" s="4"/>
      <c r="D1172" s="5"/>
    </row>
    <row r="1173">
      <c r="B1173" s="11"/>
      <c r="C1173" s="4"/>
      <c r="D1173" s="5"/>
    </row>
    <row r="1174">
      <c r="B1174" s="11"/>
      <c r="C1174" s="4"/>
      <c r="D1174" s="5"/>
    </row>
    <row r="1175">
      <c r="B1175" s="11"/>
      <c r="C1175" s="4"/>
      <c r="D1175" s="5"/>
    </row>
    <row r="1176">
      <c r="B1176" s="11"/>
      <c r="C1176" s="4"/>
      <c r="D1176" s="5"/>
    </row>
    <row r="1177">
      <c r="B1177" s="11"/>
      <c r="C1177" s="4"/>
      <c r="D1177" s="5"/>
    </row>
    <row r="1178">
      <c r="B1178" s="11"/>
      <c r="C1178" s="4"/>
      <c r="D1178" s="5"/>
    </row>
    <row r="1179">
      <c r="B1179" s="11"/>
      <c r="C1179" s="4"/>
      <c r="D1179" s="5"/>
    </row>
    <row r="1180">
      <c r="B1180" s="11"/>
      <c r="C1180" s="4"/>
      <c r="D1180" s="5"/>
    </row>
    <row r="1181">
      <c r="B1181" s="11"/>
      <c r="C1181" s="4"/>
      <c r="D1181" s="5"/>
    </row>
    <row r="1182">
      <c r="B1182" s="11"/>
      <c r="C1182" s="4"/>
      <c r="D1182" s="5"/>
    </row>
    <row r="1183">
      <c r="B1183" s="11"/>
      <c r="C1183" s="4"/>
      <c r="D1183" s="5"/>
    </row>
    <row r="1184">
      <c r="B1184" s="11"/>
      <c r="C1184" s="4"/>
      <c r="D1184" s="5"/>
    </row>
    <row r="1185">
      <c r="B1185" s="11"/>
      <c r="C1185" s="4"/>
      <c r="D1185" s="5"/>
    </row>
    <row r="1186">
      <c r="B1186" s="11"/>
      <c r="C1186" s="4"/>
      <c r="D1186" s="5"/>
    </row>
    <row r="1187">
      <c r="B1187" s="11"/>
      <c r="C1187" s="4"/>
      <c r="D1187" s="5"/>
    </row>
    <row r="1188">
      <c r="B1188" s="11"/>
      <c r="C1188" s="4"/>
      <c r="D1188" s="5"/>
    </row>
    <row r="1189">
      <c r="B1189" s="11"/>
      <c r="C1189" s="4"/>
      <c r="D1189" s="5"/>
    </row>
    <row r="1190">
      <c r="B1190" s="11"/>
      <c r="C1190" s="4"/>
      <c r="D1190" s="5"/>
    </row>
    <row r="1191">
      <c r="B1191" s="11"/>
      <c r="C1191" s="4"/>
      <c r="D1191" s="5"/>
    </row>
    <row r="1192">
      <c r="B1192" s="11"/>
      <c r="C1192" s="4"/>
      <c r="D1192" s="5"/>
    </row>
    <row r="1193">
      <c r="B1193" s="11"/>
      <c r="C1193" s="4"/>
      <c r="D1193" s="5"/>
    </row>
    <row r="1194">
      <c r="B1194" s="11"/>
      <c r="C1194" s="4"/>
      <c r="D1194" s="5"/>
    </row>
    <row r="1195">
      <c r="B1195" s="11"/>
      <c r="C1195" s="4"/>
      <c r="D1195" s="5"/>
    </row>
    <row r="1196">
      <c r="B1196" s="11"/>
      <c r="C1196" s="4"/>
      <c r="D1196" s="5"/>
    </row>
    <row r="1197">
      <c r="B1197" s="11"/>
      <c r="C1197" s="4"/>
      <c r="D1197" s="5"/>
    </row>
    <row r="1198">
      <c r="B1198" s="11"/>
      <c r="C1198" s="4"/>
      <c r="D1198" s="5"/>
    </row>
    <row r="1199">
      <c r="B1199" s="11"/>
      <c r="C1199" s="4"/>
      <c r="D1199" s="5"/>
    </row>
    <row r="1200">
      <c r="B1200" s="11"/>
      <c r="C1200" s="4"/>
      <c r="D1200" s="5"/>
    </row>
    <row r="1201">
      <c r="B1201" s="11"/>
      <c r="C1201" s="4"/>
      <c r="D1201" s="5"/>
    </row>
    <row r="1202">
      <c r="B1202" s="11"/>
      <c r="C1202" s="4"/>
      <c r="D1202" s="5"/>
    </row>
    <row r="1203">
      <c r="B1203" s="11"/>
      <c r="C1203" s="4"/>
      <c r="D1203" s="5"/>
    </row>
    <row r="1204">
      <c r="B1204" s="11"/>
      <c r="C1204" s="4"/>
      <c r="D1204" s="5"/>
    </row>
    <row r="1205">
      <c r="B1205" s="11"/>
      <c r="C1205" s="4"/>
      <c r="D1205" s="5"/>
    </row>
    <row r="1206">
      <c r="B1206" s="11"/>
      <c r="C1206" s="4"/>
      <c r="D1206" s="5"/>
    </row>
    <row r="1207">
      <c r="B1207" s="11"/>
      <c r="C1207" s="4"/>
      <c r="D1207" s="5"/>
    </row>
    <row r="1208">
      <c r="B1208" s="11"/>
      <c r="C1208" s="4"/>
      <c r="D1208" s="5"/>
    </row>
    <row r="1209">
      <c r="B1209" s="11"/>
      <c r="C1209" s="4"/>
      <c r="D1209" s="5"/>
    </row>
    <row r="1210">
      <c r="B1210" s="11"/>
      <c r="C1210" s="4"/>
      <c r="D1210" s="5"/>
    </row>
    <row r="1211">
      <c r="B1211" s="11"/>
      <c r="C1211" s="4"/>
      <c r="D1211" s="5"/>
    </row>
    <row r="1212">
      <c r="B1212" s="11"/>
      <c r="C1212" s="4"/>
      <c r="D1212" s="5"/>
    </row>
    <row r="1213">
      <c r="B1213" s="11"/>
      <c r="C1213" s="4"/>
      <c r="D1213" s="5"/>
    </row>
    <row r="1214">
      <c r="B1214" s="11"/>
      <c r="C1214" s="4"/>
      <c r="D1214" s="5"/>
    </row>
    <row r="1215">
      <c r="B1215" s="11"/>
      <c r="C1215" s="4"/>
      <c r="D1215" s="5"/>
    </row>
    <row r="1216">
      <c r="B1216" s="11"/>
      <c r="C1216" s="4"/>
      <c r="D1216" s="5"/>
    </row>
    <row r="1217">
      <c r="B1217" s="11"/>
      <c r="C1217" s="4"/>
      <c r="D1217" s="5"/>
    </row>
    <row r="1218">
      <c r="B1218" s="11"/>
      <c r="C1218" s="4"/>
      <c r="D1218" s="5"/>
    </row>
    <row r="1219">
      <c r="B1219" s="11"/>
      <c r="C1219" s="4"/>
      <c r="D1219" s="5"/>
    </row>
    <row r="1220">
      <c r="B1220" s="11"/>
      <c r="C1220" s="4"/>
      <c r="D1220" s="5"/>
    </row>
    <row r="1221">
      <c r="B1221" s="11"/>
      <c r="C1221" s="4"/>
      <c r="D1221" s="5"/>
    </row>
    <row r="1222">
      <c r="B1222" s="11"/>
      <c r="C1222" s="4"/>
      <c r="D1222" s="5"/>
    </row>
    <row r="1223">
      <c r="B1223" s="11"/>
      <c r="C1223" s="4"/>
      <c r="D1223" s="5"/>
    </row>
    <row r="1224">
      <c r="B1224" s="11"/>
      <c r="C1224" s="4"/>
      <c r="D1224" s="5"/>
    </row>
    <row r="1225">
      <c r="B1225" s="11"/>
      <c r="C1225" s="4"/>
      <c r="D1225" s="5"/>
    </row>
    <row r="1226">
      <c r="B1226" s="11"/>
      <c r="C1226" s="4"/>
      <c r="D1226" s="5"/>
    </row>
    <row r="1227">
      <c r="B1227" s="11"/>
      <c r="C1227" s="4"/>
      <c r="D1227" s="5"/>
    </row>
    <row r="1228">
      <c r="B1228" s="11"/>
      <c r="C1228" s="4"/>
      <c r="D1228" s="5"/>
    </row>
    <row r="1229">
      <c r="B1229" s="11"/>
      <c r="C1229" s="4"/>
      <c r="D1229" s="5"/>
    </row>
    <row r="1230">
      <c r="B1230" s="11"/>
      <c r="C1230" s="4"/>
      <c r="D1230" s="5"/>
    </row>
    <row r="1231">
      <c r="B1231" s="11"/>
      <c r="C1231" s="4"/>
      <c r="D1231" s="5"/>
    </row>
    <row r="1232">
      <c r="B1232" s="11"/>
      <c r="C1232" s="4"/>
      <c r="D1232" s="5"/>
    </row>
    <row r="1233">
      <c r="B1233" s="11"/>
      <c r="C1233" s="4"/>
      <c r="D1233" s="5"/>
    </row>
    <row r="1234">
      <c r="B1234" s="11"/>
      <c r="C1234" s="4"/>
      <c r="D1234" s="5"/>
    </row>
    <row r="1235">
      <c r="B1235" s="11"/>
      <c r="C1235" s="4"/>
      <c r="D1235" s="5"/>
    </row>
    <row r="1236">
      <c r="B1236" s="11"/>
      <c r="C1236" s="4"/>
      <c r="D1236" s="5"/>
    </row>
    <row r="1237">
      <c r="B1237" s="11"/>
      <c r="C1237" s="4"/>
      <c r="D1237" s="5"/>
    </row>
    <row r="1238">
      <c r="B1238" s="11"/>
      <c r="C1238" s="4"/>
      <c r="D1238" s="5"/>
    </row>
    <row r="1239">
      <c r="B1239" s="11"/>
      <c r="C1239" s="4"/>
      <c r="D1239" s="5"/>
    </row>
    <row r="1240">
      <c r="B1240" s="11"/>
      <c r="C1240" s="4"/>
      <c r="D1240" s="5"/>
    </row>
    <row r="1241">
      <c r="B1241" s="11"/>
      <c r="C1241" s="4"/>
      <c r="D1241" s="5"/>
    </row>
    <row r="1242">
      <c r="B1242" s="11"/>
      <c r="C1242" s="4"/>
      <c r="D1242" s="5"/>
    </row>
    <row r="1243">
      <c r="B1243" s="11"/>
      <c r="C1243" s="4"/>
      <c r="D1243" s="5"/>
    </row>
    <row r="1244">
      <c r="B1244" s="11"/>
      <c r="C1244" s="4"/>
      <c r="D1244" s="5"/>
    </row>
    <row r="1245">
      <c r="B1245" s="11"/>
      <c r="C1245" s="4"/>
      <c r="D1245" s="5"/>
    </row>
    <row r="1246">
      <c r="B1246" s="11"/>
      <c r="C1246" s="4"/>
      <c r="D1246" s="5"/>
    </row>
    <row r="1247">
      <c r="B1247" s="11"/>
      <c r="C1247" s="4"/>
      <c r="D1247" s="5"/>
    </row>
    <row r="1248">
      <c r="B1248" s="11"/>
      <c r="C1248" s="4"/>
      <c r="D1248" s="5"/>
    </row>
    <row r="1249">
      <c r="B1249" s="11"/>
      <c r="C1249" s="4"/>
      <c r="D1249" s="5"/>
    </row>
    <row r="1250">
      <c r="B1250" s="11"/>
      <c r="C1250" s="4"/>
      <c r="D1250" s="5"/>
    </row>
    <row r="1251">
      <c r="B1251" s="11"/>
      <c r="C1251" s="4"/>
      <c r="D1251" s="5"/>
    </row>
    <row r="1252">
      <c r="B1252" s="11"/>
      <c r="C1252" s="4"/>
      <c r="D1252" s="5"/>
    </row>
    <row r="1253">
      <c r="B1253" s="11"/>
      <c r="C1253" s="4"/>
      <c r="D1253" s="5"/>
    </row>
    <row r="1254">
      <c r="B1254" s="11"/>
      <c r="C1254" s="4"/>
      <c r="D1254" s="5"/>
    </row>
    <row r="1255">
      <c r="B1255" s="11"/>
      <c r="C1255" s="4"/>
      <c r="D1255" s="5"/>
    </row>
    <row r="1256">
      <c r="B1256" s="11"/>
      <c r="C1256" s="4"/>
      <c r="D1256" s="5"/>
    </row>
    <row r="1257">
      <c r="B1257" s="11"/>
      <c r="C1257" s="4"/>
      <c r="D1257" s="5"/>
    </row>
    <row r="1258">
      <c r="B1258" s="11"/>
      <c r="C1258" s="4"/>
      <c r="D1258" s="5"/>
    </row>
    <row r="1259">
      <c r="B1259" s="11"/>
      <c r="C1259" s="4"/>
      <c r="D1259" s="5"/>
    </row>
    <row r="1260">
      <c r="B1260" s="11"/>
      <c r="C1260" s="4"/>
      <c r="D1260" s="5"/>
    </row>
    <row r="1261">
      <c r="B1261" s="11"/>
      <c r="C1261" s="4"/>
      <c r="D1261" s="5"/>
    </row>
    <row r="1262">
      <c r="B1262" s="11"/>
      <c r="C1262" s="4"/>
      <c r="D1262" s="5"/>
    </row>
    <row r="1263">
      <c r="B1263" s="11"/>
      <c r="C1263" s="4"/>
      <c r="D1263" s="5"/>
    </row>
    <row r="1264">
      <c r="B1264" s="11"/>
      <c r="C1264" s="4"/>
      <c r="D1264" s="5"/>
    </row>
    <row r="1265">
      <c r="B1265" s="11"/>
      <c r="C1265" s="4"/>
      <c r="D1265" s="5"/>
    </row>
    <row r="1266">
      <c r="B1266" s="11"/>
      <c r="C1266" s="4"/>
      <c r="D1266" s="5"/>
    </row>
    <row r="1267">
      <c r="B1267" s="11"/>
      <c r="C1267" s="4"/>
      <c r="D1267" s="5"/>
    </row>
    <row r="1268">
      <c r="B1268" s="11"/>
      <c r="C1268" s="4"/>
      <c r="D1268" s="5"/>
    </row>
    <row r="1269">
      <c r="B1269" s="11"/>
      <c r="C1269" s="4"/>
      <c r="D1269" s="5"/>
    </row>
    <row r="1270">
      <c r="B1270" s="11"/>
      <c r="C1270" s="4"/>
      <c r="D1270" s="5"/>
    </row>
    <row r="1271">
      <c r="B1271" s="11"/>
      <c r="C1271" s="4"/>
      <c r="D1271" s="5"/>
    </row>
    <row r="1272">
      <c r="B1272" s="11"/>
      <c r="C1272" s="4"/>
      <c r="D1272" s="5"/>
    </row>
    <row r="1273">
      <c r="B1273" s="11"/>
      <c r="C1273" s="4"/>
      <c r="D1273" s="5"/>
    </row>
    <row r="1274">
      <c r="B1274" s="11"/>
      <c r="C1274" s="4"/>
      <c r="D1274" s="5"/>
    </row>
    <row r="1275">
      <c r="B1275" s="11"/>
      <c r="C1275" s="4"/>
      <c r="D1275" s="5"/>
    </row>
    <row r="1276">
      <c r="B1276" s="11"/>
      <c r="C1276" s="4"/>
      <c r="D1276" s="5"/>
    </row>
    <row r="1277">
      <c r="B1277" s="11"/>
      <c r="C1277" s="4"/>
      <c r="D1277" s="5"/>
    </row>
    <row r="1278">
      <c r="B1278" s="11"/>
      <c r="C1278" s="4"/>
      <c r="D1278" s="5"/>
    </row>
    <row r="1279">
      <c r="B1279" s="11"/>
      <c r="C1279" s="4"/>
      <c r="D1279" s="5"/>
    </row>
    <row r="1280">
      <c r="B1280" s="11"/>
      <c r="C1280" s="4"/>
      <c r="D1280" s="5"/>
    </row>
    <row r="1281">
      <c r="B1281" s="11"/>
      <c r="C1281" s="4"/>
      <c r="D1281" s="5"/>
    </row>
    <row r="1282">
      <c r="B1282" s="11"/>
      <c r="C1282" s="4"/>
      <c r="D1282" s="5"/>
    </row>
    <row r="1283">
      <c r="B1283" s="11"/>
      <c r="C1283" s="4"/>
      <c r="D1283" s="5"/>
    </row>
    <row r="1284">
      <c r="B1284" s="11"/>
      <c r="C1284" s="4"/>
      <c r="D1284" s="5"/>
    </row>
    <row r="1285">
      <c r="B1285" s="11"/>
      <c r="C1285" s="4"/>
      <c r="D1285" s="5"/>
    </row>
    <row r="1286">
      <c r="B1286" s="11"/>
      <c r="C1286" s="4"/>
      <c r="D1286" s="5"/>
    </row>
    <row r="1287">
      <c r="B1287" s="11"/>
      <c r="C1287" s="4"/>
      <c r="D1287" s="5"/>
    </row>
    <row r="1288">
      <c r="B1288" s="11"/>
      <c r="C1288" s="4"/>
      <c r="D1288" s="5"/>
    </row>
    <row r="1289">
      <c r="B1289" s="11"/>
      <c r="C1289" s="4"/>
      <c r="D1289" s="5"/>
    </row>
    <row r="1290">
      <c r="B1290" s="11"/>
      <c r="C1290" s="4"/>
      <c r="D1290" s="5"/>
    </row>
    <row r="1291">
      <c r="B1291" s="11"/>
      <c r="C1291" s="4"/>
      <c r="D1291" s="5"/>
    </row>
    <row r="1292">
      <c r="B1292" s="11"/>
      <c r="C1292" s="4"/>
      <c r="D1292" s="5"/>
    </row>
    <row r="1293">
      <c r="B1293" s="11"/>
      <c r="C1293" s="4"/>
      <c r="D1293" s="5"/>
    </row>
    <row r="1294">
      <c r="B1294" s="11"/>
      <c r="C1294" s="4"/>
      <c r="D1294" s="5"/>
    </row>
    <row r="1295">
      <c r="B1295" s="11"/>
      <c r="C1295" s="4"/>
      <c r="D1295" s="5"/>
    </row>
    <row r="1296">
      <c r="B1296" s="11"/>
      <c r="C1296" s="4"/>
      <c r="D1296" s="5"/>
    </row>
    <row r="1297">
      <c r="B1297" s="11"/>
      <c r="C1297" s="4"/>
      <c r="D1297" s="5"/>
    </row>
    <row r="1298">
      <c r="B1298" s="11"/>
      <c r="C1298" s="4"/>
      <c r="D1298" s="5"/>
    </row>
    <row r="1299">
      <c r="B1299" s="11"/>
      <c r="C1299" s="4"/>
      <c r="D1299" s="5"/>
    </row>
    <row r="1300">
      <c r="B1300" s="11"/>
      <c r="C1300" s="4"/>
      <c r="D1300" s="5"/>
    </row>
    <row r="1301">
      <c r="B1301" s="11"/>
      <c r="C1301" s="4"/>
      <c r="D1301" s="5"/>
    </row>
    <row r="1302">
      <c r="B1302" s="11"/>
      <c r="C1302" s="4"/>
      <c r="D1302" s="5"/>
    </row>
    <row r="1303">
      <c r="B1303" s="11"/>
      <c r="C1303" s="4"/>
      <c r="D1303" s="5"/>
    </row>
    <row r="1304">
      <c r="B1304" s="11"/>
      <c r="C1304" s="4"/>
      <c r="D1304" s="5"/>
    </row>
    <row r="1305">
      <c r="B1305" s="11"/>
      <c r="C1305" s="4"/>
      <c r="D1305" s="5"/>
    </row>
    <row r="1306">
      <c r="B1306" s="11"/>
      <c r="C1306" s="4"/>
      <c r="D1306" s="5"/>
    </row>
    <row r="1307">
      <c r="B1307" s="11"/>
      <c r="C1307" s="4"/>
      <c r="D1307" s="5"/>
    </row>
    <row r="1308">
      <c r="B1308" s="11"/>
      <c r="C1308" s="4"/>
      <c r="D1308" s="5"/>
    </row>
    <row r="1309">
      <c r="B1309" s="11"/>
      <c r="C1309" s="4"/>
      <c r="D1309" s="5"/>
    </row>
    <row r="1310">
      <c r="B1310" s="11"/>
      <c r="C1310" s="4"/>
      <c r="D1310" s="5"/>
    </row>
    <row r="1311">
      <c r="B1311" s="11"/>
      <c r="C1311" s="4"/>
      <c r="D1311" s="5"/>
    </row>
    <row r="1312">
      <c r="B1312" s="11"/>
      <c r="C1312" s="4"/>
      <c r="D1312" s="5"/>
    </row>
    <row r="1313">
      <c r="B1313" s="11"/>
      <c r="C1313" s="4"/>
      <c r="D1313" s="5"/>
    </row>
    <row r="1314">
      <c r="B1314" s="11"/>
      <c r="C1314" s="4"/>
      <c r="D1314" s="5"/>
    </row>
    <row r="1315">
      <c r="B1315" s="11"/>
      <c r="C1315" s="4"/>
      <c r="D1315" s="5"/>
    </row>
    <row r="1316">
      <c r="B1316" s="11"/>
      <c r="C1316" s="4"/>
      <c r="D1316" s="5"/>
    </row>
    <row r="1317">
      <c r="B1317" s="11"/>
      <c r="C1317" s="4"/>
      <c r="D1317" s="5"/>
    </row>
    <row r="1318">
      <c r="B1318" s="11"/>
      <c r="C1318" s="4"/>
      <c r="D1318" s="5"/>
    </row>
    <row r="1319">
      <c r="B1319" s="11"/>
      <c r="C1319" s="4"/>
      <c r="D1319" s="5"/>
    </row>
    <row r="1320">
      <c r="B1320" s="11"/>
      <c r="C1320" s="4"/>
      <c r="D1320" s="5"/>
    </row>
    <row r="1321">
      <c r="B1321" s="11"/>
      <c r="C1321" s="4"/>
      <c r="D1321" s="5"/>
    </row>
    <row r="1322">
      <c r="B1322" s="11"/>
      <c r="C1322" s="4"/>
      <c r="D1322" s="5"/>
    </row>
    <row r="1323">
      <c r="B1323" s="11"/>
      <c r="C1323" s="4"/>
      <c r="D1323" s="5"/>
    </row>
    <row r="1324">
      <c r="B1324" s="11"/>
      <c r="C1324" s="4"/>
      <c r="D1324" s="5"/>
    </row>
    <row r="1325">
      <c r="B1325" s="11"/>
      <c r="C1325" s="4"/>
      <c r="D1325" s="5"/>
    </row>
    <row r="1326">
      <c r="B1326" s="11"/>
      <c r="C1326" s="4"/>
      <c r="D1326" s="5"/>
    </row>
    <row r="1327">
      <c r="B1327" s="11"/>
      <c r="C1327" s="4"/>
      <c r="D1327" s="5"/>
    </row>
    <row r="1328">
      <c r="B1328" s="11"/>
      <c r="C1328" s="4"/>
      <c r="D1328" s="5"/>
    </row>
    <row r="1329">
      <c r="B1329" s="11"/>
      <c r="C1329" s="4"/>
      <c r="D1329" s="5"/>
    </row>
    <row r="1330">
      <c r="B1330" s="11"/>
      <c r="C1330" s="4"/>
      <c r="D1330" s="5"/>
    </row>
    <row r="1331">
      <c r="B1331" s="11"/>
      <c r="C1331" s="4"/>
      <c r="D1331" s="5"/>
    </row>
    <row r="1332">
      <c r="B1332" s="11"/>
      <c r="C1332" s="4"/>
      <c r="D1332" s="5"/>
    </row>
    <row r="1333">
      <c r="B1333" s="11"/>
      <c r="C1333" s="4"/>
      <c r="D1333" s="5"/>
    </row>
    <row r="1334">
      <c r="B1334" s="11"/>
      <c r="C1334" s="4"/>
      <c r="D1334" s="5"/>
    </row>
    <row r="1335">
      <c r="B1335" s="11"/>
      <c r="C1335" s="4"/>
      <c r="D1335" s="5"/>
    </row>
    <row r="1336">
      <c r="B1336" s="11"/>
      <c r="C1336" s="4"/>
      <c r="D1336" s="5"/>
    </row>
    <row r="1337">
      <c r="B1337" s="11"/>
      <c r="C1337" s="4"/>
      <c r="D1337" s="5"/>
    </row>
    <row r="1338">
      <c r="B1338" s="11"/>
      <c r="C1338" s="4"/>
      <c r="D1338" s="5"/>
    </row>
    <row r="1339">
      <c r="B1339" s="11"/>
      <c r="C1339" s="4"/>
      <c r="D1339" s="5"/>
    </row>
    <row r="1340">
      <c r="B1340" s="11"/>
      <c r="C1340" s="4"/>
      <c r="D1340" s="5"/>
    </row>
    <row r="1341">
      <c r="B1341" s="11"/>
      <c r="C1341" s="4"/>
      <c r="D1341" s="5"/>
    </row>
    <row r="1342">
      <c r="B1342" s="11"/>
      <c r="C1342" s="4"/>
      <c r="D1342" s="5"/>
    </row>
    <row r="1343">
      <c r="B1343" s="11"/>
      <c r="C1343" s="4"/>
      <c r="D1343" s="5"/>
    </row>
    <row r="1344">
      <c r="B1344" s="11"/>
      <c r="C1344" s="4"/>
      <c r="D1344" s="5"/>
    </row>
    <row r="1345">
      <c r="B1345" s="11"/>
      <c r="C1345" s="4"/>
      <c r="D1345" s="5"/>
    </row>
    <row r="1346">
      <c r="B1346" s="11"/>
      <c r="C1346" s="4"/>
      <c r="D1346" s="5"/>
    </row>
    <row r="1347">
      <c r="B1347" s="11"/>
      <c r="C1347" s="4"/>
      <c r="D1347" s="5"/>
    </row>
    <row r="1348">
      <c r="B1348" s="11"/>
      <c r="C1348" s="4"/>
      <c r="D1348" s="5"/>
    </row>
    <row r="1349">
      <c r="B1349" s="11"/>
      <c r="C1349" s="4"/>
      <c r="D1349" s="5"/>
    </row>
    <row r="1350">
      <c r="B1350" s="11"/>
      <c r="C1350" s="4"/>
      <c r="D1350" s="5"/>
    </row>
    <row r="1351">
      <c r="B1351" s="11"/>
      <c r="C1351" s="4"/>
      <c r="D1351" s="5"/>
    </row>
    <row r="1352">
      <c r="B1352" s="11"/>
      <c r="C1352" s="4"/>
      <c r="D1352" s="5"/>
    </row>
    <row r="1353">
      <c r="B1353" s="11"/>
      <c r="C1353" s="4"/>
      <c r="D1353" s="5"/>
    </row>
    <row r="1354">
      <c r="B1354" s="11"/>
      <c r="C1354" s="4"/>
      <c r="D1354" s="5"/>
    </row>
    <row r="1355">
      <c r="B1355" s="11"/>
      <c r="C1355" s="4"/>
      <c r="D1355" s="5"/>
    </row>
    <row r="1356">
      <c r="B1356" s="11"/>
      <c r="C1356" s="4"/>
      <c r="D1356" s="5"/>
    </row>
    <row r="1357">
      <c r="B1357" s="11"/>
      <c r="C1357" s="4"/>
      <c r="D1357" s="5"/>
    </row>
    <row r="1358">
      <c r="B1358" s="11"/>
      <c r="C1358" s="4"/>
      <c r="D1358" s="5"/>
    </row>
    <row r="1359">
      <c r="B1359" s="11"/>
      <c r="C1359" s="4"/>
      <c r="D1359" s="5"/>
    </row>
    <row r="1360">
      <c r="B1360" s="11"/>
      <c r="C1360" s="4"/>
      <c r="D1360" s="5"/>
    </row>
    <row r="1361">
      <c r="B1361" s="11"/>
      <c r="C1361" s="4"/>
      <c r="D1361" s="5"/>
    </row>
    <row r="1362">
      <c r="B1362" s="11"/>
      <c r="C1362" s="4"/>
      <c r="D1362" s="5"/>
    </row>
    <row r="1363">
      <c r="B1363" s="11"/>
      <c r="C1363" s="4"/>
      <c r="D1363" s="5"/>
    </row>
    <row r="1364">
      <c r="B1364" s="11"/>
      <c r="C1364" s="4"/>
      <c r="D1364" s="5"/>
    </row>
    <row r="1365">
      <c r="B1365" s="11"/>
      <c r="C1365" s="4"/>
      <c r="D1365" s="5"/>
    </row>
    <row r="1366">
      <c r="B1366" s="11"/>
      <c r="C1366" s="4"/>
      <c r="D1366" s="5"/>
    </row>
    <row r="1367">
      <c r="B1367" s="11"/>
      <c r="C1367" s="4"/>
      <c r="D1367" s="5"/>
    </row>
    <row r="1368">
      <c r="B1368" s="11"/>
      <c r="C1368" s="4"/>
      <c r="D1368" s="5"/>
    </row>
    <row r="1369">
      <c r="B1369" s="11"/>
      <c r="C1369" s="4"/>
      <c r="D1369" s="5"/>
    </row>
    <row r="1370">
      <c r="B1370" s="11"/>
      <c r="C1370" s="4"/>
      <c r="D1370" s="5"/>
    </row>
    <row r="1371">
      <c r="B1371" s="11"/>
      <c r="C1371" s="4"/>
      <c r="D1371" s="5"/>
    </row>
    <row r="1372">
      <c r="B1372" s="11"/>
      <c r="C1372" s="4"/>
      <c r="D1372" s="5"/>
    </row>
    <row r="1373">
      <c r="B1373" s="11"/>
      <c r="C1373" s="4"/>
      <c r="D1373" s="5"/>
    </row>
    <row r="1374">
      <c r="B1374" s="11"/>
      <c r="C1374" s="4"/>
      <c r="D1374" s="5"/>
    </row>
    <row r="1375">
      <c r="B1375" s="11"/>
      <c r="C1375" s="4"/>
      <c r="D1375" s="5"/>
    </row>
    <row r="1376">
      <c r="B1376" s="11"/>
      <c r="C1376" s="4"/>
      <c r="D1376" s="5"/>
    </row>
    <row r="1377">
      <c r="B1377" s="11"/>
      <c r="C1377" s="4"/>
      <c r="D1377" s="5"/>
    </row>
    <row r="1378">
      <c r="B1378" s="11"/>
      <c r="C1378" s="4"/>
      <c r="D1378" s="5"/>
    </row>
    <row r="1379">
      <c r="B1379" s="11"/>
      <c r="C1379" s="4"/>
      <c r="D1379" s="5"/>
    </row>
    <row r="1380">
      <c r="B1380" s="11"/>
      <c r="C1380" s="4"/>
      <c r="D1380" s="5"/>
    </row>
    <row r="1381">
      <c r="B1381" s="11"/>
      <c r="C1381" s="4"/>
      <c r="D1381" s="5"/>
    </row>
    <row r="1382">
      <c r="B1382" s="11"/>
      <c r="C1382" s="4"/>
      <c r="D1382" s="5"/>
    </row>
    <row r="1383">
      <c r="B1383" s="11"/>
      <c r="C1383" s="4"/>
      <c r="D1383" s="5"/>
    </row>
    <row r="1384">
      <c r="B1384" s="11"/>
      <c r="C1384" s="4"/>
      <c r="D1384" s="5"/>
    </row>
    <row r="1385">
      <c r="B1385" s="11"/>
      <c r="C1385" s="4"/>
      <c r="D1385" s="5"/>
    </row>
    <row r="1386">
      <c r="B1386" s="11"/>
      <c r="C1386" s="4"/>
      <c r="D1386" s="5"/>
    </row>
    <row r="1387">
      <c r="B1387" s="11"/>
      <c r="C1387" s="4"/>
      <c r="D1387" s="5"/>
    </row>
    <row r="1388">
      <c r="B1388" s="11"/>
      <c r="C1388" s="4"/>
      <c r="D1388" s="5"/>
    </row>
    <row r="1389">
      <c r="B1389" s="11"/>
      <c r="C1389" s="4"/>
      <c r="D1389" s="5"/>
    </row>
    <row r="1390">
      <c r="B1390" s="11"/>
      <c r="C1390" s="4"/>
      <c r="D1390" s="5"/>
    </row>
    <row r="1391">
      <c r="B1391" s="11"/>
      <c r="C1391" s="4"/>
      <c r="D1391" s="5"/>
    </row>
    <row r="1392">
      <c r="B1392" s="11"/>
      <c r="C1392" s="4"/>
      <c r="D1392" s="5"/>
    </row>
    <row r="1393">
      <c r="B1393" s="11"/>
      <c r="C1393" s="4"/>
      <c r="D1393" s="5"/>
    </row>
    <row r="1394">
      <c r="B1394" s="11"/>
      <c r="C1394" s="4"/>
      <c r="D1394" s="5"/>
    </row>
    <row r="1395">
      <c r="B1395" s="11"/>
      <c r="C1395" s="4"/>
      <c r="D1395" s="5"/>
    </row>
    <row r="1396">
      <c r="B1396" s="11"/>
      <c r="C1396" s="4"/>
      <c r="D1396" s="5"/>
    </row>
    <row r="1397">
      <c r="B1397" s="11"/>
      <c r="C1397" s="4"/>
      <c r="D1397" s="5"/>
    </row>
    <row r="1398">
      <c r="B1398" s="11"/>
      <c r="C1398" s="4"/>
      <c r="D1398" s="5"/>
    </row>
    <row r="1399">
      <c r="B1399" s="11"/>
      <c r="C1399" s="4"/>
      <c r="D1399" s="5"/>
    </row>
    <row r="1400">
      <c r="B1400" s="11"/>
      <c r="C1400" s="4"/>
      <c r="D1400" s="5"/>
    </row>
    <row r="1401">
      <c r="B1401" s="11"/>
      <c r="C1401" s="4"/>
      <c r="D1401" s="5"/>
    </row>
    <row r="1402">
      <c r="B1402" s="11"/>
      <c r="C1402" s="4"/>
      <c r="D1402" s="5"/>
    </row>
    <row r="1403">
      <c r="B1403" s="11"/>
      <c r="C1403" s="4"/>
      <c r="D1403" s="5"/>
    </row>
    <row r="1404">
      <c r="B1404" s="11"/>
      <c r="C1404" s="4"/>
      <c r="D1404" s="5"/>
    </row>
    <row r="1405">
      <c r="B1405" s="11"/>
      <c r="C1405" s="4"/>
      <c r="D1405" s="5"/>
    </row>
    <row r="1406">
      <c r="B1406" s="11"/>
      <c r="C1406" s="4"/>
      <c r="D1406" s="5"/>
    </row>
    <row r="1407">
      <c r="B1407" s="11"/>
      <c r="C1407" s="4"/>
      <c r="D1407" s="5"/>
    </row>
    <row r="1408">
      <c r="B1408" s="11"/>
      <c r="C1408" s="4"/>
      <c r="D1408" s="5"/>
    </row>
    <row r="1409">
      <c r="B1409" s="11"/>
      <c r="C1409" s="4"/>
      <c r="D1409" s="5"/>
    </row>
    <row r="1410">
      <c r="B1410" s="11"/>
      <c r="C1410" s="4"/>
      <c r="D1410" s="5"/>
    </row>
    <row r="1411">
      <c r="B1411" s="11"/>
      <c r="C1411" s="4"/>
      <c r="D1411" s="5"/>
    </row>
    <row r="1412">
      <c r="B1412" s="11"/>
      <c r="C1412" s="4"/>
      <c r="D1412" s="5"/>
    </row>
    <row r="1413">
      <c r="B1413" s="11"/>
      <c r="C1413" s="4"/>
      <c r="D1413" s="5"/>
    </row>
    <row r="1414">
      <c r="B1414" s="11"/>
      <c r="C1414" s="4"/>
      <c r="D1414" s="5"/>
    </row>
    <row r="1415">
      <c r="B1415" s="11"/>
      <c r="C1415" s="4"/>
      <c r="D1415" s="5"/>
    </row>
    <row r="1416">
      <c r="B1416" s="11"/>
      <c r="C1416" s="4"/>
      <c r="D1416" s="5"/>
    </row>
    <row r="1417">
      <c r="B1417" s="11"/>
      <c r="C1417" s="4"/>
      <c r="D1417" s="5"/>
    </row>
    <row r="1418">
      <c r="B1418" s="11"/>
      <c r="C1418" s="4"/>
      <c r="D1418" s="5"/>
    </row>
    <row r="1419">
      <c r="B1419" s="11"/>
      <c r="C1419" s="4"/>
      <c r="D1419" s="5"/>
    </row>
    <row r="1420">
      <c r="B1420" s="11"/>
      <c r="C1420" s="4"/>
      <c r="D1420" s="5"/>
    </row>
    <row r="1421">
      <c r="B1421" s="11"/>
      <c r="C1421" s="4"/>
      <c r="D1421" s="5"/>
    </row>
    <row r="1422">
      <c r="B1422" s="11"/>
      <c r="C1422" s="4"/>
      <c r="D1422" s="5"/>
    </row>
    <row r="1423">
      <c r="B1423" s="11"/>
      <c r="C1423" s="4"/>
      <c r="D1423" s="5"/>
    </row>
    <row r="1424">
      <c r="B1424" s="11"/>
      <c r="C1424" s="4"/>
      <c r="D1424" s="5"/>
    </row>
    <row r="1425">
      <c r="B1425" s="11"/>
      <c r="C1425" s="4"/>
      <c r="D1425" s="5"/>
    </row>
    <row r="1426">
      <c r="B1426" s="11"/>
      <c r="C1426" s="4"/>
      <c r="D1426" s="5"/>
    </row>
    <row r="1427">
      <c r="B1427" s="11"/>
      <c r="C1427" s="4"/>
      <c r="D1427" s="5"/>
    </row>
    <row r="1428">
      <c r="B1428" s="11"/>
      <c r="C1428" s="4"/>
      <c r="D1428" s="5"/>
    </row>
    <row r="1429">
      <c r="B1429" s="11"/>
      <c r="C1429" s="4"/>
      <c r="D1429" s="5"/>
    </row>
    <row r="1430">
      <c r="B1430" s="11"/>
      <c r="C1430" s="4"/>
      <c r="D1430" s="5"/>
    </row>
    <row r="1431">
      <c r="B1431" s="11"/>
      <c r="C1431" s="4"/>
      <c r="D1431" s="5"/>
    </row>
    <row r="1432">
      <c r="B1432" s="11"/>
      <c r="C1432" s="4"/>
      <c r="D1432" s="5"/>
    </row>
    <row r="1433">
      <c r="B1433" s="11"/>
      <c r="C1433" s="4"/>
      <c r="D1433" s="5"/>
    </row>
    <row r="1434">
      <c r="B1434" s="11"/>
      <c r="C1434" s="4"/>
      <c r="D1434" s="5"/>
    </row>
    <row r="1435">
      <c r="B1435" s="11"/>
      <c r="C1435" s="4"/>
      <c r="D1435" s="5"/>
    </row>
    <row r="1436">
      <c r="B1436" s="11"/>
      <c r="C1436" s="4"/>
      <c r="D1436" s="5"/>
    </row>
    <row r="1437">
      <c r="B1437" s="11"/>
      <c r="C1437" s="4"/>
      <c r="D1437" s="5"/>
    </row>
    <row r="1438">
      <c r="B1438" s="11"/>
      <c r="C1438" s="4"/>
      <c r="D1438" s="5"/>
    </row>
    <row r="1439">
      <c r="B1439" s="11"/>
      <c r="C1439" s="4"/>
      <c r="D1439" s="5"/>
    </row>
    <row r="1440">
      <c r="B1440" s="11"/>
      <c r="C1440" s="4"/>
      <c r="D1440" s="5"/>
    </row>
    <row r="1441">
      <c r="B1441" s="11"/>
      <c r="C1441" s="4"/>
      <c r="D1441" s="5"/>
    </row>
    <row r="1442">
      <c r="B1442" s="11"/>
      <c r="C1442" s="4"/>
      <c r="D1442" s="5"/>
    </row>
    <row r="1443">
      <c r="B1443" s="11"/>
      <c r="C1443" s="4"/>
      <c r="D1443" s="5"/>
    </row>
    <row r="1444">
      <c r="B1444" s="11"/>
      <c r="C1444" s="4"/>
      <c r="D1444" s="5"/>
    </row>
    <row r="1445">
      <c r="B1445" s="11"/>
      <c r="C1445" s="4"/>
      <c r="D1445" s="5"/>
    </row>
    <row r="1446">
      <c r="B1446" s="11"/>
      <c r="C1446" s="4"/>
      <c r="D1446" s="5"/>
    </row>
    <row r="1447">
      <c r="B1447" s="11"/>
      <c r="C1447" s="4"/>
      <c r="D1447" s="5"/>
    </row>
    <row r="1448">
      <c r="B1448" s="11"/>
      <c r="C1448" s="4"/>
      <c r="D1448" s="5"/>
    </row>
    <row r="1449">
      <c r="B1449" s="11"/>
      <c r="C1449" s="4"/>
      <c r="D1449" s="5"/>
    </row>
    <row r="1450">
      <c r="B1450" s="11"/>
      <c r="C1450" s="4"/>
      <c r="D1450" s="5"/>
    </row>
    <row r="1451">
      <c r="B1451" s="11"/>
      <c r="C1451" s="4"/>
      <c r="D1451" s="5"/>
    </row>
    <row r="1452">
      <c r="B1452" s="11"/>
      <c r="C1452" s="4"/>
      <c r="D1452" s="5"/>
    </row>
    <row r="1453">
      <c r="B1453" s="11"/>
      <c r="C1453" s="4"/>
      <c r="D1453" s="5"/>
    </row>
    <row r="1454">
      <c r="B1454" s="11"/>
      <c r="C1454" s="4"/>
      <c r="D1454" s="5"/>
    </row>
    <row r="1455">
      <c r="B1455" s="11"/>
      <c r="C1455" s="4"/>
      <c r="D1455" s="5"/>
    </row>
    <row r="1456">
      <c r="B1456" s="11"/>
      <c r="C1456" s="4"/>
      <c r="D1456" s="5"/>
    </row>
    <row r="1457">
      <c r="B1457" s="11"/>
      <c r="C1457" s="4"/>
      <c r="D1457" s="5"/>
    </row>
    <row r="1458">
      <c r="B1458" s="11"/>
      <c r="C1458" s="4"/>
      <c r="D1458" s="5"/>
    </row>
    <row r="1459">
      <c r="B1459" s="11"/>
      <c r="C1459" s="4"/>
      <c r="D1459" s="5"/>
    </row>
    <row r="1460">
      <c r="B1460" s="11"/>
      <c r="C1460" s="4"/>
      <c r="D1460" s="5"/>
    </row>
    <row r="1461">
      <c r="B1461" s="11"/>
      <c r="C1461" s="4"/>
      <c r="D1461" s="5"/>
    </row>
    <row r="1462">
      <c r="B1462" s="11"/>
      <c r="C1462" s="4"/>
      <c r="D1462" s="5"/>
    </row>
    <row r="1463">
      <c r="B1463" s="11"/>
      <c r="C1463" s="4"/>
      <c r="D1463" s="5"/>
    </row>
    <row r="1464">
      <c r="B1464" s="11"/>
      <c r="C1464" s="4"/>
      <c r="D1464" s="5"/>
    </row>
    <row r="1465">
      <c r="B1465" s="11"/>
      <c r="C1465" s="4"/>
      <c r="D1465" s="5"/>
    </row>
    <row r="1466">
      <c r="B1466" s="11"/>
      <c r="C1466" s="4"/>
      <c r="D1466" s="5"/>
    </row>
    <row r="1467">
      <c r="B1467" s="11"/>
      <c r="C1467" s="4"/>
      <c r="D1467" s="5"/>
    </row>
    <row r="1468">
      <c r="B1468" s="11"/>
      <c r="C1468" s="4"/>
      <c r="D1468" s="5"/>
    </row>
    <row r="1469">
      <c r="B1469" s="11"/>
      <c r="C1469" s="4"/>
      <c r="D1469" s="5"/>
    </row>
    <row r="1470">
      <c r="B1470" s="11"/>
      <c r="C1470" s="4"/>
      <c r="D1470" s="5"/>
    </row>
    <row r="1471">
      <c r="B1471" s="11"/>
      <c r="C1471" s="4"/>
      <c r="D1471" s="5"/>
    </row>
    <row r="1472">
      <c r="B1472" s="11"/>
      <c r="C1472" s="4"/>
      <c r="D1472" s="5"/>
    </row>
    <row r="1473">
      <c r="B1473" s="11"/>
      <c r="C1473" s="4"/>
      <c r="D1473" s="5"/>
    </row>
    <row r="1474">
      <c r="B1474" s="11"/>
      <c r="C1474" s="4"/>
      <c r="D1474" s="5"/>
    </row>
    <row r="1475">
      <c r="B1475" s="11"/>
      <c r="C1475" s="4"/>
      <c r="D1475" s="5"/>
    </row>
    <row r="1476">
      <c r="B1476" s="11"/>
      <c r="C1476" s="4"/>
      <c r="D1476" s="5"/>
    </row>
    <row r="1477">
      <c r="B1477" s="11"/>
      <c r="C1477" s="4"/>
      <c r="D1477" s="5"/>
    </row>
    <row r="1478">
      <c r="B1478" s="11"/>
      <c r="C1478" s="4"/>
      <c r="D1478" s="5"/>
    </row>
    <row r="1479">
      <c r="B1479" s="11"/>
      <c r="C1479" s="4"/>
      <c r="D1479" s="5"/>
    </row>
    <row r="1480">
      <c r="B1480" s="11"/>
      <c r="C1480" s="4"/>
      <c r="D1480" s="5"/>
    </row>
    <row r="1481">
      <c r="B1481" s="11"/>
      <c r="C1481" s="4"/>
      <c r="D1481" s="5"/>
    </row>
    <row r="1482">
      <c r="B1482" s="11"/>
      <c r="C1482" s="4"/>
      <c r="D1482" s="5"/>
    </row>
    <row r="1483">
      <c r="B1483" s="11"/>
      <c r="C1483" s="4"/>
      <c r="D1483" s="5"/>
    </row>
    <row r="1484">
      <c r="B1484" s="11"/>
      <c r="C1484" s="4"/>
      <c r="D1484" s="5"/>
    </row>
    <row r="1485">
      <c r="B1485" s="11"/>
      <c r="C1485" s="4"/>
      <c r="D1485" s="5"/>
    </row>
    <row r="1486">
      <c r="B1486" s="11"/>
      <c r="C1486" s="4"/>
      <c r="D1486" s="5"/>
    </row>
    <row r="1487">
      <c r="B1487" s="11"/>
      <c r="C1487" s="4"/>
      <c r="D1487" s="5"/>
    </row>
    <row r="1488">
      <c r="B1488" s="11"/>
      <c r="C1488" s="4"/>
      <c r="D1488" s="5"/>
    </row>
    <row r="1489">
      <c r="B1489" s="11"/>
      <c r="C1489" s="4"/>
      <c r="D1489" s="5"/>
    </row>
    <row r="1490">
      <c r="B1490" s="11"/>
      <c r="C1490" s="4"/>
      <c r="D1490" s="5"/>
    </row>
    <row r="1491">
      <c r="B1491" s="11"/>
      <c r="C1491" s="4"/>
      <c r="D1491" s="5"/>
    </row>
    <row r="1492">
      <c r="B1492" s="11"/>
      <c r="C1492" s="4"/>
      <c r="D1492" s="5"/>
    </row>
    <row r="1493">
      <c r="B1493" s="11"/>
      <c r="C1493" s="4"/>
      <c r="D1493" s="5"/>
    </row>
    <row r="1494">
      <c r="B1494" s="11"/>
      <c r="C1494" s="4"/>
      <c r="D1494" s="5"/>
    </row>
    <row r="1495">
      <c r="B1495" s="11"/>
      <c r="C1495" s="4"/>
      <c r="D1495" s="5"/>
    </row>
    <row r="1496">
      <c r="B1496" s="11"/>
      <c r="C1496" s="4"/>
      <c r="D1496" s="5"/>
    </row>
    <row r="1497">
      <c r="B1497" s="11"/>
      <c r="C1497" s="4"/>
      <c r="D1497" s="5"/>
    </row>
    <row r="1498">
      <c r="B1498" s="11"/>
      <c r="C1498" s="4"/>
      <c r="D1498" s="5"/>
    </row>
    <row r="1499">
      <c r="B1499" s="11"/>
      <c r="C1499" s="4"/>
      <c r="D1499" s="5"/>
    </row>
    <row r="1500">
      <c r="B1500" s="11"/>
      <c r="C1500" s="4"/>
      <c r="D1500" s="5"/>
    </row>
    <row r="1501">
      <c r="B1501" s="11"/>
      <c r="C1501" s="4"/>
      <c r="D1501" s="5"/>
    </row>
    <row r="1502">
      <c r="B1502" s="11"/>
      <c r="C1502" s="4"/>
      <c r="D1502" s="5"/>
    </row>
    <row r="1503">
      <c r="B1503" s="11"/>
      <c r="C1503" s="4"/>
      <c r="D1503" s="5"/>
    </row>
    <row r="1504">
      <c r="B1504" s="11"/>
      <c r="C1504" s="4"/>
      <c r="D1504" s="5"/>
    </row>
    <row r="1505">
      <c r="B1505" s="11"/>
      <c r="C1505" s="4"/>
      <c r="D1505" s="5"/>
    </row>
    <row r="1506">
      <c r="B1506" s="11"/>
      <c r="C1506" s="4"/>
      <c r="D1506" s="5"/>
    </row>
    <row r="1507">
      <c r="B1507" s="11"/>
      <c r="C1507" s="4"/>
      <c r="D1507" s="5"/>
    </row>
    <row r="1508">
      <c r="B1508" s="11"/>
      <c r="C1508" s="4"/>
      <c r="D1508" s="5"/>
    </row>
    <row r="1509">
      <c r="B1509" s="11"/>
      <c r="C1509" s="4"/>
      <c r="D1509" s="5"/>
    </row>
    <row r="1510">
      <c r="B1510" s="11"/>
      <c r="C1510" s="4"/>
      <c r="D1510" s="5"/>
    </row>
    <row r="1511">
      <c r="B1511" s="11"/>
      <c r="C1511" s="4"/>
      <c r="D1511" s="5"/>
    </row>
    <row r="1512">
      <c r="B1512" s="11"/>
      <c r="C1512" s="4"/>
      <c r="D1512" s="5"/>
    </row>
    <row r="1513">
      <c r="B1513" s="11"/>
      <c r="C1513" s="4"/>
      <c r="D1513" s="5"/>
    </row>
    <row r="1514">
      <c r="B1514" s="11"/>
      <c r="C1514" s="4"/>
      <c r="D1514" s="5"/>
    </row>
    <row r="1515">
      <c r="B1515" s="11"/>
      <c r="C1515" s="4"/>
      <c r="D1515" s="5"/>
    </row>
    <row r="1516">
      <c r="B1516" s="11"/>
      <c r="C1516" s="4"/>
      <c r="D1516" s="5"/>
    </row>
    <row r="1517">
      <c r="B1517" s="11"/>
      <c r="C1517" s="4"/>
      <c r="D1517" s="5"/>
    </row>
    <row r="1518">
      <c r="B1518" s="11"/>
      <c r="C1518" s="4"/>
      <c r="D1518" s="5"/>
    </row>
    <row r="1519">
      <c r="B1519" s="11"/>
      <c r="C1519" s="4"/>
      <c r="D1519" s="5"/>
    </row>
    <row r="1520">
      <c r="B1520" s="11"/>
      <c r="C1520" s="4"/>
      <c r="D1520" s="5"/>
    </row>
    <row r="1521">
      <c r="B1521" s="11"/>
      <c r="C1521" s="4"/>
      <c r="D1521" s="5"/>
    </row>
    <row r="1522">
      <c r="B1522" s="11"/>
      <c r="C1522" s="4"/>
      <c r="D1522" s="5"/>
    </row>
    <row r="1523">
      <c r="B1523" s="11"/>
      <c r="C1523" s="4"/>
      <c r="D1523" s="5"/>
    </row>
    <row r="1524">
      <c r="B1524" s="11"/>
      <c r="C1524" s="4"/>
      <c r="D1524" s="5"/>
    </row>
    <row r="1525">
      <c r="B1525" s="11"/>
      <c r="C1525" s="4"/>
      <c r="D1525" s="5"/>
    </row>
    <row r="1526">
      <c r="B1526" s="11"/>
      <c r="C1526" s="4"/>
      <c r="D1526" s="5"/>
    </row>
    <row r="1527">
      <c r="B1527" s="11"/>
      <c r="C1527" s="4"/>
      <c r="D1527" s="5"/>
    </row>
    <row r="1528">
      <c r="B1528" s="11"/>
      <c r="C1528" s="4"/>
      <c r="D1528" s="5"/>
    </row>
    <row r="1529">
      <c r="B1529" s="11"/>
      <c r="C1529" s="4"/>
      <c r="D1529" s="5"/>
    </row>
    <row r="1530">
      <c r="B1530" s="11"/>
      <c r="C1530" s="4"/>
      <c r="D1530" s="5"/>
    </row>
    <row r="1531">
      <c r="B1531" s="11"/>
      <c r="C1531" s="4"/>
      <c r="D1531" s="5"/>
    </row>
    <row r="1532">
      <c r="B1532" s="11"/>
      <c r="C1532" s="4"/>
      <c r="D1532" s="5"/>
    </row>
    <row r="1533">
      <c r="B1533" s="11"/>
      <c r="C1533" s="4"/>
      <c r="D1533" s="5"/>
    </row>
    <row r="1534">
      <c r="B1534" s="11"/>
      <c r="C1534" s="4"/>
      <c r="D1534" s="5"/>
    </row>
    <row r="1535">
      <c r="B1535" s="11"/>
      <c r="C1535" s="4"/>
      <c r="D1535" s="5"/>
    </row>
    <row r="1536">
      <c r="B1536" s="11"/>
      <c r="C1536" s="4"/>
      <c r="D1536" s="5"/>
    </row>
    <row r="1537">
      <c r="B1537" s="11"/>
      <c r="C1537" s="4"/>
      <c r="D1537" s="5"/>
    </row>
    <row r="1538">
      <c r="B1538" s="11"/>
      <c r="C1538" s="4"/>
      <c r="D1538" s="5"/>
    </row>
    <row r="1539">
      <c r="B1539" s="11"/>
      <c r="C1539" s="4"/>
      <c r="D1539" s="5"/>
    </row>
    <row r="1540">
      <c r="B1540" s="11"/>
      <c r="C1540" s="4"/>
      <c r="D1540" s="5"/>
    </row>
    <row r="1541">
      <c r="B1541" s="11"/>
      <c r="C1541" s="4"/>
      <c r="D1541" s="5"/>
    </row>
    <row r="1542">
      <c r="B1542" s="11"/>
      <c r="C1542" s="4"/>
      <c r="D1542" s="5"/>
    </row>
    <row r="1543">
      <c r="B1543" s="11"/>
      <c r="C1543" s="4"/>
      <c r="D1543" s="5"/>
    </row>
    <row r="1544">
      <c r="B1544" s="11"/>
      <c r="C1544" s="4"/>
      <c r="D1544" s="5"/>
    </row>
    <row r="1545">
      <c r="B1545" s="11"/>
      <c r="C1545" s="4"/>
      <c r="D1545" s="5"/>
    </row>
    <row r="1546">
      <c r="B1546" s="11"/>
      <c r="C1546" s="4"/>
      <c r="D1546" s="5"/>
    </row>
    <row r="1547">
      <c r="B1547" s="11"/>
      <c r="C1547" s="4"/>
      <c r="D1547" s="5"/>
    </row>
    <row r="1548">
      <c r="B1548" s="11"/>
      <c r="C1548" s="4"/>
      <c r="D1548" s="5"/>
    </row>
    <row r="1549">
      <c r="B1549" s="11"/>
      <c r="C1549" s="4"/>
      <c r="D1549" s="5"/>
    </row>
    <row r="1550">
      <c r="B1550" s="11"/>
      <c r="C1550" s="4"/>
      <c r="D1550" s="5"/>
    </row>
    <row r="1551">
      <c r="B1551" s="11"/>
      <c r="C1551" s="4"/>
      <c r="D1551" s="5"/>
    </row>
    <row r="1552">
      <c r="B1552" s="11"/>
      <c r="C1552" s="4"/>
      <c r="D1552" s="5"/>
    </row>
    <row r="1553">
      <c r="B1553" s="11"/>
      <c r="C1553" s="4"/>
      <c r="D1553" s="5"/>
    </row>
    <row r="1554">
      <c r="B1554" s="11"/>
      <c r="C1554" s="4"/>
      <c r="D1554" s="5"/>
    </row>
    <row r="1555">
      <c r="B1555" s="11"/>
      <c r="C1555" s="4"/>
      <c r="D1555" s="5"/>
    </row>
    <row r="1556">
      <c r="B1556" s="11"/>
      <c r="C1556" s="4"/>
      <c r="D1556" s="5"/>
    </row>
    <row r="1557">
      <c r="B1557" s="11"/>
      <c r="C1557" s="4"/>
      <c r="D1557" s="5"/>
    </row>
    <row r="1558">
      <c r="B1558" s="11"/>
      <c r="C1558" s="4"/>
      <c r="D1558" s="5"/>
    </row>
    <row r="1559">
      <c r="B1559" s="11"/>
      <c r="C1559" s="4"/>
      <c r="D1559" s="5"/>
    </row>
    <row r="1560">
      <c r="B1560" s="11"/>
      <c r="C1560" s="4"/>
      <c r="D1560" s="5"/>
    </row>
    <row r="1561">
      <c r="B1561" s="11"/>
      <c r="C1561" s="4"/>
      <c r="D1561" s="5"/>
    </row>
    <row r="1562">
      <c r="B1562" s="11"/>
      <c r="C1562" s="4"/>
      <c r="D1562" s="5"/>
    </row>
    <row r="1563">
      <c r="B1563" s="11"/>
      <c r="C1563" s="4"/>
      <c r="D1563" s="5"/>
    </row>
    <row r="1564">
      <c r="B1564" s="11"/>
      <c r="C1564" s="4"/>
      <c r="D1564" s="5"/>
    </row>
    <row r="1565">
      <c r="B1565" s="11"/>
      <c r="C1565" s="4"/>
      <c r="D1565" s="5"/>
    </row>
    <row r="1566">
      <c r="B1566" s="11"/>
      <c r="C1566" s="4"/>
      <c r="D1566" s="5"/>
    </row>
    <row r="1567">
      <c r="B1567" s="11"/>
      <c r="C1567" s="4"/>
      <c r="D1567" s="5"/>
    </row>
    <row r="1568">
      <c r="B1568" s="11"/>
      <c r="C1568" s="4"/>
      <c r="D1568" s="5"/>
    </row>
    <row r="1569">
      <c r="B1569" s="11"/>
      <c r="C1569" s="4"/>
      <c r="D1569" s="5"/>
    </row>
    <row r="1570">
      <c r="B1570" s="11"/>
      <c r="C1570" s="4"/>
      <c r="D1570" s="5"/>
    </row>
    <row r="1571">
      <c r="B1571" s="11"/>
      <c r="C1571" s="4"/>
      <c r="D1571" s="5"/>
    </row>
    <row r="1572">
      <c r="B1572" s="11"/>
      <c r="C1572" s="4"/>
      <c r="D1572" s="5"/>
    </row>
    <row r="1573">
      <c r="B1573" s="11"/>
      <c r="C1573" s="4"/>
      <c r="D1573" s="5"/>
    </row>
    <row r="1574">
      <c r="B1574" s="11"/>
      <c r="C1574" s="4"/>
      <c r="D1574" s="5"/>
    </row>
    <row r="1575">
      <c r="B1575" s="11"/>
      <c r="C1575" s="4"/>
      <c r="D1575" s="5"/>
    </row>
    <row r="1576">
      <c r="B1576" s="11"/>
      <c r="C1576" s="4"/>
      <c r="D1576" s="5"/>
    </row>
    <row r="1577">
      <c r="B1577" s="11"/>
      <c r="C1577" s="4"/>
      <c r="D1577" s="5"/>
    </row>
    <row r="1578">
      <c r="B1578" s="11"/>
      <c r="C1578" s="4"/>
      <c r="D1578" s="5"/>
    </row>
    <row r="1579">
      <c r="B1579" s="11"/>
      <c r="C1579" s="4"/>
      <c r="D1579" s="5"/>
    </row>
    <row r="1580">
      <c r="B1580" s="11"/>
      <c r="C1580" s="4"/>
      <c r="D1580" s="5"/>
    </row>
    <row r="1581">
      <c r="B1581" s="11"/>
      <c r="C1581" s="4"/>
      <c r="D1581" s="5"/>
    </row>
    <row r="1582">
      <c r="B1582" s="11"/>
      <c r="C1582" s="4"/>
      <c r="D1582" s="5"/>
    </row>
    <row r="1583">
      <c r="B1583" s="11"/>
      <c r="C1583" s="4"/>
      <c r="D1583" s="5"/>
    </row>
    <row r="1584">
      <c r="B1584" s="11"/>
      <c r="C1584" s="4"/>
      <c r="D1584" s="5"/>
    </row>
    <row r="1585">
      <c r="B1585" s="11"/>
      <c r="C1585" s="4"/>
      <c r="D1585" s="5"/>
    </row>
    <row r="1586">
      <c r="B1586" s="11"/>
      <c r="C1586" s="4"/>
      <c r="D1586" s="5"/>
    </row>
    <row r="1587">
      <c r="B1587" s="11"/>
      <c r="C1587" s="4"/>
      <c r="D1587" s="5"/>
    </row>
    <row r="1588">
      <c r="B1588" s="11"/>
      <c r="C1588" s="4"/>
      <c r="D1588" s="5"/>
    </row>
    <row r="1589">
      <c r="B1589" s="11"/>
      <c r="C1589" s="4"/>
      <c r="D1589" s="5"/>
    </row>
    <row r="1590">
      <c r="B1590" s="11"/>
      <c r="C1590" s="4"/>
      <c r="D1590" s="5"/>
    </row>
    <row r="1591">
      <c r="B1591" s="11"/>
      <c r="C1591" s="4"/>
      <c r="D1591" s="5"/>
    </row>
    <row r="1592">
      <c r="B1592" s="11"/>
      <c r="C1592" s="4"/>
      <c r="D1592" s="5"/>
    </row>
    <row r="1593">
      <c r="B1593" s="11"/>
      <c r="C1593" s="4"/>
      <c r="D1593" s="5"/>
    </row>
    <row r="1594">
      <c r="B1594" s="11"/>
      <c r="C1594" s="4"/>
      <c r="D1594" s="5"/>
    </row>
    <row r="1595">
      <c r="B1595" s="11"/>
      <c r="C1595" s="4"/>
      <c r="D1595" s="5"/>
    </row>
    <row r="1596">
      <c r="B1596" s="11"/>
      <c r="C1596" s="4"/>
      <c r="D1596" s="5"/>
    </row>
    <row r="1597">
      <c r="B1597" s="11"/>
      <c r="C1597" s="4"/>
      <c r="D1597" s="5"/>
    </row>
    <row r="1598">
      <c r="B1598" s="11"/>
      <c r="C1598" s="4"/>
      <c r="D1598" s="5"/>
    </row>
    <row r="1599">
      <c r="B1599" s="11"/>
      <c r="C1599" s="4"/>
      <c r="D1599" s="5"/>
    </row>
    <row r="1600">
      <c r="B1600" s="11"/>
      <c r="C1600" s="4"/>
      <c r="D1600" s="5"/>
    </row>
    <row r="1601">
      <c r="B1601" s="11"/>
      <c r="C1601" s="4"/>
      <c r="D1601" s="5"/>
    </row>
    <row r="1602">
      <c r="B1602" s="11"/>
      <c r="C1602" s="4"/>
      <c r="D1602" s="5"/>
    </row>
    <row r="1603">
      <c r="B1603" s="11"/>
      <c r="C1603" s="4"/>
      <c r="D1603" s="5"/>
    </row>
    <row r="1604">
      <c r="B1604" s="11"/>
      <c r="C1604" s="4"/>
      <c r="D1604" s="5"/>
    </row>
    <row r="1605">
      <c r="B1605" s="11"/>
      <c r="C1605" s="4"/>
      <c r="D1605" s="5"/>
    </row>
    <row r="1606">
      <c r="B1606" s="11"/>
      <c r="C1606" s="4"/>
      <c r="D1606" s="5"/>
    </row>
    <row r="1607">
      <c r="B1607" s="11"/>
      <c r="C1607" s="4"/>
      <c r="D1607" s="5"/>
    </row>
    <row r="1608">
      <c r="B1608" s="11"/>
      <c r="C1608" s="4"/>
      <c r="D1608" s="5"/>
    </row>
    <row r="1609">
      <c r="B1609" s="11"/>
      <c r="C1609" s="4"/>
      <c r="D1609" s="5"/>
    </row>
    <row r="1610">
      <c r="B1610" s="11"/>
      <c r="C1610" s="4"/>
      <c r="D1610" s="5"/>
    </row>
    <row r="1611">
      <c r="B1611" s="11"/>
      <c r="C1611" s="4"/>
      <c r="D1611" s="5"/>
    </row>
    <row r="1612">
      <c r="B1612" s="11"/>
      <c r="C1612" s="4"/>
      <c r="D1612" s="5"/>
    </row>
    <row r="1613">
      <c r="B1613" s="11"/>
      <c r="C1613" s="4"/>
      <c r="D1613" s="5"/>
    </row>
    <row r="1614">
      <c r="B1614" s="11"/>
      <c r="C1614" s="4"/>
      <c r="D1614" s="5"/>
    </row>
    <row r="1615">
      <c r="B1615" s="11"/>
      <c r="C1615" s="4"/>
      <c r="D1615" s="5"/>
    </row>
    <row r="1616">
      <c r="B1616" s="11"/>
      <c r="C1616" s="4"/>
      <c r="D1616" s="5"/>
    </row>
    <row r="1617">
      <c r="B1617" s="11"/>
      <c r="C1617" s="4"/>
      <c r="D1617" s="5"/>
    </row>
    <row r="1618">
      <c r="B1618" s="11"/>
      <c r="C1618" s="4"/>
      <c r="D1618" s="5"/>
    </row>
    <row r="1619">
      <c r="B1619" s="11"/>
      <c r="C1619" s="4"/>
      <c r="D1619" s="5"/>
    </row>
    <row r="1620">
      <c r="B1620" s="11"/>
      <c r="C1620" s="4"/>
      <c r="D1620" s="5"/>
    </row>
    <row r="1621">
      <c r="B1621" s="11"/>
      <c r="C1621" s="4"/>
      <c r="D1621" s="5"/>
    </row>
    <row r="1622">
      <c r="B1622" s="11"/>
      <c r="C1622" s="4"/>
      <c r="D1622" s="5"/>
    </row>
    <row r="1623">
      <c r="B1623" s="11"/>
      <c r="C1623" s="4"/>
      <c r="D1623" s="5"/>
    </row>
    <row r="1624">
      <c r="B1624" s="11"/>
      <c r="C1624" s="4"/>
      <c r="D1624" s="5"/>
    </row>
    <row r="1625">
      <c r="B1625" s="11"/>
      <c r="C1625" s="4"/>
      <c r="D1625" s="5"/>
    </row>
    <row r="1626">
      <c r="B1626" s="11"/>
      <c r="C1626" s="4"/>
      <c r="D1626" s="5"/>
    </row>
    <row r="1627">
      <c r="B1627" s="11"/>
      <c r="C1627" s="4"/>
      <c r="D1627" s="5"/>
    </row>
    <row r="1628">
      <c r="B1628" s="11"/>
      <c r="C1628" s="4"/>
      <c r="D1628" s="5"/>
    </row>
    <row r="1629">
      <c r="B1629" s="11"/>
      <c r="C1629" s="4"/>
      <c r="D1629" s="5"/>
    </row>
    <row r="1630">
      <c r="B1630" s="11"/>
      <c r="C1630" s="4"/>
      <c r="D1630" s="5"/>
    </row>
    <row r="1631">
      <c r="B1631" s="11"/>
      <c r="C1631" s="4"/>
      <c r="D1631" s="5"/>
    </row>
    <row r="1632">
      <c r="B1632" s="11"/>
      <c r="C1632" s="4"/>
      <c r="D1632" s="5"/>
    </row>
    <row r="1633">
      <c r="B1633" s="11"/>
      <c r="C1633" s="4"/>
      <c r="D1633" s="5"/>
    </row>
    <row r="1634">
      <c r="B1634" s="11"/>
      <c r="C1634" s="4"/>
      <c r="D1634" s="5"/>
    </row>
    <row r="1635">
      <c r="B1635" s="11"/>
      <c r="C1635" s="4"/>
      <c r="D1635" s="5"/>
    </row>
    <row r="1636">
      <c r="B1636" s="11"/>
      <c r="C1636" s="4"/>
      <c r="D1636" s="5"/>
    </row>
    <row r="1637">
      <c r="B1637" s="11"/>
      <c r="C1637" s="4"/>
      <c r="D1637" s="5"/>
    </row>
    <row r="1638">
      <c r="B1638" s="11"/>
      <c r="C1638" s="4"/>
      <c r="D1638" s="5"/>
    </row>
    <row r="1639">
      <c r="B1639" s="11"/>
      <c r="C1639" s="4"/>
      <c r="D1639" s="5"/>
    </row>
    <row r="1640">
      <c r="B1640" s="11"/>
      <c r="C1640" s="4"/>
      <c r="D1640" s="5"/>
    </row>
    <row r="1641">
      <c r="B1641" s="11"/>
      <c r="C1641" s="4"/>
      <c r="D1641" s="5"/>
    </row>
    <row r="1642">
      <c r="B1642" s="11"/>
      <c r="C1642" s="4"/>
      <c r="D1642" s="5"/>
    </row>
    <row r="1643">
      <c r="B1643" s="11"/>
      <c r="C1643" s="4"/>
      <c r="D1643" s="5"/>
    </row>
    <row r="1644">
      <c r="B1644" s="11"/>
      <c r="C1644" s="4"/>
      <c r="D1644" s="5"/>
    </row>
    <row r="1645">
      <c r="B1645" s="11"/>
      <c r="C1645" s="4"/>
      <c r="D1645" s="5"/>
    </row>
    <row r="1646">
      <c r="B1646" s="11"/>
      <c r="C1646" s="4"/>
      <c r="D1646" s="5"/>
    </row>
    <row r="1647">
      <c r="B1647" s="11"/>
      <c r="C1647" s="4"/>
      <c r="D1647" s="5"/>
    </row>
    <row r="1648">
      <c r="B1648" s="11"/>
      <c r="C1648" s="4"/>
      <c r="D1648" s="5"/>
    </row>
    <row r="1649">
      <c r="B1649" s="11"/>
      <c r="C1649" s="4"/>
      <c r="D1649" s="5"/>
    </row>
    <row r="1650">
      <c r="B1650" s="11"/>
      <c r="C1650" s="4"/>
      <c r="D1650" s="5"/>
    </row>
    <row r="1651">
      <c r="B1651" s="11"/>
      <c r="C1651" s="4"/>
      <c r="D1651" s="5"/>
    </row>
    <row r="1652">
      <c r="B1652" s="11"/>
      <c r="C1652" s="4"/>
      <c r="D1652" s="5"/>
    </row>
    <row r="1653">
      <c r="B1653" s="11"/>
      <c r="C1653" s="4"/>
      <c r="D1653" s="5"/>
    </row>
    <row r="1654">
      <c r="B1654" s="11"/>
      <c r="C1654" s="4"/>
      <c r="D1654" s="5"/>
    </row>
    <row r="1655">
      <c r="B1655" s="11"/>
      <c r="C1655" s="4"/>
      <c r="D1655" s="5"/>
    </row>
    <row r="1656">
      <c r="B1656" s="11"/>
      <c r="C1656" s="4"/>
      <c r="D1656" s="5"/>
    </row>
    <row r="1657">
      <c r="B1657" s="11"/>
      <c r="C1657" s="4"/>
      <c r="D1657" s="5"/>
    </row>
    <row r="1658">
      <c r="B1658" s="11"/>
      <c r="C1658" s="4"/>
      <c r="D1658" s="5"/>
    </row>
    <row r="1659">
      <c r="B1659" s="11"/>
      <c r="C1659" s="4"/>
      <c r="D1659" s="5"/>
    </row>
    <row r="1660">
      <c r="B1660" s="11"/>
      <c r="C1660" s="4"/>
      <c r="D1660" s="5"/>
    </row>
    <row r="1661">
      <c r="B1661" s="11"/>
      <c r="C1661" s="4"/>
      <c r="D1661" s="5"/>
    </row>
    <row r="1662">
      <c r="B1662" s="11"/>
      <c r="C1662" s="4"/>
      <c r="D1662" s="5"/>
    </row>
    <row r="1663">
      <c r="B1663" s="11"/>
      <c r="C1663" s="4"/>
      <c r="D1663" s="5"/>
    </row>
    <row r="1664">
      <c r="B1664" s="11"/>
      <c r="C1664" s="4"/>
      <c r="D1664" s="5"/>
    </row>
    <row r="1665">
      <c r="B1665" s="11"/>
      <c r="C1665" s="4"/>
      <c r="D1665" s="5"/>
    </row>
    <row r="1666">
      <c r="B1666" s="11"/>
      <c r="C1666" s="4"/>
      <c r="D1666" s="5"/>
    </row>
    <row r="1667">
      <c r="B1667" s="11"/>
      <c r="C1667" s="4"/>
      <c r="D1667" s="5"/>
    </row>
    <row r="1668">
      <c r="B1668" s="11"/>
      <c r="C1668" s="4"/>
      <c r="D1668" s="5"/>
    </row>
    <row r="1669">
      <c r="B1669" s="11"/>
      <c r="C1669" s="4"/>
      <c r="D1669" s="5"/>
    </row>
    <row r="1670">
      <c r="B1670" s="11"/>
      <c r="C1670" s="4"/>
      <c r="D1670" s="5"/>
    </row>
    <row r="1671">
      <c r="B1671" s="11"/>
      <c r="C1671" s="4"/>
      <c r="D1671" s="5"/>
    </row>
    <row r="1672">
      <c r="B1672" s="11"/>
      <c r="C1672" s="4"/>
      <c r="D1672" s="5"/>
    </row>
    <row r="1673">
      <c r="B1673" s="11"/>
      <c r="C1673" s="4"/>
      <c r="D1673" s="5"/>
    </row>
    <row r="1674">
      <c r="B1674" s="11"/>
      <c r="C1674" s="4"/>
      <c r="D1674" s="5"/>
    </row>
    <row r="1675">
      <c r="B1675" s="11"/>
      <c r="C1675" s="4"/>
      <c r="D1675" s="5"/>
    </row>
    <row r="1676">
      <c r="B1676" s="11"/>
      <c r="C1676" s="4"/>
      <c r="D1676" s="5"/>
    </row>
    <row r="1677">
      <c r="B1677" s="11"/>
      <c r="C1677" s="4"/>
      <c r="D1677" s="5"/>
    </row>
    <row r="1678">
      <c r="B1678" s="11"/>
      <c r="C1678" s="4"/>
      <c r="D1678" s="5"/>
    </row>
    <row r="1679">
      <c r="B1679" s="11"/>
      <c r="C1679" s="4"/>
      <c r="D1679" s="5"/>
    </row>
    <row r="1680">
      <c r="B1680" s="11"/>
      <c r="C1680" s="4"/>
      <c r="D1680" s="5"/>
    </row>
    <row r="1681">
      <c r="B1681" s="11"/>
      <c r="C1681" s="4"/>
      <c r="D1681" s="5"/>
    </row>
    <row r="1682">
      <c r="B1682" s="11"/>
      <c r="C1682" s="4"/>
      <c r="D1682" s="5"/>
    </row>
    <row r="1683">
      <c r="B1683" s="11"/>
      <c r="C1683" s="4"/>
      <c r="D1683" s="5"/>
    </row>
    <row r="1684">
      <c r="B1684" s="11"/>
      <c r="C1684" s="4"/>
      <c r="D1684" s="5"/>
    </row>
    <row r="1685">
      <c r="B1685" s="11"/>
      <c r="C1685" s="4"/>
      <c r="D1685" s="5"/>
    </row>
    <row r="1686">
      <c r="B1686" s="11"/>
      <c r="C1686" s="4"/>
      <c r="D1686" s="5"/>
    </row>
    <row r="1687">
      <c r="B1687" s="11"/>
      <c r="C1687" s="4"/>
      <c r="D1687" s="5"/>
    </row>
    <row r="1688">
      <c r="B1688" s="11"/>
      <c r="C1688" s="4"/>
      <c r="D1688" s="5"/>
    </row>
    <row r="1689">
      <c r="B1689" s="11"/>
      <c r="C1689" s="4"/>
      <c r="D1689" s="5"/>
    </row>
    <row r="1690">
      <c r="B1690" s="11"/>
      <c r="C1690" s="4"/>
      <c r="D1690" s="5"/>
    </row>
    <row r="1691">
      <c r="B1691" s="11"/>
      <c r="C1691" s="4"/>
      <c r="D1691" s="5"/>
    </row>
    <row r="1692">
      <c r="B1692" s="11"/>
      <c r="C1692" s="4"/>
      <c r="D1692" s="5"/>
    </row>
    <row r="1693">
      <c r="B1693" s="11"/>
      <c r="C1693" s="4"/>
      <c r="D1693" s="5"/>
    </row>
    <row r="1694">
      <c r="B1694" s="11"/>
      <c r="C1694" s="4"/>
      <c r="D1694" s="5"/>
    </row>
    <row r="1695">
      <c r="B1695" s="11"/>
      <c r="C1695" s="4"/>
      <c r="D1695" s="5"/>
    </row>
    <row r="1696">
      <c r="B1696" s="11"/>
      <c r="C1696" s="4"/>
      <c r="D1696" s="5"/>
    </row>
    <row r="1697">
      <c r="B1697" s="11"/>
      <c r="C1697" s="4"/>
      <c r="D1697" s="5"/>
    </row>
    <row r="1698">
      <c r="B1698" s="11"/>
      <c r="C1698" s="4"/>
      <c r="D1698" s="5"/>
    </row>
    <row r="1699">
      <c r="B1699" s="11"/>
      <c r="C1699" s="4"/>
      <c r="D1699" s="5"/>
    </row>
    <row r="1700">
      <c r="B1700" s="11"/>
      <c r="C1700" s="4"/>
      <c r="D1700" s="5"/>
    </row>
    <row r="1701">
      <c r="B1701" s="11"/>
      <c r="C1701" s="4"/>
      <c r="D1701" s="5"/>
    </row>
    <row r="1702">
      <c r="B1702" s="11"/>
      <c r="C1702" s="4"/>
      <c r="D1702" s="5"/>
    </row>
    <row r="1703">
      <c r="B1703" s="11"/>
      <c r="C1703" s="4"/>
      <c r="D1703" s="5"/>
    </row>
    <row r="1704">
      <c r="B1704" s="11"/>
      <c r="C1704" s="4"/>
      <c r="D1704" s="5"/>
    </row>
    <row r="1705">
      <c r="B1705" s="11"/>
      <c r="C1705" s="4"/>
      <c r="D1705" s="5"/>
    </row>
    <row r="1706">
      <c r="B1706" s="11"/>
      <c r="C1706" s="4"/>
      <c r="D1706" s="5"/>
    </row>
    <row r="1707">
      <c r="B1707" s="11"/>
      <c r="C1707" s="4"/>
      <c r="D1707" s="5"/>
    </row>
    <row r="1708">
      <c r="B1708" s="11"/>
      <c r="C1708" s="4"/>
      <c r="D1708" s="5"/>
    </row>
    <row r="1709">
      <c r="B1709" s="11"/>
      <c r="C1709" s="4"/>
      <c r="D1709" s="5"/>
    </row>
    <row r="1710">
      <c r="B1710" s="11"/>
      <c r="C1710" s="4"/>
      <c r="D1710" s="5"/>
    </row>
    <row r="1711">
      <c r="B1711" s="11"/>
      <c r="C1711" s="4"/>
      <c r="D1711" s="5"/>
    </row>
    <row r="1712">
      <c r="B1712" s="11"/>
      <c r="C1712" s="4"/>
      <c r="D1712" s="5"/>
    </row>
    <row r="1713">
      <c r="B1713" s="11"/>
      <c r="C1713" s="4"/>
      <c r="D1713" s="5"/>
    </row>
    <row r="1714">
      <c r="B1714" s="11"/>
      <c r="C1714" s="4"/>
      <c r="D1714" s="5"/>
    </row>
    <row r="1715">
      <c r="B1715" s="11"/>
      <c r="C1715" s="4"/>
      <c r="D1715" s="5"/>
    </row>
    <row r="1716">
      <c r="B1716" s="11"/>
      <c r="C1716" s="4"/>
      <c r="D1716" s="5"/>
    </row>
    <row r="1717">
      <c r="B1717" s="11"/>
      <c r="C1717" s="4"/>
      <c r="D1717" s="5"/>
    </row>
    <row r="1718">
      <c r="B1718" s="11"/>
      <c r="C1718" s="4"/>
      <c r="D1718" s="5"/>
    </row>
    <row r="1719">
      <c r="B1719" s="11"/>
      <c r="C1719" s="4"/>
      <c r="D1719" s="5"/>
    </row>
    <row r="1720">
      <c r="B1720" s="11"/>
      <c r="C1720" s="4"/>
      <c r="D1720" s="5"/>
    </row>
    <row r="1721">
      <c r="B1721" s="11"/>
      <c r="C1721" s="4"/>
      <c r="D1721" s="5"/>
    </row>
    <row r="1722">
      <c r="B1722" s="11"/>
      <c r="C1722" s="4"/>
      <c r="D1722" s="5"/>
    </row>
    <row r="1723">
      <c r="B1723" s="11"/>
      <c r="C1723" s="4"/>
      <c r="D1723" s="5"/>
    </row>
    <row r="1724">
      <c r="B1724" s="11"/>
      <c r="C1724" s="4"/>
      <c r="D1724" s="5"/>
    </row>
    <row r="1725">
      <c r="B1725" s="11"/>
      <c r="C1725" s="4"/>
      <c r="D1725" s="5"/>
    </row>
    <row r="1726">
      <c r="B1726" s="11"/>
      <c r="C1726" s="4"/>
      <c r="D1726" s="5"/>
    </row>
    <row r="1727">
      <c r="B1727" s="11"/>
      <c r="C1727" s="4"/>
      <c r="D1727" s="5"/>
    </row>
    <row r="1728">
      <c r="B1728" s="11"/>
      <c r="C1728" s="4"/>
      <c r="D1728" s="5"/>
    </row>
    <row r="1729">
      <c r="B1729" s="11"/>
      <c r="C1729" s="4"/>
      <c r="D1729" s="5"/>
    </row>
    <row r="1730">
      <c r="B1730" s="11"/>
      <c r="C1730" s="4"/>
      <c r="D1730" s="5"/>
    </row>
    <row r="1731">
      <c r="B1731" s="11"/>
      <c r="C1731" s="4"/>
      <c r="D1731" s="5"/>
    </row>
    <row r="1732">
      <c r="B1732" s="11"/>
      <c r="C1732" s="4"/>
      <c r="D1732" s="5"/>
    </row>
    <row r="1733">
      <c r="B1733" s="11"/>
      <c r="C1733" s="4"/>
      <c r="D1733" s="5"/>
    </row>
    <row r="1734">
      <c r="B1734" s="11"/>
      <c r="C1734" s="4"/>
      <c r="D1734" s="5"/>
    </row>
    <row r="1735">
      <c r="B1735" s="11"/>
      <c r="C1735" s="4"/>
      <c r="D1735" s="5"/>
    </row>
    <row r="1736">
      <c r="B1736" s="11"/>
      <c r="C1736" s="4"/>
      <c r="D1736" s="5"/>
    </row>
    <row r="1737">
      <c r="B1737" s="11"/>
      <c r="C1737" s="4"/>
      <c r="D1737" s="5"/>
    </row>
    <row r="1738">
      <c r="B1738" s="11"/>
      <c r="C1738" s="4"/>
      <c r="D1738" s="5"/>
    </row>
    <row r="1739">
      <c r="B1739" s="11"/>
      <c r="C1739" s="4"/>
      <c r="D1739" s="5"/>
    </row>
    <row r="1740">
      <c r="B1740" s="11"/>
      <c r="C1740" s="4"/>
      <c r="D1740" s="5"/>
    </row>
    <row r="1741">
      <c r="B1741" s="11"/>
      <c r="C1741" s="4"/>
      <c r="D1741" s="5"/>
    </row>
    <row r="1742">
      <c r="B1742" s="11"/>
      <c r="C1742" s="4"/>
      <c r="D1742" s="5"/>
    </row>
    <row r="1743">
      <c r="B1743" s="11"/>
      <c r="C1743" s="4"/>
      <c r="D1743" s="5"/>
    </row>
    <row r="1744">
      <c r="B1744" s="11"/>
      <c r="C1744" s="4"/>
      <c r="D1744" s="5"/>
    </row>
    <row r="1745">
      <c r="B1745" s="11"/>
      <c r="C1745" s="4"/>
      <c r="D1745" s="5"/>
    </row>
    <row r="1746">
      <c r="B1746" s="11"/>
      <c r="C1746" s="4"/>
      <c r="D1746" s="5"/>
    </row>
    <row r="1747">
      <c r="B1747" s="11"/>
      <c r="C1747" s="4"/>
      <c r="D1747" s="5"/>
    </row>
    <row r="1748">
      <c r="B1748" s="11"/>
      <c r="C1748" s="4"/>
      <c r="D1748" s="5"/>
    </row>
    <row r="1749">
      <c r="B1749" s="11"/>
      <c r="C1749" s="4"/>
      <c r="D1749" s="5"/>
    </row>
    <row r="1750">
      <c r="B1750" s="11"/>
      <c r="C1750" s="4"/>
      <c r="D1750" s="5"/>
    </row>
    <row r="1751">
      <c r="B1751" s="11"/>
      <c r="C1751" s="4"/>
      <c r="D1751" s="5"/>
    </row>
    <row r="1752">
      <c r="B1752" s="11"/>
      <c r="C1752" s="4"/>
      <c r="D1752" s="5"/>
    </row>
    <row r="1753">
      <c r="B1753" s="11"/>
      <c r="C1753" s="4"/>
      <c r="D1753" s="5"/>
    </row>
    <row r="1754">
      <c r="B1754" s="11"/>
      <c r="C1754" s="4"/>
      <c r="D1754" s="5"/>
    </row>
    <row r="1755">
      <c r="B1755" s="11"/>
      <c r="C1755" s="4"/>
      <c r="D1755" s="5"/>
    </row>
    <row r="1756">
      <c r="B1756" s="11"/>
      <c r="C1756" s="4"/>
      <c r="D1756" s="5"/>
    </row>
    <row r="1757">
      <c r="B1757" s="11"/>
      <c r="C1757" s="4"/>
      <c r="D1757" s="5"/>
    </row>
    <row r="1758">
      <c r="B1758" s="11"/>
      <c r="C1758" s="4"/>
      <c r="D1758" s="5"/>
    </row>
    <row r="1759">
      <c r="B1759" s="11"/>
      <c r="C1759" s="4"/>
      <c r="D1759" s="5"/>
    </row>
    <row r="1760">
      <c r="B1760" s="11"/>
      <c r="C1760" s="4"/>
      <c r="D1760" s="5"/>
    </row>
    <row r="1761">
      <c r="B1761" s="11"/>
      <c r="C1761" s="4"/>
      <c r="D1761" s="5"/>
    </row>
    <row r="1762">
      <c r="B1762" s="11"/>
      <c r="C1762" s="4"/>
      <c r="D1762" s="5"/>
    </row>
    <row r="1763">
      <c r="B1763" s="11"/>
      <c r="C1763" s="4"/>
      <c r="D1763" s="5"/>
    </row>
    <row r="1764">
      <c r="B1764" s="11"/>
      <c r="C1764" s="4"/>
      <c r="D1764" s="5"/>
    </row>
    <row r="1765">
      <c r="B1765" s="11"/>
      <c r="C1765" s="4"/>
      <c r="D1765" s="5"/>
    </row>
    <row r="1766">
      <c r="B1766" s="11"/>
      <c r="C1766" s="4"/>
      <c r="D1766" s="5"/>
    </row>
    <row r="1767">
      <c r="B1767" s="11"/>
      <c r="C1767" s="4"/>
      <c r="D1767" s="5"/>
    </row>
    <row r="1768">
      <c r="B1768" s="11"/>
      <c r="C1768" s="4"/>
      <c r="D1768" s="5"/>
    </row>
    <row r="1769">
      <c r="B1769" s="11"/>
      <c r="C1769" s="4"/>
      <c r="D1769" s="5"/>
    </row>
    <row r="1770">
      <c r="B1770" s="11"/>
      <c r="C1770" s="4"/>
      <c r="D1770" s="5"/>
    </row>
    <row r="1771">
      <c r="B1771" s="11"/>
      <c r="C1771" s="4"/>
      <c r="D1771" s="5"/>
    </row>
    <row r="1772">
      <c r="B1772" s="11"/>
      <c r="C1772" s="4"/>
      <c r="D1772" s="5"/>
    </row>
    <row r="1773">
      <c r="B1773" s="11"/>
      <c r="C1773" s="4"/>
      <c r="D1773" s="5"/>
    </row>
    <row r="1774">
      <c r="B1774" s="11"/>
      <c r="C1774" s="4"/>
      <c r="D1774" s="5"/>
    </row>
    <row r="1775">
      <c r="B1775" s="11"/>
      <c r="C1775" s="4"/>
      <c r="D1775" s="5"/>
    </row>
    <row r="1776">
      <c r="B1776" s="11"/>
      <c r="C1776" s="4"/>
      <c r="D1776" s="5"/>
    </row>
    <row r="1777">
      <c r="B1777" s="11"/>
      <c r="C1777" s="4"/>
      <c r="D1777" s="5"/>
    </row>
    <row r="1778">
      <c r="B1778" s="11"/>
      <c r="C1778" s="4"/>
      <c r="D1778" s="5"/>
    </row>
    <row r="1779">
      <c r="B1779" s="11"/>
      <c r="C1779" s="4"/>
      <c r="D1779" s="5"/>
    </row>
    <row r="1780">
      <c r="B1780" s="11"/>
      <c r="C1780" s="4"/>
      <c r="D1780" s="5"/>
    </row>
    <row r="1781">
      <c r="B1781" s="11"/>
      <c r="C1781" s="4"/>
      <c r="D1781" s="5"/>
    </row>
    <row r="1782">
      <c r="B1782" s="11"/>
      <c r="C1782" s="4"/>
      <c r="D1782" s="5"/>
    </row>
    <row r="1783">
      <c r="B1783" s="11"/>
      <c r="C1783" s="4"/>
      <c r="D1783" s="5"/>
    </row>
    <row r="1784">
      <c r="B1784" s="11"/>
      <c r="C1784" s="4"/>
      <c r="D1784" s="5"/>
    </row>
    <row r="1785">
      <c r="B1785" s="11"/>
      <c r="C1785" s="4"/>
      <c r="D1785" s="5"/>
    </row>
    <row r="1786">
      <c r="B1786" s="11"/>
      <c r="C1786" s="4"/>
      <c r="D1786" s="5"/>
    </row>
    <row r="1787">
      <c r="B1787" s="11"/>
      <c r="C1787" s="4"/>
      <c r="D1787" s="5"/>
    </row>
    <row r="1788">
      <c r="B1788" s="11"/>
      <c r="C1788" s="4"/>
      <c r="D1788" s="5"/>
    </row>
    <row r="1789">
      <c r="B1789" s="11"/>
      <c r="C1789" s="4"/>
      <c r="D1789" s="5"/>
    </row>
    <row r="1790">
      <c r="B1790" s="11"/>
      <c r="C1790" s="4"/>
      <c r="D1790" s="5"/>
    </row>
    <row r="1791">
      <c r="B1791" s="11"/>
      <c r="C1791" s="4"/>
      <c r="D1791" s="5"/>
    </row>
    <row r="1792">
      <c r="B1792" s="11"/>
      <c r="C1792" s="4"/>
      <c r="D1792" s="5"/>
    </row>
    <row r="1793">
      <c r="B1793" s="11"/>
      <c r="C1793" s="4"/>
      <c r="D1793" s="5"/>
    </row>
    <row r="1794">
      <c r="B1794" s="11"/>
      <c r="C1794" s="4"/>
      <c r="D1794" s="5"/>
    </row>
    <row r="1795">
      <c r="B1795" s="11"/>
      <c r="C1795" s="4"/>
      <c r="D1795" s="5"/>
    </row>
    <row r="1796">
      <c r="B1796" s="11"/>
      <c r="C1796" s="4"/>
      <c r="D1796" s="5"/>
    </row>
    <row r="1797">
      <c r="B1797" s="11"/>
      <c r="C1797" s="4"/>
      <c r="D1797" s="5"/>
    </row>
    <row r="1798">
      <c r="B1798" s="11"/>
      <c r="C1798" s="4"/>
      <c r="D1798" s="5"/>
    </row>
    <row r="1799">
      <c r="B1799" s="11"/>
      <c r="C1799" s="4"/>
      <c r="D1799" s="5"/>
    </row>
    <row r="1800">
      <c r="B1800" s="11"/>
      <c r="C1800" s="4"/>
      <c r="D1800" s="5"/>
    </row>
    <row r="1801">
      <c r="B1801" s="11"/>
      <c r="C1801" s="4"/>
      <c r="D1801" s="5"/>
    </row>
    <row r="1802">
      <c r="B1802" s="11"/>
      <c r="C1802" s="4"/>
      <c r="D1802" s="5"/>
    </row>
    <row r="1803">
      <c r="B1803" s="11"/>
      <c r="C1803" s="4"/>
      <c r="D1803" s="5"/>
    </row>
    <row r="1804">
      <c r="B1804" s="11"/>
      <c r="C1804" s="4"/>
      <c r="D1804" s="5"/>
    </row>
    <row r="1805">
      <c r="B1805" s="11"/>
      <c r="C1805" s="4"/>
      <c r="D1805" s="5"/>
    </row>
    <row r="1806">
      <c r="B1806" s="11"/>
      <c r="C1806" s="4"/>
      <c r="D1806" s="5"/>
    </row>
    <row r="1807">
      <c r="B1807" s="11"/>
      <c r="C1807" s="4"/>
      <c r="D1807" s="5"/>
    </row>
    <row r="1808">
      <c r="B1808" s="11"/>
      <c r="C1808" s="4"/>
      <c r="D1808" s="5"/>
    </row>
    <row r="1809">
      <c r="B1809" s="11"/>
      <c r="C1809" s="4"/>
      <c r="D1809" s="5"/>
    </row>
    <row r="1810">
      <c r="B1810" s="11"/>
      <c r="C1810" s="4"/>
      <c r="D1810" s="5"/>
    </row>
    <row r="1811">
      <c r="B1811" s="11"/>
      <c r="C1811" s="4"/>
      <c r="D1811" s="5"/>
    </row>
    <row r="1812">
      <c r="B1812" s="11"/>
      <c r="C1812" s="4"/>
      <c r="D1812" s="5"/>
    </row>
    <row r="1813">
      <c r="B1813" s="11"/>
      <c r="C1813" s="4"/>
      <c r="D1813" s="5"/>
    </row>
    <row r="1814">
      <c r="B1814" s="11"/>
      <c r="C1814" s="4"/>
      <c r="D1814" s="5"/>
    </row>
    <row r="1815">
      <c r="B1815" s="11"/>
      <c r="C1815" s="4"/>
      <c r="D1815" s="5"/>
    </row>
    <row r="1816">
      <c r="B1816" s="11"/>
      <c r="C1816" s="4"/>
      <c r="D1816" s="5"/>
    </row>
    <row r="1817">
      <c r="B1817" s="11"/>
      <c r="C1817" s="4"/>
      <c r="D1817" s="5"/>
    </row>
    <row r="1818">
      <c r="B1818" s="11"/>
      <c r="C1818" s="4"/>
      <c r="D1818" s="5"/>
    </row>
    <row r="1819">
      <c r="B1819" s="11"/>
      <c r="C1819" s="4"/>
      <c r="D1819" s="5"/>
    </row>
    <row r="1820">
      <c r="B1820" s="11"/>
      <c r="C1820" s="4"/>
      <c r="D1820" s="5"/>
    </row>
    <row r="1821">
      <c r="B1821" s="11"/>
      <c r="C1821" s="4"/>
      <c r="D1821" s="5"/>
    </row>
    <row r="1822">
      <c r="B1822" s="11"/>
      <c r="C1822" s="4"/>
      <c r="D1822" s="5"/>
    </row>
    <row r="1823">
      <c r="B1823" s="11"/>
      <c r="C1823" s="4"/>
      <c r="D1823" s="5"/>
    </row>
    <row r="1824">
      <c r="B1824" s="11"/>
      <c r="C1824" s="4"/>
      <c r="D1824" s="5"/>
    </row>
    <row r="1825">
      <c r="B1825" s="11"/>
      <c r="C1825" s="4"/>
      <c r="D1825" s="5"/>
    </row>
    <row r="1826">
      <c r="B1826" s="11"/>
      <c r="C1826" s="4"/>
      <c r="D1826" s="5"/>
    </row>
    <row r="1827">
      <c r="B1827" s="11"/>
      <c r="C1827" s="4"/>
      <c r="D1827" s="5"/>
    </row>
    <row r="1828">
      <c r="B1828" s="11"/>
      <c r="C1828" s="4"/>
      <c r="D1828" s="5"/>
    </row>
    <row r="1829">
      <c r="B1829" s="11"/>
      <c r="C1829" s="4"/>
      <c r="D1829" s="5"/>
    </row>
    <row r="1830">
      <c r="B1830" s="11"/>
      <c r="C1830" s="4"/>
      <c r="D1830" s="5"/>
    </row>
    <row r="1831">
      <c r="B1831" s="11"/>
      <c r="C1831" s="4"/>
      <c r="D1831" s="5"/>
    </row>
    <row r="1832">
      <c r="B1832" s="11"/>
      <c r="C1832" s="4"/>
      <c r="D1832" s="5"/>
    </row>
    <row r="1833">
      <c r="B1833" s="11"/>
      <c r="C1833" s="4"/>
      <c r="D1833" s="5"/>
    </row>
    <row r="1834">
      <c r="B1834" s="11"/>
      <c r="C1834" s="4"/>
      <c r="D1834" s="5"/>
    </row>
    <row r="1835">
      <c r="B1835" s="11"/>
      <c r="C1835" s="4"/>
      <c r="D1835" s="5"/>
    </row>
    <row r="1836">
      <c r="B1836" s="11"/>
      <c r="C1836" s="4"/>
      <c r="D1836" s="5"/>
    </row>
    <row r="1837">
      <c r="B1837" s="11"/>
      <c r="C1837" s="4"/>
      <c r="D1837" s="5"/>
    </row>
    <row r="1838">
      <c r="B1838" s="11"/>
      <c r="C1838" s="4"/>
      <c r="D1838" s="5"/>
    </row>
    <row r="1839">
      <c r="B1839" s="11"/>
      <c r="C1839" s="4"/>
      <c r="D1839" s="5"/>
    </row>
    <row r="1840">
      <c r="B1840" s="11"/>
      <c r="C1840" s="4"/>
      <c r="D1840" s="5"/>
    </row>
    <row r="1841">
      <c r="B1841" s="11"/>
      <c r="C1841" s="4"/>
      <c r="D1841" s="5"/>
    </row>
    <row r="1842">
      <c r="B1842" s="11"/>
      <c r="C1842" s="4"/>
      <c r="D1842" s="5"/>
    </row>
    <row r="1843">
      <c r="B1843" s="11"/>
      <c r="C1843" s="4"/>
      <c r="D1843" s="5"/>
    </row>
    <row r="1844">
      <c r="B1844" s="11"/>
      <c r="C1844" s="4"/>
      <c r="D1844" s="5"/>
    </row>
    <row r="1845">
      <c r="B1845" s="11"/>
      <c r="C1845" s="4"/>
      <c r="D1845" s="5"/>
    </row>
    <row r="1846">
      <c r="B1846" s="11"/>
      <c r="C1846" s="4"/>
      <c r="D1846" s="5"/>
    </row>
    <row r="1847">
      <c r="B1847" s="11"/>
      <c r="C1847" s="4"/>
      <c r="D1847" s="5"/>
    </row>
    <row r="1848">
      <c r="B1848" s="11"/>
      <c r="C1848" s="4"/>
      <c r="D1848" s="5"/>
    </row>
    <row r="1849">
      <c r="B1849" s="11"/>
      <c r="C1849" s="4"/>
      <c r="D1849" s="5"/>
    </row>
    <row r="1850">
      <c r="B1850" s="11"/>
      <c r="C1850" s="4"/>
      <c r="D1850" s="5"/>
    </row>
    <row r="1851">
      <c r="B1851" s="11"/>
      <c r="C1851" s="4"/>
      <c r="D1851" s="5"/>
    </row>
    <row r="1852">
      <c r="B1852" s="11"/>
      <c r="C1852" s="4"/>
      <c r="D1852" s="5"/>
    </row>
    <row r="1853">
      <c r="B1853" s="11"/>
      <c r="C1853" s="4"/>
      <c r="D1853" s="5"/>
    </row>
    <row r="1854">
      <c r="B1854" s="11"/>
      <c r="C1854" s="4"/>
      <c r="D1854" s="5"/>
    </row>
    <row r="1855">
      <c r="B1855" s="11"/>
      <c r="C1855" s="4"/>
      <c r="D1855" s="5"/>
    </row>
    <row r="1856">
      <c r="B1856" s="11"/>
      <c r="C1856" s="4"/>
      <c r="D1856" s="5"/>
    </row>
    <row r="1857">
      <c r="B1857" s="11"/>
      <c r="C1857" s="4"/>
      <c r="D1857" s="5"/>
    </row>
    <row r="1858">
      <c r="B1858" s="11"/>
      <c r="C1858" s="4"/>
      <c r="D1858" s="5"/>
    </row>
    <row r="1859">
      <c r="B1859" s="11"/>
      <c r="C1859" s="4"/>
      <c r="D1859" s="5"/>
    </row>
    <row r="1860">
      <c r="B1860" s="11"/>
      <c r="C1860" s="4"/>
      <c r="D1860" s="5"/>
    </row>
    <row r="1861">
      <c r="B1861" s="11"/>
      <c r="C1861" s="4"/>
      <c r="D1861" s="5"/>
    </row>
    <row r="1862">
      <c r="B1862" s="11"/>
      <c r="C1862" s="4"/>
      <c r="D1862" s="5"/>
    </row>
    <row r="1863">
      <c r="B1863" s="11"/>
      <c r="C1863" s="4"/>
      <c r="D1863" s="5"/>
    </row>
    <row r="1864">
      <c r="B1864" s="11"/>
      <c r="C1864" s="4"/>
      <c r="D1864" s="5"/>
    </row>
    <row r="1865">
      <c r="B1865" s="11"/>
      <c r="C1865" s="4"/>
      <c r="D1865" s="5"/>
    </row>
    <row r="1866">
      <c r="B1866" s="11"/>
      <c r="C1866" s="4"/>
      <c r="D1866" s="5"/>
    </row>
    <row r="1867">
      <c r="B1867" s="11"/>
      <c r="C1867" s="4"/>
      <c r="D1867" s="5"/>
    </row>
    <row r="1868">
      <c r="B1868" s="11"/>
      <c r="C1868" s="4"/>
      <c r="D1868" s="5"/>
    </row>
    <row r="1869">
      <c r="B1869" s="11"/>
      <c r="C1869" s="4"/>
      <c r="D1869" s="5"/>
    </row>
    <row r="1870">
      <c r="B1870" s="11"/>
      <c r="C1870" s="4"/>
      <c r="D1870" s="5"/>
    </row>
    <row r="1871">
      <c r="B1871" s="11"/>
      <c r="C1871" s="4"/>
      <c r="D1871" s="5"/>
    </row>
    <row r="1872">
      <c r="B1872" s="11"/>
      <c r="C1872" s="4"/>
      <c r="D1872" s="5"/>
    </row>
    <row r="1873">
      <c r="B1873" s="11"/>
      <c r="C1873" s="4"/>
      <c r="D1873" s="5"/>
    </row>
    <row r="1874">
      <c r="B1874" s="11"/>
      <c r="C1874" s="4"/>
      <c r="D1874" s="5"/>
    </row>
    <row r="1875">
      <c r="B1875" s="11"/>
      <c r="C1875" s="4"/>
      <c r="D1875" s="5"/>
    </row>
    <row r="1876">
      <c r="B1876" s="11"/>
      <c r="C1876" s="4"/>
      <c r="D1876" s="5"/>
    </row>
    <row r="1877">
      <c r="B1877" s="11"/>
      <c r="C1877" s="4"/>
      <c r="D1877" s="5"/>
    </row>
    <row r="1878">
      <c r="B1878" s="11"/>
      <c r="C1878" s="4"/>
      <c r="D1878" s="5"/>
    </row>
    <row r="1879">
      <c r="B1879" s="11"/>
      <c r="C1879" s="4"/>
      <c r="D1879" s="5"/>
    </row>
    <row r="1880">
      <c r="B1880" s="11"/>
      <c r="C1880" s="4"/>
      <c r="D1880" s="5"/>
    </row>
    <row r="1881">
      <c r="B1881" s="11"/>
      <c r="C1881" s="4"/>
      <c r="D1881" s="5"/>
    </row>
    <row r="1882">
      <c r="B1882" s="11"/>
      <c r="C1882" s="4"/>
      <c r="D1882" s="5"/>
    </row>
    <row r="1883">
      <c r="B1883" s="11"/>
      <c r="C1883" s="4"/>
      <c r="D1883" s="5"/>
    </row>
    <row r="1884">
      <c r="B1884" s="11"/>
      <c r="C1884" s="4"/>
      <c r="D1884" s="5"/>
    </row>
    <row r="1885">
      <c r="B1885" s="11"/>
      <c r="C1885" s="4"/>
      <c r="D1885" s="5"/>
    </row>
    <row r="1886">
      <c r="B1886" s="11"/>
      <c r="C1886" s="4"/>
      <c r="D1886" s="5"/>
    </row>
    <row r="1887">
      <c r="B1887" s="11"/>
      <c r="C1887" s="4"/>
      <c r="D1887" s="5"/>
    </row>
    <row r="1888">
      <c r="B1888" s="11"/>
      <c r="C1888" s="4"/>
      <c r="D1888" s="5"/>
    </row>
    <row r="1889">
      <c r="B1889" s="11"/>
      <c r="C1889" s="4"/>
      <c r="D1889" s="5"/>
    </row>
    <row r="1890">
      <c r="B1890" s="11"/>
      <c r="C1890" s="4"/>
      <c r="D1890" s="5"/>
    </row>
    <row r="1891">
      <c r="B1891" s="11"/>
      <c r="C1891" s="4"/>
      <c r="D1891" s="5"/>
    </row>
    <row r="1892">
      <c r="B1892" s="11"/>
      <c r="C1892" s="4"/>
      <c r="D1892" s="5"/>
    </row>
    <row r="1893">
      <c r="B1893" s="11"/>
      <c r="C1893" s="4"/>
      <c r="D1893" s="5"/>
    </row>
    <row r="1894">
      <c r="B1894" s="11"/>
      <c r="C1894" s="4"/>
      <c r="D1894" s="5"/>
    </row>
    <row r="1895">
      <c r="B1895" s="11"/>
      <c r="C1895" s="4"/>
      <c r="D1895" s="5"/>
    </row>
    <row r="1896">
      <c r="B1896" s="11"/>
      <c r="C1896" s="4"/>
      <c r="D1896" s="5"/>
    </row>
    <row r="1897">
      <c r="B1897" s="11"/>
      <c r="C1897" s="4"/>
      <c r="D1897" s="5"/>
    </row>
    <row r="1898">
      <c r="B1898" s="11"/>
      <c r="C1898" s="4"/>
      <c r="D1898" s="5"/>
    </row>
    <row r="1899">
      <c r="B1899" s="11"/>
      <c r="C1899" s="4"/>
      <c r="D1899" s="5"/>
    </row>
    <row r="1900">
      <c r="B1900" s="11"/>
      <c r="C1900" s="4"/>
      <c r="D1900" s="5"/>
    </row>
    <row r="1901">
      <c r="B1901" s="11"/>
      <c r="C1901" s="4"/>
      <c r="D1901" s="5"/>
    </row>
    <row r="1902">
      <c r="B1902" s="11"/>
      <c r="C1902" s="4"/>
      <c r="D1902" s="5"/>
    </row>
    <row r="1903">
      <c r="B1903" s="11"/>
      <c r="C1903" s="4"/>
      <c r="D1903" s="5"/>
    </row>
    <row r="1904">
      <c r="B1904" s="11"/>
      <c r="C1904" s="4"/>
      <c r="D1904" s="5"/>
    </row>
    <row r="1905">
      <c r="B1905" s="11"/>
      <c r="C1905" s="4"/>
      <c r="D1905" s="5"/>
    </row>
    <row r="1906">
      <c r="B1906" s="11"/>
      <c r="C1906" s="4"/>
      <c r="D1906" s="5"/>
    </row>
    <row r="1907">
      <c r="B1907" s="11"/>
      <c r="C1907" s="4"/>
      <c r="D1907" s="5"/>
    </row>
    <row r="1908">
      <c r="B1908" s="11"/>
      <c r="C1908" s="4"/>
      <c r="D1908" s="5"/>
    </row>
    <row r="1909">
      <c r="B1909" s="11"/>
      <c r="C1909" s="4"/>
      <c r="D1909" s="5"/>
    </row>
    <row r="1910">
      <c r="B1910" s="11"/>
      <c r="C1910" s="4"/>
      <c r="D1910" s="5"/>
    </row>
    <row r="1911">
      <c r="B1911" s="11"/>
      <c r="C1911" s="4"/>
      <c r="D1911" s="5"/>
    </row>
    <row r="1912">
      <c r="B1912" s="11"/>
      <c r="C1912" s="4"/>
      <c r="D1912" s="5"/>
    </row>
    <row r="1913">
      <c r="B1913" s="11"/>
      <c r="C1913" s="4"/>
      <c r="D1913" s="5"/>
    </row>
    <row r="1914">
      <c r="B1914" s="11"/>
      <c r="C1914" s="4"/>
      <c r="D1914" s="5"/>
    </row>
    <row r="1915">
      <c r="B1915" s="11"/>
      <c r="C1915" s="4"/>
      <c r="D1915" s="5"/>
    </row>
    <row r="1916">
      <c r="B1916" s="11"/>
      <c r="C1916" s="4"/>
      <c r="D1916" s="5"/>
    </row>
    <row r="1917">
      <c r="B1917" s="11"/>
      <c r="C1917" s="4"/>
      <c r="D1917" s="5"/>
    </row>
    <row r="1918">
      <c r="B1918" s="11"/>
      <c r="C1918" s="4"/>
      <c r="D1918" s="5"/>
    </row>
    <row r="1919">
      <c r="B1919" s="11"/>
      <c r="C1919" s="4"/>
      <c r="D1919" s="5"/>
    </row>
    <row r="1920">
      <c r="B1920" s="11"/>
      <c r="C1920" s="4"/>
      <c r="D1920" s="5"/>
    </row>
    <row r="1921">
      <c r="B1921" s="11"/>
      <c r="C1921" s="4"/>
      <c r="D1921" s="5"/>
    </row>
    <row r="1922">
      <c r="B1922" s="11"/>
      <c r="C1922" s="4"/>
      <c r="D1922" s="5"/>
    </row>
    <row r="1923">
      <c r="B1923" s="11"/>
      <c r="C1923" s="4"/>
      <c r="D1923" s="5"/>
    </row>
    <row r="1924">
      <c r="B1924" s="11"/>
      <c r="C1924" s="4"/>
      <c r="D1924" s="5"/>
    </row>
    <row r="1925">
      <c r="B1925" s="11"/>
      <c r="C1925" s="4"/>
      <c r="D1925" s="5"/>
    </row>
    <row r="1926">
      <c r="B1926" s="11"/>
      <c r="C1926" s="4"/>
      <c r="D1926" s="5"/>
    </row>
    <row r="1927">
      <c r="B1927" s="11"/>
      <c r="C1927" s="4"/>
      <c r="D1927" s="5"/>
    </row>
    <row r="1928">
      <c r="B1928" s="11"/>
      <c r="C1928" s="4"/>
      <c r="D1928" s="5"/>
    </row>
    <row r="1929">
      <c r="B1929" s="11"/>
      <c r="C1929" s="4"/>
      <c r="D1929" s="5"/>
    </row>
    <row r="1930">
      <c r="B1930" s="11"/>
      <c r="C1930" s="4"/>
      <c r="D1930" s="5"/>
    </row>
    <row r="1931">
      <c r="B1931" s="11"/>
      <c r="C1931" s="4"/>
      <c r="D1931" s="5"/>
    </row>
    <row r="1932">
      <c r="B1932" s="11"/>
      <c r="C1932" s="4"/>
      <c r="D1932" s="5"/>
    </row>
    <row r="1933">
      <c r="B1933" s="11"/>
      <c r="C1933" s="4"/>
      <c r="D1933" s="5"/>
    </row>
    <row r="1934">
      <c r="B1934" s="11"/>
      <c r="C1934" s="4"/>
      <c r="D1934" s="5"/>
    </row>
    <row r="1935">
      <c r="B1935" s="11"/>
      <c r="C1935" s="4"/>
      <c r="D1935" s="5"/>
    </row>
    <row r="1936">
      <c r="B1936" s="11"/>
      <c r="C1936" s="4"/>
      <c r="D1936" s="5"/>
    </row>
    <row r="1937">
      <c r="B1937" s="11"/>
      <c r="C1937" s="4"/>
      <c r="D1937" s="5"/>
    </row>
    <row r="1938">
      <c r="B1938" s="11"/>
      <c r="C1938" s="4"/>
      <c r="D1938" s="5"/>
    </row>
    <row r="1939">
      <c r="B1939" s="11"/>
      <c r="C1939" s="4"/>
      <c r="D1939" s="5"/>
    </row>
    <row r="1940">
      <c r="B1940" s="11"/>
      <c r="C1940" s="4"/>
      <c r="D1940" s="5"/>
    </row>
    <row r="1941">
      <c r="B1941" s="11"/>
      <c r="C1941" s="4"/>
      <c r="D1941" s="5"/>
    </row>
    <row r="1942">
      <c r="B1942" s="11"/>
      <c r="C1942" s="4"/>
      <c r="D1942" s="5"/>
    </row>
    <row r="1943">
      <c r="B1943" s="11"/>
      <c r="C1943" s="4"/>
      <c r="D1943" s="5"/>
    </row>
    <row r="1944">
      <c r="B1944" s="11"/>
      <c r="C1944" s="4"/>
      <c r="D1944" s="5"/>
    </row>
    <row r="1945">
      <c r="B1945" s="11"/>
      <c r="C1945" s="4"/>
      <c r="D1945" s="5"/>
    </row>
    <row r="1946">
      <c r="B1946" s="11"/>
      <c r="C1946" s="4"/>
      <c r="D1946" s="5"/>
    </row>
    <row r="1947">
      <c r="B1947" s="11"/>
      <c r="C1947" s="4"/>
      <c r="D1947" s="5"/>
    </row>
    <row r="1948">
      <c r="B1948" s="11"/>
      <c r="C1948" s="4"/>
      <c r="D1948" s="5"/>
    </row>
    <row r="1949">
      <c r="B1949" s="11"/>
      <c r="C1949" s="4"/>
      <c r="D1949" s="5"/>
    </row>
    <row r="1950">
      <c r="B1950" s="11"/>
      <c r="C1950" s="4"/>
      <c r="D1950" s="5"/>
    </row>
    <row r="1951">
      <c r="B1951" s="11"/>
      <c r="C1951" s="4"/>
      <c r="D1951" s="5"/>
    </row>
    <row r="1952">
      <c r="B1952" s="11"/>
      <c r="C1952" s="4"/>
      <c r="D1952" s="5"/>
    </row>
    <row r="1953">
      <c r="B1953" s="11"/>
      <c r="C1953" s="4"/>
      <c r="D1953" s="5"/>
    </row>
    <row r="1954">
      <c r="B1954" s="11"/>
      <c r="C1954" s="4"/>
      <c r="D1954" s="5"/>
    </row>
    <row r="1955">
      <c r="B1955" s="11"/>
      <c r="C1955" s="4"/>
      <c r="D1955" s="5"/>
    </row>
    <row r="1956">
      <c r="B1956" s="11"/>
      <c r="C1956" s="4"/>
      <c r="D1956" s="5"/>
    </row>
    <row r="1957">
      <c r="B1957" s="11"/>
      <c r="C1957" s="4"/>
      <c r="D1957" s="5"/>
    </row>
    <row r="1958">
      <c r="B1958" s="11"/>
      <c r="C1958" s="4"/>
      <c r="D1958" s="5"/>
    </row>
    <row r="1959">
      <c r="B1959" s="11"/>
      <c r="C1959" s="4"/>
      <c r="D1959" s="5"/>
    </row>
    <row r="1960">
      <c r="B1960" s="11"/>
      <c r="C1960" s="4"/>
      <c r="D1960" s="5"/>
    </row>
    <row r="1961">
      <c r="B1961" s="11"/>
      <c r="C1961" s="4"/>
      <c r="D1961" s="5"/>
    </row>
    <row r="1962">
      <c r="B1962" s="11"/>
      <c r="C1962" s="4"/>
      <c r="D1962" s="5"/>
    </row>
    <row r="1963">
      <c r="B1963" s="11"/>
      <c r="C1963" s="4"/>
      <c r="D1963" s="5"/>
    </row>
    <row r="1964">
      <c r="B1964" s="11"/>
      <c r="C1964" s="4"/>
      <c r="D1964" s="5"/>
    </row>
    <row r="1965">
      <c r="B1965" s="11"/>
      <c r="C1965" s="4"/>
      <c r="D1965" s="5"/>
    </row>
    <row r="1966">
      <c r="B1966" s="11"/>
      <c r="C1966" s="4"/>
      <c r="D1966" s="5"/>
    </row>
    <row r="1967">
      <c r="B1967" s="11"/>
      <c r="C1967" s="4"/>
      <c r="D1967" s="5"/>
    </row>
    <row r="1968">
      <c r="B1968" s="11"/>
      <c r="C1968" s="4"/>
      <c r="D1968" s="5"/>
    </row>
    <row r="1969">
      <c r="B1969" s="11"/>
      <c r="C1969" s="4"/>
      <c r="D1969" s="5"/>
    </row>
    <row r="1970">
      <c r="B1970" s="11"/>
      <c r="C1970" s="4"/>
      <c r="D1970" s="5"/>
    </row>
    <row r="1971">
      <c r="B1971" s="11"/>
      <c r="C1971" s="4"/>
      <c r="D1971" s="5"/>
    </row>
    <row r="1972">
      <c r="B1972" s="11"/>
      <c r="C1972" s="4"/>
      <c r="D1972" s="5"/>
    </row>
    <row r="1973">
      <c r="B1973" s="11"/>
      <c r="C1973" s="4"/>
      <c r="D1973" s="5"/>
    </row>
    <row r="1974">
      <c r="B1974" s="11"/>
      <c r="C1974" s="4"/>
      <c r="D1974" s="5"/>
    </row>
    <row r="1975">
      <c r="B1975" s="11"/>
      <c r="C1975" s="4"/>
      <c r="D1975" s="5"/>
    </row>
    <row r="1976">
      <c r="B1976" s="11"/>
      <c r="C1976" s="4"/>
      <c r="D1976" s="5"/>
    </row>
    <row r="1977">
      <c r="B1977" s="11"/>
      <c r="C1977" s="4"/>
      <c r="D1977" s="5"/>
    </row>
    <row r="1978">
      <c r="B1978" s="11"/>
      <c r="C1978" s="4"/>
      <c r="D1978" s="5"/>
    </row>
    <row r="1979">
      <c r="B1979" s="11"/>
      <c r="C1979" s="4"/>
      <c r="D1979" s="5"/>
    </row>
    <row r="1980">
      <c r="B1980" s="11"/>
      <c r="C1980" s="4"/>
      <c r="D1980" s="5"/>
    </row>
    <row r="1981">
      <c r="B1981" s="11"/>
      <c r="C1981" s="4"/>
      <c r="D1981" s="5"/>
    </row>
    <row r="1982">
      <c r="B1982" s="11"/>
      <c r="C1982" s="4"/>
      <c r="D1982" s="5"/>
    </row>
    <row r="1983">
      <c r="B1983" s="11"/>
      <c r="C1983" s="4"/>
      <c r="D1983" s="5"/>
    </row>
    <row r="1984">
      <c r="B1984" s="11"/>
      <c r="C1984" s="4"/>
      <c r="D1984" s="5"/>
    </row>
    <row r="1985">
      <c r="B1985" s="11"/>
      <c r="C1985" s="4"/>
      <c r="D1985" s="5"/>
    </row>
    <row r="1986">
      <c r="B1986" s="11"/>
      <c r="C1986" s="4"/>
      <c r="D1986" s="5"/>
    </row>
    <row r="1987">
      <c r="B1987" s="11"/>
      <c r="C1987" s="4"/>
      <c r="D1987" s="5"/>
    </row>
    <row r="1988">
      <c r="B1988" s="11"/>
      <c r="C1988" s="4"/>
      <c r="D1988" s="5"/>
    </row>
    <row r="1989">
      <c r="B1989" s="11"/>
      <c r="C1989" s="4"/>
      <c r="D1989" s="5"/>
    </row>
    <row r="1990">
      <c r="B1990" s="11"/>
      <c r="C1990" s="4"/>
      <c r="D1990" s="5"/>
    </row>
    <row r="1991">
      <c r="B1991" s="11"/>
      <c r="C1991" s="4"/>
      <c r="D1991" s="5"/>
    </row>
    <row r="1992">
      <c r="B1992" s="11"/>
      <c r="C1992" s="4"/>
      <c r="D1992" s="5"/>
    </row>
    <row r="1993">
      <c r="B1993" s="11"/>
      <c r="C1993" s="4"/>
      <c r="D1993" s="5"/>
    </row>
    <row r="1994">
      <c r="B1994" s="11"/>
      <c r="C1994" s="4"/>
      <c r="D1994" s="5"/>
    </row>
    <row r="1995">
      <c r="B1995" s="11"/>
      <c r="C1995" s="4"/>
      <c r="D1995" s="5"/>
    </row>
    <row r="1996">
      <c r="B1996" s="11"/>
      <c r="C1996" s="4"/>
      <c r="D1996" s="5"/>
    </row>
    <row r="1997">
      <c r="B1997" s="11"/>
      <c r="C1997" s="4"/>
      <c r="D1997" s="5"/>
    </row>
    <row r="1998">
      <c r="B1998" s="11"/>
      <c r="C1998" s="4"/>
      <c r="D1998" s="5"/>
    </row>
    <row r="1999">
      <c r="B1999" s="11"/>
      <c r="C1999" s="4"/>
      <c r="D1999" s="5"/>
    </row>
    <row r="2000">
      <c r="B2000" s="11"/>
      <c r="C2000" s="4"/>
      <c r="D2000" s="5"/>
    </row>
  </sheetData>
  <sortState xmlns:xlrd2="http://schemas.microsoft.com/office/spreadsheetml/2017/richdata2" ref="A2:J89">
    <sortCondition descending="1" ref="D2:D89"/>
  </sortState>
  <conditionalFormatting sqref="A5722 A5789 A5793 A6510:A6513">
    <cfRule type="containsText" dxfId="26" priority="1" operator="containsText" text="TO BE PAID">
      <formula>NOT(ISERROR(SEARCH("TO BE PAID",A5722)))</formula>
    </cfRule>
  </conditionalFormatting>
  <pageMargins left="0.7" right="0.7" top="0.75" bottom="0.75" header="0.3" footer="0.3"/>
  <pageSetup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F1"/>
  <sheetViews>
    <sheetView workbookViewId="0">
      <selection activeCell="A2" sqref="A2:XFD80"/>
    </sheetView>
  </sheetViews>
  <sheetFormatPr defaultColWidth="15.140625" defaultRowHeight="12.75" x14ac:dyDescent="0.2"/>
  <cols>
    <col min="1" max="1" bestFit="1" width="27.5703125" customWidth="1"/>
    <col min="2" max="2" width="12" customWidth="1"/>
    <col min="3" max="3" bestFit="1" width="11.28515625" customWidth="1" style="1"/>
    <col min="4" max="4" bestFit="1" width="10.140625" customWidth="1" style="3"/>
    <col min="5" max="5" bestFit="1" width="10.42578125" customWidth="1"/>
    <col min="6" max="6" hidden="1" width="14" customWidth="1"/>
    <col min="7" max="7" bestFit="1" width="20.5703125" customWidth="1"/>
    <col min="8" max="8" bestFit="1" width="33.42578125" customWidth="1"/>
    <col min="9" max="9" bestFit="1" width="11.42578125" customWidth="1"/>
    <col min="10" max="12" width="8" customWidth="1"/>
    <col min="13" max="13" bestFit="1" width="23" customWidth="1"/>
    <col min="14" max="18" width="8" customWidth="1"/>
  </cols>
  <sheetData>
    <row r="1" ht="15" customHeight="1">
      <c r="A1" s="29" t="s">
        <v>0</v>
      </c>
      <c r="B1" s="30" t="s">
        <v>129</v>
      </c>
      <c r="C1" s="31" t="s">
        <v>130</v>
      </c>
      <c r="D1" s="32" t="s">
        <v>131</v>
      </c>
      <c r="E1" s="33" t="s">
        <v>132</v>
      </c>
      <c r="F1" s="29" t="s">
        <v>42</v>
      </c>
    </row>
  </sheetData>
  <printOptions horizontalCentered="1" gridLines="1"/>
  <pageMargins left="0.7" right="0.7" top="0.75" bottom="0.75" header="0" footer="0"/>
  <pageSetup fitToHeight="0" pageOrder="overThenDown" orientation="landscape" cellComments="atEnd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S102"/>
  <sheetViews>
    <sheetView workbookViewId="0">
      <selection activeCell="I30" sqref="I30"/>
    </sheetView>
  </sheetViews>
  <sheetFormatPr defaultRowHeight="15.75" customHeight="1" x14ac:dyDescent="0.2"/>
  <cols>
    <col min="1" max="1" bestFit="1" width="10.140625" customWidth="1" style="3"/>
    <col min="2" max="2" bestFit="1" width="12.42578125" customWidth="1"/>
    <col min="3" max="3" bestFit="1" width="11.5703125" customWidth="1" style="1"/>
    <col min="4" max="5" width="9.140625" customWidth="1"/>
    <col min="6" max="6" bestFit="1" width="10.140625" customWidth="1" style="3"/>
    <col min="7" max="8" bestFit="1" width="12.28515625" customWidth="1"/>
    <col min="9" max="11" width="9.140625" customWidth="1"/>
    <col min="12" max="12" bestFit="1" width="11.28515625" customWidth="1"/>
    <col min="13" max="16" width="9.140625" customWidth="1"/>
    <col min="17" max="17" bestFit="1" width="17.42578125" customWidth="1"/>
  </cols>
  <sheetData>
    <row r="1" ht="12.75" customHeight="1">
      <c r="A1" s="3" t="str" cm="1">
        <f ref="A1:A2" t="array">_xlfn.UNIQUE('Future payment'!D:D)</f>
        <v>Paid Date</v>
      </c>
      <c r="D1" s="0" t="s">
        <v>7</v>
      </c>
      <c r="F1" s="3" t="str" cm="1">
        <f ref="F1:F36" t="array">_xlfn.UNIQUE('Payment Summary'!D:D)</f>
        <v>Paid Date</v>
      </c>
      <c r="I1" s="0" t="s">
        <v>10</v>
      </c>
    </row>
    <row r="2" ht="12.75" customHeight="1">
      <c r="A2" s="3">
        <v>0</v>
      </c>
      <c r="B2" s="1">
        <f>SUMIF('Future payment'!D:D,'Future Summary'!A2,'Future payment'!C:C)</f>
        <v>0</v>
      </c>
      <c r="C2" s="1" t="e">
        <f>VLOOKUP(A2,PAYMENTS!A:D,3,FALSE)</f>
        <v>#N/A</v>
      </c>
      <c r="D2" s="0">
        <f ref="D2:D17" t="shared" si="0">IF(ISNA(C2),"",IF(B2=C2,"Equal","Not Equal"))</f>
      </c>
      <c r="F2" s="3">
        <v>46127</v>
      </c>
      <c r="G2" s="1">
        <f>SUMIF('Payment Summary'!D:D,'Future Summary'!F2,'Payment Summary'!C:C)</f>
        <v>47601.47</v>
      </c>
      <c r="H2" s="1">
        <f>VLOOKUP(F2,PAYMENTS!A:C,3,FALSE)</f>
        <v>44580.97</v>
      </c>
      <c r="I2" s="0" t="str">
        <f ref="I2:I17" t="shared" si="1">IF(G2=H2,"Equal","Not Equal")</f>
        <v>Not Equal</v>
      </c>
      <c r="L2" s="49">
        <f>G2-H2</f>
        <v>3020.5</v>
      </c>
    </row>
    <row r="3" ht="12.75" customHeight="1">
      <c r="B3" s="1">
        <f>SUMIF('Future payment'!D:D,'Future Summary'!A3,'Future payment'!C:C)</f>
        <v>0</v>
      </c>
      <c r="C3" s="1" t="e">
        <f>VLOOKUP(A3,PAYMENTS!A:D,3,FALSE)</f>
        <v>#N/A</v>
      </c>
      <c r="D3" s="0">
        <f t="shared" si="0"/>
      </c>
      <c r="F3" s="3">
        <v>46101</v>
      </c>
      <c r="G3" s="1">
        <f>SUMIF('Payment Summary'!D:D,'Future Summary'!F3,'Payment Summary'!C:C)</f>
        <v>1445.6399999999999</v>
      </c>
      <c r="H3" s="1">
        <f>VLOOKUP(F3,PAYMENTS!A:C,3,FALSE)</f>
        <v>1445.64</v>
      </c>
      <c r="I3" s="0" t="str">
        <f t="shared" si="1"/>
        <v>Equal</v>
      </c>
      <c r="L3" s="49">
        <f ref="L3:L17" t="shared" si="2">G3-H3</f>
        <v>0</v>
      </c>
    </row>
    <row r="4" ht="14.25" customHeight="1">
      <c r="B4" s="1">
        <f>SUMIF('Future payment'!D:D,'Future Summary'!A4,'Future payment'!C:C)</f>
        <v>0</v>
      </c>
      <c r="C4" s="1" t="e">
        <f>VLOOKUP(A4,PAYMENTS!A:D,3,FALSE)</f>
        <v>#N/A</v>
      </c>
      <c r="D4" s="0">
        <f t="shared" si="0"/>
      </c>
      <c r="F4" s="3">
        <v>46097</v>
      </c>
      <c r="G4" s="1">
        <f>SUMIF('Payment Summary'!D:D,'Future Summary'!F4,'Payment Summary'!C:C)</f>
        <v>25309.690000000002</v>
      </c>
      <c r="H4" s="1">
        <f>VLOOKUP(F4,PAYMENTS!A:C,3,FALSE)</f>
        <v>25309.69</v>
      </c>
      <c r="I4" s="0" t="str">
        <f t="shared" si="1"/>
        <v>Equal</v>
      </c>
      <c r="L4" s="49">
        <f t="shared" si="2"/>
        <v>0</v>
      </c>
      <c r="P4" s="7" t="s">
        <v>196</v>
      </c>
      <c r="S4" s="3"/>
    </row>
    <row r="5" ht="14.25" customHeight="1">
      <c r="B5" s="1">
        <f>SUMIF('Future payment'!D:D,'Future Summary'!A5,'Future payment'!C:C)</f>
        <v>0</v>
      </c>
      <c r="C5" s="1" t="e">
        <f>VLOOKUP(A5,PAYMENTS!A:D,3,FALSE)</f>
        <v>#N/A</v>
      </c>
      <c r="D5" s="0">
        <f t="shared" si="0"/>
      </c>
      <c r="F5" s="3">
        <v>46077</v>
      </c>
      <c r="G5" s="1">
        <f>SUMIF('Payment Summary'!D:D,'Future Summary'!F5,'Payment Summary'!C:C)</f>
        <v>6498.1</v>
      </c>
      <c r="H5" s="1">
        <f>VLOOKUP(F5,PAYMENTS!A:C,3,FALSE)</f>
        <v>6498.1</v>
      </c>
      <c r="I5" s="0" t="str">
        <f t="shared" si="1"/>
        <v>Equal</v>
      </c>
      <c r="L5" s="49">
        <f t="shared" si="2"/>
        <v>0</v>
      </c>
      <c r="P5" s="7" t="s">
        <v>196</v>
      </c>
      <c r="S5" s="3"/>
    </row>
    <row r="6" ht="14.25" customHeight="1">
      <c r="B6" s="1">
        <f>SUMIF('Future payment'!D:D,'Future Summary'!A6,'Future payment'!C:C)</f>
        <v>0</v>
      </c>
      <c r="C6" s="1" t="e">
        <f>VLOOKUP(A6,PAYMENTS!A:D,3,FALSE)</f>
        <v>#N/A</v>
      </c>
      <c r="D6" s="0">
        <f t="shared" si="0"/>
      </c>
      <c r="F6" s="3">
        <v>46070</v>
      </c>
      <c r="G6" s="1">
        <f>SUMIF('Payment Summary'!D:D,'Future Summary'!F6,'Payment Summary'!C:C)</f>
        <v>39447.12</v>
      </c>
      <c r="H6" s="1">
        <f>VLOOKUP(F6,PAYMENTS!A:C,3,FALSE)</f>
        <v>39447.12</v>
      </c>
      <c r="I6" s="0" t="str">
        <f t="shared" si="1"/>
        <v>Equal</v>
      </c>
      <c r="L6" s="49">
        <f t="shared" si="2"/>
        <v>0</v>
      </c>
      <c r="P6" s="7" t="s">
        <v>196</v>
      </c>
      <c r="S6" s="3"/>
    </row>
    <row r="7" ht="14.25" customHeight="1">
      <c r="B7" s="1">
        <f>SUMIF('Future payment'!D:D,'Future Summary'!A7,'Future payment'!C:C)</f>
        <v>0</v>
      </c>
      <c r="C7" s="1" t="e">
        <f>VLOOKUP(A7,PAYMENTS!A:D,3,FALSE)</f>
        <v>#N/A</v>
      </c>
      <c r="D7" s="0">
        <f t="shared" si="0"/>
      </c>
      <c r="F7" s="3">
        <v>46044</v>
      </c>
      <c r="G7" s="1">
        <f>SUMIF('Payment Summary'!D:D,'Future Summary'!F7,'Payment Summary'!C:C)</f>
        <v>1994.93</v>
      </c>
      <c r="H7" s="1">
        <f>VLOOKUP(F7,PAYMENTS!A:C,3,FALSE)</f>
        <v>1994.93</v>
      </c>
      <c r="I7" s="0" t="str">
        <f t="shared" si="1"/>
        <v>Equal</v>
      </c>
      <c r="L7" s="49">
        <f t="shared" si="2"/>
        <v>0</v>
      </c>
      <c r="P7" s="7" t="s">
        <v>196</v>
      </c>
      <c r="S7" s="3"/>
    </row>
    <row r="8" ht="14.25" customHeight="1">
      <c r="B8" s="1">
        <f>SUMIF('Future payment'!D:D,'Future Summary'!A8,'Future payment'!C:C)</f>
        <v>0</v>
      </c>
      <c r="C8" s="1" t="e">
        <f>VLOOKUP(A8,PAYMENTS!A:D,3,FALSE)</f>
        <v>#N/A</v>
      </c>
      <c r="D8" s="0">
        <f t="shared" si="0"/>
      </c>
      <c r="F8" s="3">
        <v>46038</v>
      </c>
      <c r="G8" s="1">
        <f>SUMIF('Payment Summary'!D:D,'Future Summary'!F8,'Payment Summary'!C:C)</f>
        <v>25313.78</v>
      </c>
      <c r="H8" s="1">
        <f>VLOOKUP(F8,PAYMENTS!A:C,3,FALSE)</f>
        <v>25313.78</v>
      </c>
      <c r="I8" s="0" t="str">
        <f t="shared" si="1"/>
        <v>Equal</v>
      </c>
      <c r="L8" s="49">
        <f t="shared" si="2"/>
        <v>0</v>
      </c>
      <c r="P8" s="7" t="s">
        <v>196</v>
      </c>
      <c r="S8" s="3"/>
    </row>
    <row r="9" ht="12.75" customHeight="1">
      <c r="B9" s="1">
        <f>SUMIF('Future payment'!D:D,'Future Summary'!A9,'Future payment'!C:C)</f>
        <v>0</v>
      </c>
      <c r="C9" s="1" t="e">
        <f>VLOOKUP(A9,PAYMENTS!A:D,3,FALSE)</f>
        <v>#N/A</v>
      </c>
      <c r="D9" s="0">
        <f t="shared" si="0"/>
      </c>
      <c r="F9" s="3">
        <v>46024</v>
      </c>
      <c r="G9" s="1">
        <f>SUMIF('Payment Summary'!D:D,'Future Summary'!F9,'Payment Summary'!C:C)</f>
        <v>4686.43</v>
      </c>
      <c r="H9" s="1">
        <f>VLOOKUP(F9,PAYMENTS!A:C,3,FALSE)</f>
        <v>4686.43</v>
      </c>
      <c r="I9" s="0" t="str">
        <f t="shared" si="1"/>
        <v>Equal</v>
      </c>
      <c r="L9" s="49">
        <f t="shared" si="2"/>
        <v>0</v>
      </c>
    </row>
    <row r="10" ht="12.75" customHeight="1">
      <c r="B10" s="1">
        <f>SUMIF('Future payment'!D:D,'Future Summary'!A10,'Future payment'!C:C)</f>
        <v>0</v>
      </c>
      <c r="C10" s="1" t="e">
        <f>VLOOKUP(A10,PAYMENTS!A:D,3,FALSE)</f>
        <v>#N/A</v>
      </c>
      <c r="D10" s="0">
        <f t="shared" si="0"/>
      </c>
      <c r="F10" s="3">
        <v>46006</v>
      </c>
      <c r="G10" s="1">
        <f>SUMIF('Payment Summary'!D:D,'Future Summary'!F10,'Payment Summary'!C:C)</f>
        <v>15997.7</v>
      </c>
      <c r="H10" s="1">
        <f>VLOOKUP(F10,PAYMENTS!A:C,3,FALSE)</f>
        <v>15997.7</v>
      </c>
      <c r="I10" s="0" t="str">
        <f t="shared" si="1"/>
        <v>Equal</v>
      </c>
      <c r="L10" s="49">
        <f t="shared" si="2"/>
        <v>0</v>
      </c>
    </row>
    <row r="11" ht="12.75" customHeight="1">
      <c r="B11" s="1">
        <f>SUMIF('Future payment'!D:D,'Future Summary'!A11,'Future payment'!C:C)</f>
        <v>0</v>
      </c>
      <c r="C11" s="1" t="e">
        <f>VLOOKUP(A11,PAYMENTS!A:D,3,FALSE)</f>
        <v>#N/A</v>
      </c>
      <c r="D11" s="0">
        <f t="shared" si="0"/>
      </c>
      <c r="F11" s="3">
        <v>45981</v>
      </c>
      <c r="G11" s="1">
        <f>SUMIF('Payment Summary'!D:D,'Future Summary'!F11,'Payment Summary'!C:C)</f>
        <v>799.53</v>
      </c>
      <c r="H11" s="1">
        <f>VLOOKUP(F11,PAYMENTS!A:C,3,FALSE)</f>
        <v>799.53</v>
      </c>
      <c r="I11" s="0" t="str">
        <f t="shared" si="1"/>
        <v>Equal</v>
      </c>
      <c r="L11" s="49">
        <f t="shared" si="2"/>
        <v>0</v>
      </c>
    </row>
    <row r="12" ht="12.75" customHeight="1">
      <c r="B12" s="1">
        <f>SUMIF('Future payment'!D:D,'Future Summary'!A12,'Future payment'!C:C)</f>
        <v>0</v>
      </c>
      <c r="C12" s="1" t="e">
        <f>VLOOKUP(A12,PAYMENTS!A:D,3,FALSE)</f>
        <v>#N/A</v>
      </c>
      <c r="D12" s="0">
        <f t="shared" si="0"/>
      </c>
      <c r="F12" s="3">
        <v>45979</v>
      </c>
      <c r="G12" s="1">
        <f>SUMIF('Payment Summary'!D:D,'Future Summary'!F12,'Payment Summary'!C:C)</f>
        <v>697.5</v>
      </c>
      <c r="H12" s="1">
        <f>VLOOKUP(F12,PAYMENTS!A:C,3,FALSE)</f>
        <v>697.5</v>
      </c>
      <c r="I12" s="0" t="str">
        <f t="shared" si="1"/>
        <v>Equal</v>
      </c>
      <c r="L12" s="49">
        <f t="shared" si="2"/>
        <v>0</v>
      </c>
    </row>
    <row r="13" ht="12.75" customHeight="1">
      <c r="B13" s="1">
        <f>SUMIF('Future payment'!D:D,'Future Summary'!A13,'Future payment'!C:C)</f>
        <v>0</v>
      </c>
      <c r="C13" s="1" t="e">
        <f>VLOOKUP(A13,PAYMENTS!A:D,3,FALSE)</f>
        <v>#N/A</v>
      </c>
      <c r="D13" s="0">
        <f t="shared" si="0"/>
      </c>
      <c r="F13" s="3">
        <v>45978</v>
      </c>
      <c r="G13" s="1">
        <f>SUMIF('Payment Summary'!D:D,'Future Summary'!F13,'Payment Summary'!C:C)</f>
        <v>6511.94</v>
      </c>
      <c r="H13" s="1">
        <f>VLOOKUP(F13,PAYMENTS!A:C,3,FALSE)</f>
        <v>6511.94</v>
      </c>
      <c r="I13" s="0" t="str">
        <f t="shared" si="1"/>
        <v>Equal</v>
      </c>
      <c r="L13" s="49">
        <f t="shared" si="2"/>
        <v>0</v>
      </c>
    </row>
    <row r="14" ht="12.75" customHeight="1">
      <c r="B14" s="1">
        <f>SUMIF('Future payment'!D:D,'Future Summary'!A14,'Future payment'!C:C)</f>
        <v>0</v>
      </c>
      <c r="C14" s="1" t="e">
        <f>VLOOKUP(A14,PAYMENTS!A:D,3,FALSE)</f>
        <v>#N/A</v>
      </c>
      <c r="D14" s="0">
        <f t="shared" si="0"/>
      </c>
      <c r="F14" s="3">
        <v>45968</v>
      </c>
      <c r="G14" s="1">
        <f>SUMIF('Payment Summary'!D:D,'Future Summary'!F14,'Payment Summary'!C:C)</f>
        <v>2569.31</v>
      </c>
      <c r="H14" s="1">
        <f>VLOOKUP(F14,PAYMENTS!A:C,3,FALSE)</f>
        <v>2569.31</v>
      </c>
      <c r="I14" s="0" t="str">
        <f t="shared" si="1"/>
        <v>Equal</v>
      </c>
      <c r="L14" s="49">
        <f t="shared" si="2"/>
        <v>0</v>
      </c>
    </row>
    <row r="15" ht="12.75" customHeight="1">
      <c r="B15" s="1">
        <f>SUMIF('Future payment'!D:D,'Future Summary'!A15,'Future payment'!C:C)</f>
        <v>0</v>
      </c>
      <c r="C15" s="1" t="e">
        <f>VLOOKUP(A15,PAYMENTS!A:D,3,FALSE)</f>
        <v>#N/A</v>
      </c>
      <c r="D15" s="0">
        <f t="shared" si="0"/>
      </c>
      <c r="F15" s="3">
        <v>45967</v>
      </c>
      <c r="G15" s="1">
        <f>SUMIF('Payment Summary'!D:D,'Future Summary'!F15,'Payment Summary'!C:C)</f>
        <v>3862.29</v>
      </c>
      <c r="H15" s="1">
        <f>VLOOKUP(F15,PAYMENTS!A:C,3,FALSE)</f>
        <v>3862.29</v>
      </c>
      <c r="I15" s="0" t="str">
        <f t="shared" si="1"/>
        <v>Equal</v>
      </c>
      <c r="L15" s="49">
        <f t="shared" si="2"/>
        <v>0</v>
      </c>
    </row>
    <row r="16" ht="12.75" customHeight="1">
      <c r="B16" s="1">
        <f>SUMIF('Future payment'!D:D,'Future Summary'!A16,'Future payment'!C:C)</f>
        <v>0</v>
      </c>
      <c r="C16" s="1" t="e">
        <f>VLOOKUP(A16,PAYMENTS!A:D,3,FALSE)</f>
        <v>#N/A</v>
      </c>
      <c r="D16" s="0">
        <f t="shared" si="0"/>
      </c>
      <c r="F16" s="3">
        <v>45945</v>
      </c>
      <c r="G16" s="1">
        <f>SUMIF('Payment Summary'!D:D,'Future Summary'!F16,'Payment Summary'!C:C)</f>
        <v>9902.12</v>
      </c>
      <c r="H16" s="1">
        <f>VLOOKUP(F16,PAYMENTS!A:C,3,FALSE)</f>
        <v>9902.12</v>
      </c>
      <c r="I16" s="0" t="str">
        <f t="shared" si="1"/>
        <v>Equal</v>
      </c>
      <c r="L16" s="49">
        <f t="shared" si="2"/>
        <v>0</v>
      </c>
    </row>
    <row r="17" ht="12.75" customHeight="1">
      <c r="B17" s="1">
        <f>SUMIF('Future payment'!D:D,'Future Summary'!A17,'Future payment'!C:C)</f>
        <v>0</v>
      </c>
      <c r="C17" s="1" t="e">
        <f>VLOOKUP(A17,PAYMENTS!A:D,3,FALSE)</f>
        <v>#N/A</v>
      </c>
      <c r="D17" s="0">
        <f t="shared" si="0"/>
      </c>
      <c r="F17" s="3">
        <v>45916</v>
      </c>
      <c r="G17" s="1">
        <f>SUMIF('Payment Summary'!D:D,'Future Summary'!F17,'Payment Summary'!C:C)</f>
        <v>13012.47</v>
      </c>
      <c r="H17" s="1">
        <f>VLOOKUP(F17,PAYMENTS!A:C,3,FALSE)</f>
        <v>13012.47</v>
      </c>
      <c r="I17" s="0" t="str">
        <f t="shared" si="1"/>
        <v>Equal</v>
      </c>
      <c r="L17" s="49">
        <f t="shared" si="2"/>
        <v>0</v>
      </c>
    </row>
    <row r="18" ht="12.75" customHeight="1">
      <c r="B18" s="1" t="e">
        <f>SUMIF(#REF!,#REF!,#REF!)</f>
        <v>#REF!</v>
      </c>
      <c r="F18" s="3">
        <v>45884</v>
      </c>
      <c r="G18" s="1"/>
      <c r="H18" s="1"/>
    </row>
    <row r="19" ht="12.75" customHeight="1">
      <c r="B19" s="1" t="e">
        <f>SUMIF(#REF!,#REF!,#REF!)</f>
        <v>#REF!</v>
      </c>
      <c r="F19" s="3">
        <v>45853</v>
      </c>
      <c r="G19" s="1"/>
      <c r="H19" s="1"/>
    </row>
    <row r="20" ht="12.75" customHeight="1">
      <c r="B20" s="1" t="e">
        <f>SUMIF(#REF!,#REF!,#REF!)</f>
        <v>#REF!</v>
      </c>
      <c r="F20" s="3">
        <v>45825</v>
      </c>
      <c r="G20" s="1"/>
      <c r="H20" s="1"/>
    </row>
    <row r="21" ht="12.75" customHeight="1">
      <c r="B21" s="1" t="e">
        <f>SUMIF(#REF!,#REF!,#REF!)</f>
        <v>#REF!</v>
      </c>
      <c r="F21" s="3">
        <v>45824</v>
      </c>
      <c r="G21" s="1"/>
      <c r="H21" s="1"/>
    </row>
    <row r="22" ht="12.75" customHeight="1">
      <c r="B22" s="1" t="e">
        <f>SUMIF(#REF!,#REF!,#REF!)</f>
        <v>#REF!</v>
      </c>
      <c r="F22" s="3">
        <v>45804</v>
      </c>
      <c r="G22" s="1"/>
      <c r="H22" s="1"/>
    </row>
    <row r="23" ht="12.75" customHeight="1">
      <c r="B23" s="1" t="e">
        <f>SUMIF(#REF!,#REF!,#REF!)</f>
        <v>#REF!</v>
      </c>
      <c r="F23" s="3">
        <v>45792</v>
      </c>
      <c r="G23" s="1"/>
      <c r="H23" s="1"/>
    </row>
    <row r="24" ht="12.75" customHeight="1">
      <c r="B24" s="1" t="e">
        <f>SUMIF(#REF!,#REF!,#REF!)</f>
        <v>#REF!</v>
      </c>
      <c r="F24" s="3">
        <v>45762</v>
      </c>
      <c r="G24" s="1"/>
      <c r="H24" s="1"/>
    </row>
    <row r="25" ht="12.75" customHeight="1">
      <c r="B25" s="1" t="e">
        <f>SUMIF(#REF!,#REF!,#REF!)</f>
        <v>#REF!</v>
      </c>
      <c r="F25" s="3">
        <v>45733</v>
      </c>
      <c r="G25" s="1"/>
      <c r="H25" s="1"/>
    </row>
    <row r="26" ht="12.75" customHeight="1">
      <c r="B26" s="1" t="e">
        <f>SUMIF(#REF!,#REF!,#REF!)</f>
        <v>#REF!</v>
      </c>
      <c r="F26" s="3">
        <v>45706</v>
      </c>
      <c r="G26" s="1"/>
      <c r="H26" s="1"/>
    </row>
    <row r="27" ht="12.75" customHeight="1">
      <c r="B27" s="1" t="e">
        <f>SUMIF(#REF!,#REF!,#REF!)</f>
        <v>#REF!</v>
      </c>
      <c r="F27" s="3">
        <v>45701</v>
      </c>
      <c r="G27" s="1"/>
      <c r="H27" s="1"/>
    </row>
    <row r="28" ht="12.75" customHeight="1">
      <c r="B28" s="1" t="e">
        <f>SUMIF(#REF!,#REF!,#REF!)</f>
        <v>#REF!</v>
      </c>
      <c r="F28" s="3">
        <v>45687</v>
      </c>
      <c r="G28" s="1"/>
      <c r="H28" s="1"/>
    </row>
    <row r="29" ht="12.75" customHeight="1">
      <c r="B29" s="1" t="e">
        <f>SUMIF(#REF!,#REF!,#REF!)</f>
        <v>#REF!</v>
      </c>
      <c r="F29" s="3">
        <v>45672</v>
      </c>
      <c r="G29" s="1"/>
      <c r="H29" s="1"/>
    </row>
    <row r="30" ht="12.75" customHeight="1">
      <c r="B30" s="1" t="e">
        <f>SUMIF(#REF!,#REF!,#REF!)</f>
        <v>#REF!</v>
      </c>
      <c r="F30" s="3">
        <v>45663</v>
      </c>
      <c r="G30" s="1"/>
      <c r="H30" s="1"/>
    </row>
    <row r="31" ht="12.75" customHeight="1">
      <c r="B31" s="1" t="e">
        <f>SUMIF(#REF!,#REF!,#REF!)</f>
        <v>#REF!</v>
      </c>
      <c r="F31" s="3">
        <v>45645</v>
      </c>
      <c r="G31" s="1"/>
      <c r="H31" s="1"/>
    </row>
    <row r="32" ht="12.75" customHeight="1">
      <c r="B32" s="1" t="e">
        <f>SUMIF(#REF!,#REF!,#REF!)</f>
        <v>#REF!</v>
      </c>
      <c r="F32" s="3">
        <v>45642</v>
      </c>
      <c r="G32" s="1"/>
      <c r="H32" s="1"/>
    </row>
    <row r="33" ht="12.75" customHeight="1">
      <c r="B33" s="1" t="e">
        <f>SUMIF(#REF!,#REF!,#REF!)</f>
        <v>#REF!</v>
      </c>
      <c r="F33" s="3">
        <v>45628</v>
      </c>
      <c r="G33" s="1"/>
      <c r="H33" s="1"/>
    </row>
    <row r="34" ht="12.75" customHeight="1">
      <c r="B34" s="1" t="e">
        <f>SUMIF(#REF!,#REF!,#REF!)</f>
        <v>#REF!</v>
      </c>
      <c r="F34" s="3">
        <v>45611</v>
      </c>
      <c r="G34" s="1"/>
      <c r="H34" s="1"/>
    </row>
    <row r="35" ht="12.75" customHeight="1">
      <c r="B35" s="1" t="e">
        <f>SUMIF(#REF!,#REF!,#REF!)</f>
        <v>#REF!</v>
      </c>
      <c r="F35" s="3">
        <v>45580</v>
      </c>
      <c r="G35" s="1"/>
      <c r="H35" s="1"/>
    </row>
    <row r="36" ht="12.75" customHeight="1">
      <c r="B36" s="1" t="e">
        <f>SUMIF(#REF!,#REF!,#REF!)</f>
        <v>#REF!</v>
      </c>
      <c r="F36" s="3">
        <v>0</v>
      </c>
      <c r="G36" s="1"/>
      <c r="H36" s="1"/>
    </row>
    <row r="37" ht="12.75" customHeight="1">
      <c r="B37" s="1" t="e">
        <f>SUMIF(#REF!,#REF!,#REF!)</f>
        <v>#REF!</v>
      </c>
      <c r="G37" s="1"/>
      <c r="H37" s="1"/>
    </row>
    <row r="38" ht="12.75" customHeight="1">
      <c r="B38" s="1" t="e">
        <f>SUMIF(#REF!,#REF!,#REF!)</f>
        <v>#REF!</v>
      </c>
      <c r="G38" s="1"/>
      <c r="H38" s="1"/>
    </row>
    <row r="39" ht="12.75" customHeight="1">
      <c r="B39" s="1" t="e">
        <f>SUMIF(#REF!,#REF!,#REF!)</f>
        <v>#REF!</v>
      </c>
      <c r="G39" s="1"/>
      <c r="H39" s="1"/>
    </row>
    <row r="40" ht="12.75" customHeight="1">
      <c r="B40" s="1" t="e">
        <f>SUMIF(#REF!,#REF!,#REF!)</f>
        <v>#REF!</v>
      </c>
      <c r="G40" s="1"/>
      <c r="H40" s="1"/>
    </row>
    <row r="41" ht="12.75" customHeight="1">
      <c r="B41" s="1" t="e">
        <f>SUMIF(#REF!,#REF!,#REF!)</f>
        <v>#REF!</v>
      </c>
      <c r="G41" s="1"/>
      <c r="H41" s="1"/>
    </row>
    <row r="42" ht="12.75" customHeight="1">
      <c r="B42" s="1" t="e">
        <f>SUMIF(#REF!,#REF!,#REF!)</f>
        <v>#REF!</v>
      </c>
      <c r="G42" s="1"/>
      <c r="H42" s="1"/>
    </row>
    <row r="43" ht="12.75" customHeight="1">
      <c r="G43" s="1"/>
      <c r="H43" s="1"/>
    </row>
    <row r="44" ht="12.75" customHeight="1">
      <c r="G44" s="1"/>
      <c r="H44" s="1"/>
    </row>
    <row r="45" ht="12.75" customHeight="1">
      <c r="G45" s="1"/>
      <c r="H45" s="1"/>
    </row>
    <row r="46" ht="12.75" customHeight="1">
      <c r="G46" s="1"/>
      <c r="H46" s="1"/>
    </row>
    <row r="47" ht="12.75" customHeight="1">
      <c r="G47" s="1"/>
      <c r="H47" s="1"/>
    </row>
    <row r="48" ht="12.75" customHeight="1">
      <c r="G48" s="1"/>
      <c r="H48" s="1"/>
    </row>
    <row r="49" ht="12.75" customHeight="1">
      <c r="G49" s="1"/>
      <c r="H49" s="1"/>
    </row>
    <row r="50" ht="12.75" customHeight="1">
      <c r="G50" s="1"/>
      <c r="H50" s="1"/>
    </row>
    <row r="51" ht="12.75" customHeight="1">
      <c r="G51" s="1"/>
      <c r="H51" s="1"/>
    </row>
    <row r="52" ht="12.75" customHeight="1">
      <c r="G52" s="1"/>
      <c r="H52" s="1"/>
    </row>
    <row r="53" ht="12.75" customHeight="1">
      <c r="G53" s="1"/>
      <c r="H53" s="1"/>
    </row>
    <row r="54" ht="12.75" customHeight="1">
      <c r="G54" s="1"/>
      <c r="H54" s="1"/>
    </row>
    <row r="55" ht="12.75" customHeight="1">
      <c r="G55" s="1"/>
      <c r="H55" s="1"/>
    </row>
    <row r="56" ht="12.75" customHeight="1">
      <c r="G56" s="1"/>
      <c r="H56" s="1"/>
    </row>
    <row r="57" ht="12.75" customHeight="1">
      <c r="G57" s="1"/>
      <c r="H57" s="1"/>
    </row>
    <row r="58" ht="12.75" customHeight="1">
      <c r="G58" s="1"/>
      <c r="H58" s="1"/>
    </row>
    <row r="59" ht="12.75" customHeight="1">
      <c r="G59" s="1"/>
      <c r="H59" s="1"/>
    </row>
    <row r="60" ht="12.75" customHeight="1">
      <c r="G60" s="1"/>
      <c r="H60" s="1"/>
    </row>
    <row r="61" ht="12.75" customHeight="1">
      <c r="G61" s="1"/>
      <c r="H61" s="1"/>
    </row>
    <row r="62" ht="12.75" customHeight="1">
      <c r="G62" s="1"/>
      <c r="H62" s="1"/>
    </row>
    <row r="63" ht="12.75" customHeight="1">
      <c r="G63" s="1"/>
    </row>
    <row r="64" ht="12.75" customHeight="1">
      <c r="G64" s="1"/>
    </row>
    <row r="65" ht="12.75" customHeight="1">
      <c r="G65" s="1"/>
    </row>
    <row r="66" ht="12.75" customHeight="1">
      <c r="G66" s="1"/>
    </row>
    <row r="67" ht="12.75" customHeight="1">
      <c r="G67" s="1"/>
    </row>
    <row r="68" ht="12.75" customHeight="1">
      <c r="G68" s="1"/>
    </row>
    <row r="69" ht="12.75" customHeight="1">
      <c r="G69" s="1"/>
    </row>
    <row r="70" ht="12.75" customHeight="1">
      <c r="G70" s="1"/>
    </row>
    <row r="71" ht="12.75" customHeight="1">
      <c r="G71" s="1"/>
    </row>
    <row r="72" ht="12.75" customHeight="1">
      <c r="G72" s="1"/>
    </row>
    <row r="73" ht="12.75" customHeight="1">
      <c r="G73" s="1"/>
    </row>
    <row r="74" ht="12.75" customHeight="1">
      <c r="G74" s="1"/>
    </row>
    <row r="75" ht="12.75" customHeight="1">
      <c r="G75" s="1"/>
    </row>
    <row r="76" ht="12.75" customHeight="1">
      <c r="G76" s="1"/>
    </row>
    <row r="77" ht="12.75" customHeight="1">
      <c r="G77" s="1"/>
    </row>
    <row r="78" ht="12.75" customHeight="1">
      <c r="G78" s="1"/>
    </row>
    <row r="79" ht="12.75" customHeight="1">
      <c r="G79" s="1"/>
    </row>
    <row r="80" ht="12.75" customHeight="1">
      <c r="G80" s="1"/>
    </row>
    <row r="81" ht="12.75" customHeight="1">
      <c r="G81" s="1"/>
    </row>
    <row r="82" ht="12.75" customHeight="1">
      <c r="G82" s="1"/>
    </row>
    <row r="83" ht="12.75" customHeight="1">
      <c r="G83" s="1"/>
    </row>
    <row r="84" ht="12.75" customHeight="1">
      <c r="G84" s="1"/>
    </row>
    <row r="85" ht="12.75" customHeight="1">
      <c r="G85" s="1"/>
    </row>
    <row r="86" ht="12.75" customHeight="1">
      <c r="G86" s="1"/>
    </row>
    <row r="87" ht="12.75" customHeight="1">
      <c r="G87" s="1"/>
    </row>
    <row r="88" ht="12.75" customHeight="1">
      <c r="G88" s="1"/>
    </row>
    <row r="89" ht="12.75" customHeight="1">
      <c r="G89" s="1"/>
    </row>
    <row r="90" ht="12.75" customHeight="1">
      <c r="G90" s="1"/>
    </row>
    <row r="91" ht="12.75" customHeight="1">
      <c r="G91" s="1"/>
    </row>
    <row r="92" ht="12.75" customHeight="1">
      <c r="G92" s="1"/>
    </row>
    <row r="93" ht="12.75" customHeight="1">
      <c r="G93" s="1"/>
    </row>
    <row r="94" ht="12.75" customHeight="1">
      <c r="G94" s="1"/>
    </row>
    <row r="95" ht="12.75" customHeight="1">
      <c r="G95" s="1"/>
    </row>
    <row r="96" ht="12.75" customHeight="1">
      <c r="G96" s="1"/>
    </row>
    <row r="97" ht="12.75" customHeight="1">
      <c r="G97" s="1"/>
    </row>
    <row r="98" ht="12.75" customHeight="1">
      <c r="G98" s="1"/>
    </row>
    <row r="99" ht="12.75" customHeight="1">
      <c r="G99" s="1"/>
    </row>
    <row r="100" ht="12.75" customHeight="1">
      <c r="G100" s="1"/>
    </row>
    <row r="101" ht="12.75" customHeight="1">
      <c r="G101" s="1"/>
    </row>
    <row r="102" ht="12.75" customHeight="1">
      <c r="G102" s="1"/>
    </row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pageMargins left="0.7" right="0.7" top="0.75" bottom="0.75" header="0.3" footer="0.3"/>
  <pageSetup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4692A-ACB3-4750-A201-292FA26E32B2}">
  <dimension ref="A1:F1"/>
  <sheetViews>
    <sheetView workbookViewId="0">
      <selection activeCell="G2" sqref="A2:G3"/>
    </sheetView>
  </sheetViews>
  <sheetFormatPr defaultRowHeight="12.75" x14ac:dyDescent="0.2"/>
  <cols>
    <col min="1" max="1" bestFit="1" width="19.85546875" customWidth="1"/>
    <col min="2" max="2" bestFit="1" width="9.7109375" customWidth="1"/>
    <col min="3" max="3" bestFit="1" width="11.85546875" customWidth="1" style="3"/>
    <col min="4" max="4" bestFit="1" width="17.42578125" customWidth="1"/>
    <col min="5" max="5" bestFit="1" width="18.7109375" customWidth="1"/>
    <col min="6" max="6" bestFit="1" width="6.28515625" customWidth="1"/>
  </cols>
  <sheetData>
    <row r="1" ht="15" customHeight="1">
      <c r="A1" s="29" t="s">
        <v>0</v>
      </c>
      <c r="B1" s="30" t="s">
        <v>129</v>
      </c>
      <c r="C1" s="30" t="s">
        <v>197</v>
      </c>
      <c r="D1" s="31" t="s">
        <v>198</v>
      </c>
      <c r="E1" s="32" t="s">
        <v>199</v>
      </c>
      <c r="F1" s="33" t="s">
        <v>132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F697D-3061-4730-B0A2-EC2DDBE93F6C}">
  <dimension ref="A1:L4"/>
  <sheetViews>
    <sheetView workbookViewId="0">
      <selection activeCell="H18" sqref="H18"/>
    </sheetView>
  </sheetViews>
  <sheetFormatPr defaultRowHeight="12.75" x14ac:dyDescent="0.2"/>
  <cols>
    <col min="1" max="1" bestFit="1" width="5" customWidth="1"/>
    <col min="2" max="2" width="10" customWidth="1"/>
    <col min="3" max="3" bestFit="1" width="10.7109375" customWidth="1"/>
    <col min="4" max="6" bestFit="1" width="13.42578125" customWidth="1"/>
    <col min="7" max="7" bestFit="1" width="14.42578125" customWidth="1"/>
    <col min="8" max="8" bestFit="1" width="13.5703125" customWidth="1"/>
    <col min="9" max="9" width="13.5703125" customWidth="1"/>
  </cols>
  <sheetData>
    <row r="1" ht="18" customHeight="1">
      <c r="A1" s="34" t="s">
        <v>200</v>
      </c>
      <c r="B1" s="35" t="s">
        <v>201</v>
      </c>
      <c r="C1" s="36" t="s">
        <v>202</v>
      </c>
      <c r="D1" s="35" t="s">
        <v>203</v>
      </c>
      <c r="E1" s="36" t="s">
        <v>127</v>
      </c>
      <c r="F1" s="37" t="s">
        <v>204</v>
      </c>
      <c r="G1" s="42" t="s">
        <v>205</v>
      </c>
      <c r="H1" s="42" t="s">
        <v>206</v>
      </c>
      <c r="I1" s="42" t="s">
        <v>207</v>
      </c>
      <c r="K1" s="42" t="s">
        <v>208</v>
      </c>
      <c r="L1" s="0" t="s">
        <v>209</v>
      </c>
    </row>
    <row r="2" ht="15">
      <c r="A2" s="41">
        <v>2024</v>
      </c>
      <c r="B2" s="38">
        <v>8.7699</v>
      </c>
      <c r="C2" s="39">
        <v>33494.01</v>
      </c>
      <c r="D2" s="40">
        <f>B2*C2</f>
        <v>293739.118299</v>
      </c>
      <c r="E2" s="39">
        <v>291522.68</v>
      </c>
      <c r="F2" s="39">
        <f>D2-E2</f>
        <v>2216.4382990000304</v>
      </c>
    </row>
    <row r="3" ht="15">
      <c r="A3" s="41">
        <v>2025</v>
      </c>
      <c r="B3" s="38">
        <v>10.9481</v>
      </c>
      <c r="C3" s="39">
        <v>34465.34</v>
      </c>
      <c r="D3" s="40">
        <f ref="D3:D4" t="shared" si="0">B3*C3</f>
        <v>377329.988854</v>
      </c>
      <c r="E3" s="39">
        <v>256572.37</v>
      </c>
      <c r="F3" s="39">
        <f ref="F3:F4" t="shared" si="1">D3-E3</f>
        <v>120757.618854</v>
      </c>
    </row>
    <row r="4" ht="15">
      <c r="A4" s="41">
        <v>2026</v>
      </c>
      <c r="B4" s="38">
        <v>15.6876</v>
      </c>
      <c r="C4" s="39">
        <v>35361.44</v>
      </c>
      <c r="D4" s="40">
        <f t="shared" si="0"/>
        <v>554736.126144</v>
      </c>
      <c r="E4" s="39">
        <v>194816.24</v>
      </c>
      <c r="F4" s="39">
        <f t="shared" si="1"/>
        <v>359919.886144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Claims FY26</vt:lpstr>
      <vt:lpstr>Claims FY25</vt:lpstr>
      <vt:lpstr>PAYMENTS</vt:lpstr>
      <vt:lpstr>Payment Summary</vt:lpstr>
      <vt:lpstr>Future payment</vt:lpstr>
      <vt:lpstr>Future Summary</vt:lpstr>
      <vt:lpstr>In Process</vt:lpstr>
      <vt:lpstr>Cap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 Fastovsky</cp:lastModifiedBy>
  <dcterms:created xsi:type="dcterms:W3CDTF">2024-02-05T18:56:53Z</dcterms:created>
  <dcterms:modified xsi:type="dcterms:W3CDTF">2026-04-25T07:00:58Z</dcterms:modified>
</cp:coreProperties>
</file>