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E3BF5EA8-3221-4911-BFA5-EEF0975BBDDF}" xr6:coauthVersionLast="47" xr6:coauthVersionMax="47" xr10:uidLastSave="{00000000-0000-0000-0000-000000000000}"/>
  <bookViews>
    <workbookView showHorizontalScroll="0" showVerticalScroll="0" xWindow="-120" yWindow="-120" windowWidth="38640" windowHeight="15720" xr2:uid="{00000000-000D-0000-FFFF-FFFF00000000}"/>
  </bookViews>
  <sheets>
    <sheet name="Claims FY26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'Claims FY26'!$A$1:$T$351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D6" i="5"/>
  <c r="C6" i="5"/>
  <c r="B6" i="5"/>
  <c r="C5" i="5"/>
  <c r="D5" i="5" s="1"/>
  <c r="B5" i="5"/>
  <c r="C4" i="5"/>
  <c r="D4" i="5" s="1"/>
  <c r="B4" i="5"/>
  <c r="C3" i="5"/>
  <c r="D3" i="5" s="1"/>
  <c r="B3" i="5"/>
  <c r="F1" i="5" a="1"/>
  <c r="H17" i="5" s="1"/>
  <c r="A1" i="5" a="1"/>
  <c r="C2" i="5" s="1"/>
  <c r="D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H3" i="5"/>
  <c r="G6" i="5"/>
  <c r="H7" i="5"/>
  <c r="G10" i="5"/>
  <c r="H11" i="5"/>
  <c r="G14" i="5"/>
  <c r="H15" i="5"/>
  <c r="F1" i="5"/>
  <c r="G3" i="5"/>
  <c r="H4" i="5"/>
  <c r="G7" i="5"/>
  <c r="H8" i="5"/>
  <c r="G11" i="5"/>
  <c r="H12" i="5"/>
  <c r="G15" i="5"/>
  <c r="H16" i="5"/>
  <c r="A1" i="5"/>
  <c r="B2" i="5"/>
  <c r="H2" i="5"/>
  <c r="G5" i="5"/>
  <c r="H6" i="5"/>
  <c r="G9" i="5"/>
  <c r="H10" i="5"/>
  <c r="G13" i="5"/>
  <c r="H14" i="5"/>
  <c r="G17" i="5"/>
  <c r="G4" i="5"/>
  <c r="H5" i="5"/>
  <c r="G8" i="5"/>
  <c r="H9" i="5"/>
  <c r="G12" i="5"/>
  <c r="H13" i="5"/>
  <c r="G16" i="5"/>
  <c r="L12" i="5" l="1"/>
  <c r="I12" i="5"/>
  <c r="L4" i="5"/>
  <c r="I4" i="5"/>
  <c r="L15" i="5"/>
  <c r="I15" i="5"/>
  <c r="L7" i="5"/>
  <c r="I7" i="5"/>
  <c r="I17" i="5"/>
  <c r="L17" i="5"/>
  <c r="I9" i="5"/>
  <c r="L9" i="5"/>
  <c r="I14" i="5"/>
  <c r="L14" i="5"/>
  <c r="I6" i="5"/>
  <c r="L6" i="5"/>
  <c r="L16" i="5"/>
  <c r="I16" i="5"/>
  <c r="L8" i="5"/>
  <c r="I8" i="5"/>
  <c r="L11" i="5"/>
  <c r="I11" i="5"/>
  <c r="L3" i="5"/>
  <c r="I3" i="5"/>
  <c r="I13" i="5"/>
  <c r="L13" i="5"/>
  <c r="I5" i="5"/>
  <c r="L5" i="5"/>
  <c r="I10" i="5"/>
  <c r="L10" i="5"/>
  <c r="I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<sst xmlns="http://schemas.openxmlformats.org/spreadsheetml/2006/main" count="605" uniqueCount="271">
  <si>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</si>
  <si>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</si>
  <si>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</si>
  <si>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</si>
  <si>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</si>
  <si>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</si>
  <si>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</si>
  <si>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</si>
  <si>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</si>
  <si>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</si>
  <si>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</si>
  <si>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</si>
  <si>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</si>
  <si>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</si>
  <si>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</si>
  <si>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</si>
  <si>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</si>
  <si>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</si>
  <si>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</si>
  <si>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</si>
  <si>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</si>
  <si>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</si>
  <si>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</si>
  <si>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</si>
  <si>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</si>
  <si>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</si>
  <si>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</si>
  <si>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</si>
  <si>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</si>
  <si>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</si>
  <si>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</si>
  <si>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</si>
  <si>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</si>
  <si>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</si>
  <si>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</si>
  <si>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</si>
  <si>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</si>
  <si>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</si>
  <si>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</si>
  <si>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</si>
  <si>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</si>
  <si>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</si>
  <si>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</si>
  <si>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</si>
  <si>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</si>
  <si>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</si>
  <si>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</si>
  <si>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</si>
  <si>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</si>
  <si>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</si>
  <si>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</si>
  <si>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</si>
  <si>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</si>
  <si>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</si>
  <si>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</si>
  <si>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</si>
  <si>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</si>
  <si>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</si>
  <si>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</si>
  <si>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</si>
  <si>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</si>
  <si>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</si>
  <si>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</si>
  <si>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</si>
  <si>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</si>
  <si>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</si>
  <si>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</si>
  <si>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</si>
  <si>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</si>
  <si>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</si>
  <si>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</si>
  <si>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</si>
  <si>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</si>
  <si>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</si>
  <si>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</si>
  <si>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</si>
  <si>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</si>
  <si>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</si>
  <si>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</si>
  <si>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</si>
  <si>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</si>
  <si>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</si>
  <si>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</si>
  <si>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</si>
  <si>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</si>
  <si>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</si>
  <si>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</si>
  <si>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</si>
  <si>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</si>
  <si>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</si>
  <si>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</si>
  <si>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</si>
  <si>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</si>
  <si>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</si>
  <si>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</si>
  <si>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</si>
  <si>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</si>
  <si>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</si>
  <si>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</si>
  <si>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</si>
  <si>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</si>
  <si>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</si>
  <si>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</si>
  <si>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</si>
  <si>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</si>
  <si>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</si>
  <si>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</si>
  <si>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</si>
  <si>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</si>
  <si>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</si>
  <si>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</si>
  <si>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</si>
  <si>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</si>
  <si>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</si>
  <si>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</si>
  <si>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</si>
  <si>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</si>
  <si>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</si>
  <si>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</si>
  <si>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</si>
  <si>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</si>
  <si>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</si>
  <si>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</si>
  <si>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</si>
  <si>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</si>
  <si>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</si>
  <si>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</si>
  <si>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</si>
  <si>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</si>
  <si>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</si>
  <si>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</si>
  <si>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</si>
  <si>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</si>
  <si>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</si>
  <si>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</si>
  <si>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</si>
  <si>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</si>
  <si>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</si>
  <si>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</si>
  <si>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</si>
  <si>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</si>
  <si>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</si>
  <si>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</si>
  <si>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</si>
  <si>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</si>
  <si>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</si>
  <si>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</si>
  <si>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Swanson, Joy</t>
  </si>
  <si>
    <t>3/3/2026</t>
  </si>
  <si>
    <t>1QF1RX0NM02</t>
  </si>
  <si>
    <t>Echarren, Elena</t>
  </si>
  <si>
    <t>3/19/2026</t>
  </si>
  <si>
    <t>9CH0VY4XX23</t>
  </si>
  <si>
    <t>Gaylard, Phyllis</t>
  </si>
  <si>
    <t>3/6/2026</t>
  </si>
  <si>
    <t>6HD7UE9XN71</t>
  </si>
  <si>
    <t>Kaminsky, Zora</t>
  </si>
  <si>
    <t>3/1/2026</t>
  </si>
  <si>
    <t>4PC4VA6QE92</t>
  </si>
  <si>
    <t>Stone, Marilyn</t>
  </si>
  <si>
    <t>1RG3C29WG99</t>
  </si>
  <si>
    <t>Schifini, Albert</t>
  </si>
  <si>
    <t>8FA6A92AA49</t>
  </si>
  <si>
    <t>Moore, Shirlee</t>
  </si>
  <si>
    <t>3/24/2026</t>
  </si>
  <si>
    <t>3CG4Q30XF80</t>
  </si>
  <si>
    <t>Harris, Charlene</t>
  </si>
  <si>
    <t>3GH4H62DE90</t>
  </si>
  <si>
    <t>2/25/2026</t>
  </si>
  <si>
    <t>2/28/2026</t>
  </si>
  <si>
    <t>Odie, Carl</t>
  </si>
  <si>
    <t>2/20/2026</t>
  </si>
  <si>
    <t>5WX5QY2EP60</t>
  </si>
  <si>
    <t>Presley, Robert</t>
  </si>
  <si>
    <t>2/1/2026</t>
  </si>
  <si>
    <t>7QK4DX2CV02</t>
  </si>
  <si>
    <t>Cap Repayment</t>
  </si>
  <si>
    <t>Gonzalez Suarez, Reyez</t>
  </si>
  <si>
    <t>1WC7RT7FE53</t>
  </si>
  <si>
    <t>Garcia, Davina</t>
  </si>
  <si>
    <t>3KG3W51ET18</t>
  </si>
  <si>
    <t>Chriqui, Maurice</t>
  </si>
  <si>
    <t>3FM4C63RT62</t>
  </si>
  <si>
    <t>Crowder, Mary</t>
  </si>
  <si>
    <t>4EM1CV3VV34</t>
  </si>
  <si>
    <t>1/11/2026</t>
  </si>
  <si>
    <t>1/8/2026</t>
  </si>
  <si>
    <t>1/7/2026</t>
  </si>
  <si>
    <t>1/1/2026</t>
  </si>
  <si>
    <t>Schnabel, Dawn</t>
  </si>
  <si>
    <t>7QH2CA8RN15</t>
  </si>
  <si>
    <t>Wilson, Anthony</t>
  </si>
  <si>
    <t>1EP6GW7UD42</t>
  </si>
  <si>
    <t>Stewart, Gary</t>
  </si>
  <si>
    <t>12/5/2025</t>
  </si>
  <si>
    <t>1D24QC3CW88</t>
  </si>
  <si>
    <t>12/1/2025</t>
  </si>
  <si>
    <t>Min, Kyung</t>
  </si>
  <si>
    <t>10/13/2025</t>
  </si>
  <si>
    <t>Adjustment</t>
  </si>
  <si>
    <t>2T27G24CF45</t>
  </si>
  <si>
    <t>Ohkawahira, Hidemi</t>
  </si>
  <si>
    <t>10/29/2025</t>
  </si>
  <si>
    <t>5QJ1J63EM25</t>
  </si>
  <si>
    <t>10/1/2025</t>
  </si>
  <si>
    <t>11/5/2025</t>
  </si>
  <si>
    <t>Haas, Loreen</t>
  </si>
  <si>
    <t>10/3/2025</t>
  </si>
  <si>
    <t>7PE1XQ3FD04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</si>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</sst>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44" fontId="0" fillId="0" borderId="0" xfId="0" applyNumberFormat="1"/>
    <xf numFmtId="0" fontId="17" fillId="0" borderId="0" xfId="0" applyFont="1"/>
    <xf numFmtId="0" fontId="17" fillId="0" borderId="0" xfId="0" applyFont="1" applyAlignment="1">
      <alignment horizontal="right"/>
    </xf>
    <xf numFmtId="44" fontId="17" fillId="0" borderId="0" xfId="1" applyFont="1" applyAlignment="1">
      <alignment horizontal="right"/>
    </xf>
    <xf numFmtId="14" fontId="17" fillId="0" borderId="0" xfId="0" applyNumberFormat="1" applyFont="1" applyAlignment="1">
      <alignment horizontal="right"/>
    </xf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tabSelected="1"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3331C319-3ACE-4DC3-BE8C-AC3140EF4C6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78" workbookViewId="0">
      <selection activeCell="C390" sqref="C390:F390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4" t="s">
        <v>139</v>
      </c>
      <c r="B2" s="75"/>
      <c r="C2" s="76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6428.07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6428.07</v>
      </c>
    </row>
    <row r="25" spans="1:6" ht="15.6" customHeight="1">
      <c r="A25" s="74" t="s">
        <v>142</v>
      </c>
      <c r="B25" s="75"/>
      <c r="C25" s="76"/>
    </row>
    <row r="26" spans="1:6" ht="15.6" customHeight="1">
      <c r="A26" s="63">
        <v>45628</v>
      </c>
      <c r="B26" s="8">
        <v>45630</v>
      </c>
      <c r="C26" s="64">
        <v>789.79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14118.6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>
        <v>1316.32</v>
      </c>
      <c r="F39" t="s">
        <v>140</v>
      </c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16224.71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6190.99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28667.22</v>
      </c>
      <c r="F59" t="s">
        <v>140</v>
      </c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141</v>
      </c>
      <c r="B72" s="66"/>
      <c r="C72" s="67">
        <f>SUM(C50:C71)</f>
        <v>34858.21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5760.99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23386.65</v>
      </c>
      <c r="F84" t="s">
        <v>140</v>
      </c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29147.64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26511.03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26511.03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25676.25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25676.25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39689.9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2933.82</v>
      </c>
      <c r="F156" t="s">
        <v>140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42623.72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19284.21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3987.34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23271.55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15904.13</v>
      </c>
      <c r="F192" t="s">
        <v>140</v>
      </c>
    </row>
    <row r="193" spans="1:3" ht="15.75" customHeight="1">
      <c r="A193" s="63">
        <v>45854</v>
      </c>
      <c r="B193" s="8">
        <v>45856</v>
      </c>
      <c r="C193" s="64"/>
    </row>
    <row r="194" spans="1:3" ht="15.75" customHeight="1">
      <c r="A194" s="63">
        <v>45855</v>
      </c>
      <c r="B194" s="8">
        <v>45859</v>
      </c>
      <c r="C194" s="64"/>
    </row>
    <row r="195" spans="1:3" ht="15.75" customHeight="1">
      <c r="A195" s="63">
        <v>45856</v>
      </c>
      <c r="B195" s="8">
        <v>45860</v>
      </c>
      <c r="C195" s="64"/>
    </row>
    <row r="196" spans="1:3" ht="15.75" customHeight="1">
      <c r="A196" s="63">
        <v>45859</v>
      </c>
      <c r="B196" s="8">
        <v>45861</v>
      </c>
      <c r="C196" s="64"/>
    </row>
    <row r="197" spans="1:3" ht="15.75" customHeight="1">
      <c r="A197" s="63">
        <v>45860</v>
      </c>
      <c r="B197" s="8">
        <v>45862</v>
      </c>
      <c r="C197" s="64"/>
    </row>
    <row r="198" spans="1:3" ht="15.75" customHeight="1">
      <c r="A198" s="63">
        <v>45861</v>
      </c>
      <c r="B198" s="8">
        <v>45863</v>
      </c>
      <c r="C198" s="64"/>
    </row>
    <row r="199" spans="1:3" ht="15.75" customHeight="1">
      <c r="A199" s="63">
        <v>45862</v>
      </c>
      <c r="B199" s="8">
        <v>45866</v>
      </c>
      <c r="C199" s="64"/>
    </row>
    <row r="200" spans="1:3" ht="15.75" customHeight="1">
      <c r="A200" s="63">
        <v>45863</v>
      </c>
      <c r="B200" s="8">
        <v>45867</v>
      </c>
      <c r="C200" s="64"/>
    </row>
    <row r="201" spans="1:3" ht="15.75" customHeight="1">
      <c r="A201" s="63">
        <v>45866</v>
      </c>
      <c r="B201" s="8">
        <v>45868</v>
      </c>
      <c r="C201" s="64"/>
    </row>
    <row r="202" spans="1:3" ht="15.75" customHeight="1">
      <c r="A202" s="63">
        <v>45867</v>
      </c>
      <c r="B202" s="8">
        <v>45869</v>
      </c>
      <c r="C202" s="64"/>
    </row>
    <row r="203" spans="1:3" ht="15.75" customHeight="1">
      <c r="A203" s="63">
        <v>45868</v>
      </c>
      <c r="B203" s="8">
        <v>45870</v>
      </c>
      <c r="C203" s="64"/>
    </row>
    <row r="204" spans="1:3" ht="15.75" customHeight="1">
      <c r="A204" s="63">
        <v>45869</v>
      </c>
      <c r="B204" s="8">
        <v>45873</v>
      </c>
      <c r="C204" s="64"/>
    </row>
    <row r="205" spans="1:3" ht="15.75" customHeight="1">
      <c r="A205" s="65" t="s">
        <v>141</v>
      </c>
      <c r="B205" s="66"/>
      <c r="C205" s="67">
        <f>SUM(C183:C204)</f>
        <v>15904.13</v>
      </c>
    </row>
    <row r="206" spans="1:3" ht="15.75" customHeight="1">
      <c r="A206" s="63">
        <v>45870</v>
      </c>
      <c r="B206" s="8">
        <v>45874</v>
      </c>
      <c r="C206" s="64"/>
    </row>
    <row r="207" spans="1:3" ht="15.75" customHeight="1">
      <c r="A207" s="63">
        <v>45873</v>
      </c>
      <c r="B207" s="8">
        <v>45875</v>
      </c>
      <c r="C207" s="64"/>
    </row>
    <row r="208" spans="1:3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13012.47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13012.47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13012.47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13012.47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9902.1200000000008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9902.1200000000008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>
        <v>3862.29</v>
      </c>
      <c r="F277" t="s">
        <v>140</v>
      </c>
    </row>
    <row r="278" spans="1:6" ht="15.75" customHeight="1">
      <c r="A278" s="63">
        <v>45968</v>
      </c>
      <c r="B278" s="8">
        <v>45972</v>
      </c>
      <c r="C278" s="64">
        <v>2569.31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6511.94</v>
      </c>
      <c r="F284" t="s">
        <v>140</v>
      </c>
    </row>
    <row r="285" spans="1:6" ht="15.75" customHeight="1">
      <c r="A285" s="63">
        <v>45979</v>
      </c>
      <c r="B285" s="8">
        <v>45981</v>
      </c>
      <c r="C285" s="64">
        <v>697.5</v>
      </c>
      <c r="F285" t="s">
        <v>140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799.53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14440.570000000002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15997.7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15997.7</v>
      </c>
    </row>
    <row r="315" spans="1:8" ht="15.75" customHeight="1">
      <c r="A315" s="8">
        <v>46024</v>
      </c>
      <c r="B315" s="8">
        <v>46028</v>
      </c>
      <c r="C315" s="16">
        <v>4686.43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25313.78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1994.93</v>
      </c>
      <c r="F328" s="17" t="s">
        <v>140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31995.14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39447.120000000003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6498.1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45945.22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>
        <v>25309.69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1445.64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26755.329999999998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>
        <v>44580.97</v>
      </c>
      <c r="F389" s="17" t="s">
        <v>140</v>
      </c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44580.97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0"/>
  <sheetViews>
    <sheetView workbookViewId="0">
      <selection activeCell="I31" sqref="I3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2" t="s">
        <v>148</v>
      </c>
      <c r="C2" s="1">
        <v>6786.06</v>
      </c>
      <c r="D2" s="3">
        <v>46127</v>
      </c>
      <c r="F2" t="s">
        <v>149</v>
      </c>
    </row>
    <row r="3" spans="1:6">
      <c r="A3" t="s">
        <v>150</v>
      </c>
      <c r="B3" s="12" t="s">
        <v>151</v>
      </c>
      <c r="C3" s="1">
        <v>3329.55</v>
      </c>
      <c r="D3" s="3">
        <v>46127</v>
      </c>
      <c r="F3" t="s">
        <v>152</v>
      </c>
    </row>
    <row r="4" spans="1:6">
      <c r="A4" t="s">
        <v>153</v>
      </c>
      <c r="B4" s="12" t="s">
        <v>154</v>
      </c>
      <c r="C4" s="1">
        <v>6564.34</v>
      </c>
      <c r="D4" s="3">
        <v>46127</v>
      </c>
      <c r="F4" t="s">
        <v>155</v>
      </c>
    </row>
    <row r="5" spans="1:6">
      <c r="A5" t="s">
        <v>156</v>
      </c>
      <c r="B5" s="12" t="s">
        <v>157</v>
      </c>
      <c r="C5" s="1">
        <v>7939.7</v>
      </c>
      <c r="D5" s="3">
        <v>46127</v>
      </c>
      <c r="F5" t="s">
        <v>158</v>
      </c>
    </row>
    <row r="6" spans="1:6">
      <c r="A6" t="s">
        <v>159</v>
      </c>
      <c r="B6" s="12" t="s">
        <v>157</v>
      </c>
      <c r="C6" s="1">
        <v>7939.7</v>
      </c>
      <c r="D6" s="3">
        <v>46127</v>
      </c>
      <c r="F6" t="s">
        <v>160</v>
      </c>
    </row>
    <row r="7" spans="1:6">
      <c r="A7" t="s">
        <v>161</v>
      </c>
      <c r="B7" s="12" t="s">
        <v>154</v>
      </c>
      <c r="C7" s="1">
        <v>6301.34</v>
      </c>
      <c r="D7" s="3">
        <v>46127</v>
      </c>
      <c r="F7" t="s">
        <v>162</v>
      </c>
    </row>
    <row r="8" spans="1:6">
      <c r="A8" t="s">
        <v>163</v>
      </c>
      <c r="B8" s="12" t="s">
        <v>164</v>
      </c>
      <c r="C8" s="1">
        <v>2048.9499999999998</v>
      </c>
      <c r="D8" s="3">
        <v>46127</v>
      </c>
      <c r="F8" t="s">
        <v>165</v>
      </c>
    </row>
    <row r="9" spans="1:6">
      <c r="A9" t="s">
        <v>166</v>
      </c>
      <c r="B9" s="12" t="s">
        <v>157</v>
      </c>
      <c r="C9" s="1">
        <v>6691.83</v>
      </c>
      <c r="D9" s="3">
        <v>46127</v>
      </c>
      <c r="F9" t="s">
        <v>167</v>
      </c>
    </row>
    <row r="10" spans="1:6">
      <c r="A10" t="s">
        <v>156</v>
      </c>
      <c r="B10" s="14" t="s">
        <v>168</v>
      </c>
      <c r="C10" s="6">
        <v>1189.52</v>
      </c>
      <c r="D10" s="7">
        <v>46101</v>
      </c>
      <c r="F10" t="s">
        <v>158</v>
      </c>
    </row>
    <row r="11" spans="1:6">
      <c r="A11" t="s">
        <v>159</v>
      </c>
      <c r="B11" s="14" t="s">
        <v>169</v>
      </c>
      <c r="C11" s="6">
        <v>256.12</v>
      </c>
      <c r="D11" s="7">
        <v>46101</v>
      </c>
      <c r="F11" t="s">
        <v>160</v>
      </c>
    </row>
    <row r="12" spans="1:6">
      <c r="A12" t="s">
        <v>170</v>
      </c>
      <c r="B12" s="14" t="s">
        <v>171</v>
      </c>
      <c r="C12" s="6">
        <v>4284.7299999999996</v>
      </c>
      <c r="D12" s="7">
        <v>46097</v>
      </c>
      <c r="F12" t="s">
        <v>172</v>
      </c>
    </row>
    <row r="13" spans="1:6">
      <c r="A13" t="s">
        <v>173</v>
      </c>
      <c r="B13" s="14" t="s">
        <v>174</v>
      </c>
      <c r="C13" s="6">
        <v>5818.64</v>
      </c>
      <c r="D13" s="7">
        <v>46097</v>
      </c>
      <c r="F13" t="s">
        <v>175</v>
      </c>
    </row>
    <row r="14" spans="1:6">
      <c r="A14" s="70" t="s">
        <v>176</v>
      </c>
      <c r="B14" s="71"/>
      <c r="C14" s="72">
        <v>-3020.5</v>
      </c>
      <c r="D14" s="73">
        <v>46097</v>
      </c>
    </row>
    <row r="15" spans="1:6">
      <c r="A15" t="s">
        <v>166</v>
      </c>
      <c r="B15" s="14" t="s">
        <v>174</v>
      </c>
      <c r="C15" s="6">
        <v>7171.34</v>
      </c>
      <c r="D15" s="7">
        <v>46097</v>
      </c>
      <c r="F15" t="s">
        <v>167</v>
      </c>
    </row>
    <row r="16" spans="1:6">
      <c r="A16" t="s">
        <v>177</v>
      </c>
      <c r="B16" s="14" t="s">
        <v>174</v>
      </c>
      <c r="C16" s="6">
        <v>5652.2</v>
      </c>
      <c r="D16" s="7">
        <v>46097</v>
      </c>
      <c r="F16" t="s">
        <v>178</v>
      </c>
    </row>
    <row r="17" spans="1:6">
      <c r="A17" t="s">
        <v>179</v>
      </c>
      <c r="B17" s="14" t="s">
        <v>174</v>
      </c>
      <c r="C17" s="6">
        <v>201.86</v>
      </c>
      <c r="D17" s="7">
        <v>46097</v>
      </c>
      <c r="F17" t="s">
        <v>180</v>
      </c>
    </row>
    <row r="18" spans="1:6">
      <c r="A18" t="s">
        <v>181</v>
      </c>
      <c r="B18" s="14" t="s">
        <v>174</v>
      </c>
      <c r="C18" s="6">
        <v>5201.42</v>
      </c>
      <c r="D18" s="7">
        <v>46097</v>
      </c>
      <c r="F18" t="s">
        <v>182</v>
      </c>
    </row>
    <row r="19" spans="1:6">
      <c r="A19" t="s">
        <v>183</v>
      </c>
      <c r="B19" s="14" t="s">
        <v>174</v>
      </c>
      <c r="C19" s="6">
        <v>6498.1</v>
      </c>
      <c r="D19" s="7">
        <v>46077</v>
      </c>
      <c r="F19" t="s">
        <v>184</v>
      </c>
    </row>
    <row r="20" spans="1:6">
      <c r="A20" t="s">
        <v>183</v>
      </c>
      <c r="B20" s="14" t="s">
        <v>185</v>
      </c>
      <c r="C20" s="6">
        <v>4239.1499999999996</v>
      </c>
      <c r="D20" s="7">
        <v>46070</v>
      </c>
      <c r="F20" t="s">
        <v>184</v>
      </c>
    </row>
    <row r="21" spans="1:6">
      <c r="A21" t="s">
        <v>166</v>
      </c>
      <c r="B21" s="14" t="s">
        <v>186</v>
      </c>
      <c r="C21" s="6">
        <v>6146.86</v>
      </c>
      <c r="D21" s="7">
        <v>46070</v>
      </c>
      <c r="F21" t="s">
        <v>167</v>
      </c>
    </row>
    <row r="22" spans="1:6">
      <c r="A22" s="70" t="s">
        <v>176</v>
      </c>
      <c r="B22" s="71"/>
      <c r="C22" s="72">
        <v>-3020.5</v>
      </c>
      <c r="D22" s="73">
        <v>46070</v>
      </c>
    </row>
    <row r="23" spans="1:6">
      <c r="A23" t="s">
        <v>181</v>
      </c>
      <c r="B23" s="14" t="s">
        <v>187</v>
      </c>
      <c r="C23" s="6">
        <v>6402.98</v>
      </c>
      <c r="D23" s="7">
        <v>46070</v>
      </c>
      <c r="F23" t="s">
        <v>182</v>
      </c>
    </row>
    <row r="24" spans="1:6">
      <c r="A24" t="s">
        <v>173</v>
      </c>
      <c r="B24" s="14" t="s">
        <v>188</v>
      </c>
      <c r="C24" s="6">
        <v>6257.79</v>
      </c>
      <c r="D24" s="7">
        <v>46070</v>
      </c>
      <c r="F24" t="s">
        <v>175</v>
      </c>
    </row>
    <row r="25" spans="1:6">
      <c r="A25" t="s">
        <v>177</v>
      </c>
      <c r="B25" s="14" t="s">
        <v>185</v>
      </c>
      <c r="C25" s="6">
        <v>4404.2</v>
      </c>
      <c r="D25" s="7">
        <v>46070</v>
      </c>
      <c r="F25" t="s">
        <v>178</v>
      </c>
    </row>
    <row r="26" spans="1:6">
      <c r="A26" t="s">
        <v>189</v>
      </c>
      <c r="B26" s="14" t="s">
        <v>188</v>
      </c>
      <c r="C26" s="6">
        <v>3516.25</v>
      </c>
      <c r="D26" s="7">
        <v>46070</v>
      </c>
      <c r="F26" t="s">
        <v>190</v>
      </c>
    </row>
    <row r="27" spans="1:6">
      <c r="A27" t="s">
        <v>191</v>
      </c>
      <c r="B27" s="14" t="s">
        <v>188</v>
      </c>
      <c r="C27" s="6">
        <v>5046.6000000000004</v>
      </c>
      <c r="D27" s="7">
        <v>46070</v>
      </c>
      <c r="F27" t="s">
        <v>192</v>
      </c>
    </row>
    <row r="28" spans="1:6">
      <c r="A28" t="s">
        <v>179</v>
      </c>
      <c r="B28" s="14" t="s">
        <v>188</v>
      </c>
      <c r="C28" s="6">
        <v>6453.79</v>
      </c>
      <c r="D28" s="7">
        <v>46070</v>
      </c>
      <c r="F28" t="s">
        <v>180</v>
      </c>
    </row>
    <row r="29" spans="1:6">
      <c r="A29" t="s">
        <v>193</v>
      </c>
      <c r="B29" s="14" t="s">
        <v>194</v>
      </c>
      <c r="C29" s="6">
        <v>1994.93</v>
      </c>
      <c r="D29" s="7">
        <v>46044</v>
      </c>
      <c r="F29" t="s">
        <v>195</v>
      </c>
    </row>
    <row r="30" spans="1:6">
      <c r="A30" t="s">
        <v>189</v>
      </c>
      <c r="B30" s="14" t="s">
        <v>196</v>
      </c>
      <c r="C30" s="6">
        <v>7939.7</v>
      </c>
      <c r="D30" s="7">
        <v>46038</v>
      </c>
      <c r="F30" t="s">
        <v>190</v>
      </c>
    </row>
    <row r="31" spans="1:6">
      <c r="A31" s="70" t="s">
        <v>176</v>
      </c>
      <c r="B31" s="71"/>
      <c r="C31" s="72">
        <v>-3020.5</v>
      </c>
      <c r="D31" s="73">
        <v>46038</v>
      </c>
    </row>
    <row r="32" spans="1:6">
      <c r="A32" t="s">
        <v>191</v>
      </c>
      <c r="B32" s="14" t="s">
        <v>196</v>
      </c>
      <c r="C32" s="6">
        <v>6257.79</v>
      </c>
      <c r="D32" s="7">
        <v>46038</v>
      </c>
      <c r="F32" t="s">
        <v>192</v>
      </c>
    </row>
    <row r="33" spans="1:6">
      <c r="A33" t="s">
        <v>173</v>
      </c>
      <c r="B33" s="14" t="s">
        <v>196</v>
      </c>
      <c r="C33" s="6">
        <v>7879</v>
      </c>
      <c r="D33" s="7">
        <v>46038</v>
      </c>
      <c r="F33" t="s">
        <v>175</v>
      </c>
    </row>
    <row r="34" spans="1:6">
      <c r="A34" t="s">
        <v>179</v>
      </c>
      <c r="B34" s="14" t="s">
        <v>196</v>
      </c>
      <c r="C34" s="6">
        <v>6257.79</v>
      </c>
      <c r="D34" s="7">
        <v>46038</v>
      </c>
      <c r="F34" t="s">
        <v>180</v>
      </c>
    </row>
    <row r="35" spans="1:6">
      <c r="A35" t="s">
        <v>197</v>
      </c>
      <c r="B35" s="14" t="s">
        <v>198</v>
      </c>
      <c r="C35" s="6">
        <v>-150.56</v>
      </c>
      <c r="D35" s="7">
        <v>46024</v>
      </c>
      <c r="E35" t="s">
        <v>199</v>
      </c>
      <c r="F35" t="s">
        <v>200</v>
      </c>
    </row>
    <row r="36" spans="1:6">
      <c r="A36" t="s">
        <v>201</v>
      </c>
      <c r="B36" s="14" t="s">
        <v>202</v>
      </c>
      <c r="C36" s="6">
        <v>-26</v>
      </c>
      <c r="D36" s="7">
        <v>46024</v>
      </c>
      <c r="E36" t="s">
        <v>199</v>
      </c>
      <c r="F36" t="s">
        <v>203</v>
      </c>
    </row>
    <row r="37" spans="1:6">
      <c r="A37" t="s">
        <v>179</v>
      </c>
      <c r="B37" s="14" t="s">
        <v>204</v>
      </c>
      <c r="C37" s="6">
        <v>-254.15</v>
      </c>
      <c r="D37" s="7">
        <v>46024</v>
      </c>
      <c r="E37" t="s">
        <v>199</v>
      </c>
      <c r="F37" t="s">
        <v>180</v>
      </c>
    </row>
    <row r="38" spans="1:6">
      <c r="A38" t="s">
        <v>191</v>
      </c>
      <c r="B38" s="14" t="s">
        <v>205</v>
      </c>
      <c r="C38" s="6">
        <v>5248.47</v>
      </c>
      <c r="D38" s="7">
        <v>46024</v>
      </c>
      <c r="F38" t="s">
        <v>192</v>
      </c>
    </row>
    <row r="39" spans="1:6">
      <c r="A39" t="s">
        <v>173</v>
      </c>
      <c r="B39" s="14" t="s">
        <v>202</v>
      </c>
      <c r="C39" s="6">
        <v>-31.17</v>
      </c>
      <c r="D39" s="7">
        <v>46024</v>
      </c>
      <c r="E39" t="s">
        <v>199</v>
      </c>
      <c r="F39" t="s">
        <v>175</v>
      </c>
    </row>
    <row r="40" spans="1:6">
      <c r="A40" t="s">
        <v>206</v>
      </c>
      <c r="B40" s="14" t="s">
        <v>207</v>
      </c>
      <c r="C40" s="6">
        <v>-100.16</v>
      </c>
      <c r="D40" s="7">
        <v>46024</v>
      </c>
      <c r="E40" t="s">
        <v>199</v>
      </c>
      <c r="F40" t="s">
        <v>208</v>
      </c>
    </row>
    <row r="41" spans="1:6">
      <c r="A41" t="s">
        <v>189</v>
      </c>
      <c r="B41" s="14" t="s">
        <v>209</v>
      </c>
      <c r="C41" s="6">
        <v>5122.38</v>
      </c>
      <c r="D41" s="7">
        <v>46006</v>
      </c>
      <c r="F41" t="s">
        <v>190</v>
      </c>
    </row>
    <row r="42" spans="1:6">
      <c r="A42" t="s">
        <v>173</v>
      </c>
      <c r="B42" s="14" t="s">
        <v>210</v>
      </c>
      <c r="C42" s="6">
        <v>7683.57</v>
      </c>
      <c r="D42" s="7">
        <v>46006</v>
      </c>
      <c r="F42" t="s">
        <v>175</v>
      </c>
    </row>
    <row r="43" spans="1:6">
      <c r="A43" s="70" t="s">
        <v>176</v>
      </c>
      <c r="B43" s="71"/>
      <c r="C43" s="72">
        <v>-3020.5</v>
      </c>
      <c r="D43" s="73">
        <v>46006</v>
      </c>
    </row>
    <row r="44" spans="1:6">
      <c r="A44" t="s">
        <v>179</v>
      </c>
      <c r="B44" s="14" t="s">
        <v>210</v>
      </c>
      <c r="C44" s="6">
        <v>6212.25</v>
      </c>
      <c r="D44" s="7">
        <v>46006</v>
      </c>
      <c r="F44" t="s">
        <v>180</v>
      </c>
    </row>
    <row r="45" spans="1:6">
      <c r="A45" t="s">
        <v>173</v>
      </c>
      <c r="B45" s="14" t="s">
        <v>202</v>
      </c>
      <c r="C45" s="6">
        <v>799.53</v>
      </c>
      <c r="D45" s="7">
        <v>45981</v>
      </c>
    </row>
    <row r="46" spans="1:6">
      <c r="A46" t="s">
        <v>201</v>
      </c>
      <c r="B46" s="14" t="s">
        <v>202</v>
      </c>
      <c r="C46" s="6">
        <v>697.5</v>
      </c>
      <c r="D46" s="7">
        <v>45979</v>
      </c>
      <c r="F46" t="s">
        <v>203</v>
      </c>
    </row>
    <row r="47" spans="1:6">
      <c r="A47" t="s">
        <v>179</v>
      </c>
      <c r="B47" s="14" t="s">
        <v>204</v>
      </c>
      <c r="C47" s="6">
        <v>6511.94</v>
      </c>
      <c r="D47" s="7">
        <v>45978</v>
      </c>
      <c r="F47" t="s">
        <v>180</v>
      </c>
    </row>
    <row r="48" spans="1:6">
      <c r="A48" t="s">
        <v>206</v>
      </c>
      <c r="B48" s="14" t="s">
        <v>207</v>
      </c>
      <c r="C48" s="6">
        <v>2569.31</v>
      </c>
      <c r="D48" s="7">
        <v>45968</v>
      </c>
      <c r="F48" t="s">
        <v>208</v>
      </c>
    </row>
    <row r="49" spans="1:6">
      <c r="A49" t="s">
        <v>197</v>
      </c>
      <c r="B49" s="14" t="s">
        <v>198</v>
      </c>
      <c r="C49" s="6">
        <v>3862.29</v>
      </c>
      <c r="D49" s="7">
        <v>45967</v>
      </c>
      <c r="F49" t="s">
        <v>200</v>
      </c>
    </row>
    <row r="50" spans="1:6">
      <c r="A50" t="s">
        <v>179</v>
      </c>
      <c r="B50" s="14" t="s">
        <v>211</v>
      </c>
      <c r="C50" s="6">
        <v>6377.05</v>
      </c>
      <c r="D50" s="7">
        <v>45945</v>
      </c>
      <c r="F50" t="s">
        <v>180</v>
      </c>
    </row>
    <row r="51" spans="1:6">
      <c r="A51" t="s">
        <v>212</v>
      </c>
      <c r="B51" s="14" t="s">
        <v>211</v>
      </c>
      <c r="C51" s="6">
        <v>3525.07</v>
      </c>
      <c r="D51" s="7">
        <v>45945</v>
      </c>
      <c r="F51" t="s">
        <v>213</v>
      </c>
    </row>
    <row r="52" spans="1:6">
      <c r="A52" t="s">
        <v>179</v>
      </c>
      <c r="B52" s="14" t="s">
        <v>214</v>
      </c>
      <c r="C52" s="6">
        <v>6428.07</v>
      </c>
      <c r="D52" s="7">
        <v>45916</v>
      </c>
      <c r="F52" t="s">
        <v>180</v>
      </c>
    </row>
    <row r="53" spans="1:6">
      <c r="A53" t="s">
        <v>212</v>
      </c>
      <c r="B53" s="14" t="s">
        <v>214</v>
      </c>
      <c r="C53" s="6">
        <v>6584.4</v>
      </c>
      <c r="D53" s="7">
        <v>45916</v>
      </c>
      <c r="F53" t="s">
        <v>213</v>
      </c>
    </row>
    <row r="54" spans="1:6">
      <c r="A54" t="s">
        <v>212</v>
      </c>
      <c r="B54" s="14" t="s">
        <v>215</v>
      </c>
      <c r="C54" s="6">
        <v>6428.07</v>
      </c>
      <c r="D54" s="7">
        <v>45884</v>
      </c>
      <c r="F54" t="s">
        <v>213</v>
      </c>
    </row>
    <row r="55" spans="1:6">
      <c r="A55" t="s">
        <v>179</v>
      </c>
      <c r="B55" s="14" t="s">
        <v>215</v>
      </c>
      <c r="C55" s="6">
        <v>6584.4</v>
      </c>
      <c r="D55" s="7">
        <v>45884</v>
      </c>
      <c r="F55" t="s">
        <v>180</v>
      </c>
    </row>
    <row r="56" spans="1:6">
      <c r="A56" t="s">
        <v>179</v>
      </c>
      <c r="B56" s="14" t="s">
        <v>216</v>
      </c>
      <c r="C56" s="6">
        <v>6220.72</v>
      </c>
      <c r="D56" s="7">
        <v>45853</v>
      </c>
      <c r="F56" t="s">
        <v>180</v>
      </c>
    </row>
    <row r="57" spans="1:6">
      <c r="A57" t="s">
        <v>173</v>
      </c>
      <c r="B57" s="14" t="s">
        <v>216</v>
      </c>
      <c r="C57" s="6">
        <v>3266.69</v>
      </c>
      <c r="D57" s="7">
        <v>45853</v>
      </c>
      <c r="F57" t="s">
        <v>175</v>
      </c>
    </row>
    <row r="58" spans="1:6">
      <c r="A58" t="s">
        <v>212</v>
      </c>
      <c r="B58" s="14" t="s">
        <v>216</v>
      </c>
      <c r="C58" s="6">
        <v>6416.72</v>
      </c>
      <c r="D58" s="7">
        <v>45853</v>
      </c>
      <c r="F58" t="s">
        <v>213</v>
      </c>
    </row>
    <row r="59" spans="1:6">
      <c r="A59" t="s">
        <v>217</v>
      </c>
      <c r="B59" s="14" t="s">
        <v>218</v>
      </c>
      <c r="C59" s="6">
        <v>3987.34</v>
      </c>
      <c r="D59" s="7">
        <v>45825</v>
      </c>
      <c r="F59" t="s">
        <v>219</v>
      </c>
    </row>
    <row r="60" spans="1:6">
      <c r="A60" t="s">
        <v>173</v>
      </c>
      <c r="B60" s="14" t="s">
        <v>220</v>
      </c>
      <c r="C60" s="6">
        <v>6428.07</v>
      </c>
      <c r="D60" s="7">
        <v>45824</v>
      </c>
      <c r="F60" t="s">
        <v>175</v>
      </c>
    </row>
    <row r="61" spans="1:6">
      <c r="A61" t="s">
        <v>212</v>
      </c>
      <c r="B61" s="14" t="s">
        <v>220</v>
      </c>
      <c r="C61" s="6">
        <v>6428.07</v>
      </c>
      <c r="D61" s="7">
        <v>45824</v>
      </c>
      <c r="F61" t="s">
        <v>213</v>
      </c>
    </row>
    <row r="62" spans="1:6">
      <c r="A62" t="s">
        <v>179</v>
      </c>
      <c r="B62" s="14" t="s">
        <v>220</v>
      </c>
      <c r="C62" s="6">
        <v>6428.07</v>
      </c>
      <c r="D62" s="7">
        <v>45824</v>
      </c>
      <c r="F62" t="s">
        <v>180</v>
      </c>
    </row>
    <row r="63" spans="1:6">
      <c r="A63" t="s">
        <v>221</v>
      </c>
      <c r="B63" s="14" t="s">
        <v>222</v>
      </c>
      <c r="C63" s="6">
        <v>7742.01</v>
      </c>
      <c r="D63" s="7">
        <v>45804</v>
      </c>
      <c r="E63" t="s">
        <v>199</v>
      </c>
      <c r="F63" t="s">
        <v>223</v>
      </c>
    </row>
    <row r="64" spans="1:6">
      <c r="A64" t="s">
        <v>224</v>
      </c>
      <c r="B64" s="14" t="s">
        <v>220</v>
      </c>
      <c r="C64" s="6">
        <v>951.49</v>
      </c>
      <c r="D64" s="7">
        <v>45804</v>
      </c>
      <c r="F64" t="s">
        <v>225</v>
      </c>
    </row>
    <row r="65" spans="1:6">
      <c r="A65" t="s">
        <v>221</v>
      </c>
      <c r="B65" s="14" t="s">
        <v>220</v>
      </c>
      <c r="C65" s="6">
        <v>1904.15</v>
      </c>
      <c r="D65" s="7">
        <v>45804</v>
      </c>
      <c r="F65" t="s">
        <v>223</v>
      </c>
    </row>
    <row r="66" spans="1:6">
      <c r="A66" t="s">
        <v>224</v>
      </c>
      <c r="B66" s="14" t="s">
        <v>226</v>
      </c>
      <c r="C66" s="6">
        <v>7371.35</v>
      </c>
      <c r="D66" s="7">
        <v>45792</v>
      </c>
      <c r="F66" t="s">
        <v>225</v>
      </c>
    </row>
    <row r="67" spans="1:6">
      <c r="A67" t="s">
        <v>212</v>
      </c>
      <c r="B67" s="14" t="s">
        <v>222</v>
      </c>
      <c r="C67" s="6">
        <v>6416.72</v>
      </c>
      <c r="D67" s="7">
        <v>45792</v>
      </c>
      <c r="F67" t="s">
        <v>213</v>
      </c>
    </row>
    <row r="68" spans="1:6">
      <c r="A68" t="s">
        <v>173</v>
      </c>
      <c r="B68" s="14" t="s">
        <v>222</v>
      </c>
      <c r="C68" s="6">
        <v>6416.72</v>
      </c>
      <c r="D68" s="7">
        <v>45792</v>
      </c>
      <c r="F68" t="s">
        <v>175</v>
      </c>
    </row>
    <row r="69" spans="1:6">
      <c r="A69" t="s">
        <v>227</v>
      </c>
      <c r="B69" s="14" t="s">
        <v>228</v>
      </c>
      <c r="C69" s="6">
        <v>1497.72</v>
      </c>
      <c r="D69" s="7">
        <v>45792</v>
      </c>
      <c r="F69" t="s">
        <v>229</v>
      </c>
    </row>
    <row r="70" spans="1:6">
      <c r="A70" t="s">
        <v>221</v>
      </c>
      <c r="B70" s="14" t="s">
        <v>230</v>
      </c>
      <c r="C70" s="6">
        <v>255.46</v>
      </c>
      <c r="D70" s="7">
        <v>45792</v>
      </c>
      <c r="F70" t="s">
        <v>223</v>
      </c>
    </row>
    <row r="71" spans="1:6">
      <c r="A71" t="s">
        <v>231</v>
      </c>
      <c r="B71" s="14" t="s">
        <v>222</v>
      </c>
      <c r="C71" s="6">
        <v>3847.38</v>
      </c>
      <c r="D71" s="7">
        <v>45792</v>
      </c>
      <c r="F71" t="s">
        <v>232</v>
      </c>
    </row>
    <row r="72" spans="1:6">
      <c r="A72" t="s">
        <v>179</v>
      </c>
      <c r="B72" s="14" t="s">
        <v>222</v>
      </c>
      <c r="C72" s="6">
        <v>6220.72</v>
      </c>
      <c r="D72" s="7">
        <v>45792</v>
      </c>
      <c r="F72" t="s">
        <v>180</v>
      </c>
    </row>
    <row r="73" spans="1:6">
      <c r="A73" t="s">
        <v>212</v>
      </c>
      <c r="B73" s="14" t="s">
        <v>233</v>
      </c>
      <c r="C73" s="6">
        <v>6428.07</v>
      </c>
      <c r="D73" s="7">
        <v>45762</v>
      </c>
      <c r="F73" t="s">
        <v>213</v>
      </c>
    </row>
    <row r="74" spans="1:6">
      <c r="A74" t="s">
        <v>234</v>
      </c>
      <c r="B74" s="14" t="s">
        <v>233</v>
      </c>
      <c r="C74" s="6">
        <v>1660.42</v>
      </c>
      <c r="D74" s="7">
        <v>45762</v>
      </c>
      <c r="F74" t="s">
        <v>235</v>
      </c>
    </row>
    <row r="75" spans="1:6">
      <c r="A75" t="s">
        <v>173</v>
      </c>
      <c r="B75" s="14" t="s">
        <v>233</v>
      </c>
      <c r="C75" s="6">
        <v>6428.07</v>
      </c>
      <c r="D75" s="7">
        <v>45762</v>
      </c>
      <c r="F75" t="s">
        <v>175</v>
      </c>
    </row>
    <row r="76" spans="1:6">
      <c r="A76" t="s">
        <v>179</v>
      </c>
      <c r="B76" s="14" t="s">
        <v>233</v>
      </c>
      <c r="C76" s="6">
        <v>7210.75</v>
      </c>
      <c r="D76" s="7">
        <v>45762</v>
      </c>
      <c r="F76" t="s">
        <v>180</v>
      </c>
    </row>
    <row r="77" spans="1:6">
      <c r="A77" t="s">
        <v>231</v>
      </c>
      <c r="B77" s="14" t="s">
        <v>236</v>
      </c>
      <c r="C77" s="6">
        <v>3948.94</v>
      </c>
      <c r="D77" s="7">
        <v>45762</v>
      </c>
      <c r="F77" t="s">
        <v>232</v>
      </c>
    </row>
    <row r="78" spans="1:6">
      <c r="A78" t="s">
        <v>173</v>
      </c>
      <c r="B78" s="14" t="s">
        <v>237</v>
      </c>
      <c r="C78" s="6">
        <v>5962.33</v>
      </c>
      <c r="D78" s="7">
        <v>45733</v>
      </c>
      <c r="F78" t="s">
        <v>175</v>
      </c>
    </row>
    <row r="79" spans="1:6">
      <c r="A79" t="s">
        <v>179</v>
      </c>
      <c r="B79" s="14" t="s">
        <v>237</v>
      </c>
      <c r="C79" s="6">
        <v>7371.35</v>
      </c>
      <c r="D79" s="7">
        <v>45733</v>
      </c>
      <c r="F79" t="s">
        <v>180</v>
      </c>
    </row>
    <row r="80" spans="1:6">
      <c r="A80" t="s">
        <v>212</v>
      </c>
      <c r="B80" s="14" t="s">
        <v>237</v>
      </c>
      <c r="C80" s="6">
        <v>5806</v>
      </c>
      <c r="D80" s="7">
        <v>45733</v>
      </c>
      <c r="F80" t="s">
        <v>213</v>
      </c>
    </row>
    <row r="81" spans="1:6">
      <c r="A81" t="s">
        <v>234</v>
      </c>
      <c r="B81" s="14" t="s">
        <v>237</v>
      </c>
      <c r="C81" s="6">
        <v>7371.35</v>
      </c>
      <c r="D81" s="7">
        <v>45733</v>
      </c>
      <c r="F81" t="s">
        <v>235</v>
      </c>
    </row>
    <row r="82" spans="1:6">
      <c r="A82" t="s">
        <v>179</v>
      </c>
      <c r="B82" s="14" t="s">
        <v>238</v>
      </c>
      <c r="C82" s="6">
        <v>4738.7299999999996</v>
      </c>
      <c r="D82" s="7">
        <v>45706</v>
      </c>
      <c r="F82" t="s">
        <v>180</v>
      </c>
    </row>
    <row r="83" spans="1:6">
      <c r="A83" t="s">
        <v>173</v>
      </c>
      <c r="B83" s="14" t="s">
        <v>239</v>
      </c>
      <c r="C83" s="6">
        <v>6428.07</v>
      </c>
      <c r="D83" s="7">
        <v>45706</v>
      </c>
      <c r="F83" t="s">
        <v>175</v>
      </c>
    </row>
    <row r="84" spans="1:6">
      <c r="A84" t="s">
        <v>212</v>
      </c>
      <c r="B84" s="14" t="s">
        <v>239</v>
      </c>
      <c r="C84" s="6">
        <v>6428.07</v>
      </c>
      <c r="D84" s="7">
        <v>45706</v>
      </c>
      <c r="F84" t="s">
        <v>213</v>
      </c>
    </row>
    <row r="85" spans="1:6">
      <c r="A85" t="s">
        <v>234</v>
      </c>
      <c r="B85" s="14" t="s">
        <v>240</v>
      </c>
      <c r="C85" s="6">
        <v>5791.78</v>
      </c>
      <c r="D85" s="7">
        <v>45706</v>
      </c>
      <c r="F85" t="s">
        <v>235</v>
      </c>
    </row>
    <row r="86" spans="1:6">
      <c r="A86" t="s">
        <v>241</v>
      </c>
      <c r="B86" s="14" t="s">
        <v>242</v>
      </c>
      <c r="C86" s="6">
        <v>5760.99</v>
      </c>
      <c r="D86" s="7">
        <v>45701</v>
      </c>
      <c r="F86" t="s">
        <v>243</v>
      </c>
    </row>
    <row r="87" spans="1:6">
      <c r="A87" t="s">
        <v>244</v>
      </c>
      <c r="B87" s="14" t="s">
        <v>245</v>
      </c>
      <c r="C87" s="6">
        <v>14301.62</v>
      </c>
      <c r="D87" s="7">
        <v>45687</v>
      </c>
      <c r="E87" t="s">
        <v>199</v>
      </c>
      <c r="F87" t="s">
        <v>246</v>
      </c>
    </row>
    <row r="88" spans="1:6">
      <c r="A88" t="s">
        <v>173</v>
      </c>
      <c r="B88" s="14" t="s">
        <v>247</v>
      </c>
      <c r="C88" s="6">
        <v>6428.07</v>
      </c>
      <c r="D88" s="7">
        <v>45672</v>
      </c>
      <c r="F88" t="s">
        <v>175</v>
      </c>
    </row>
    <row r="89" spans="1:6">
      <c r="A89" t="s">
        <v>212</v>
      </c>
      <c r="B89" s="14" t="s">
        <v>247</v>
      </c>
      <c r="C89" s="6">
        <v>7937.53</v>
      </c>
      <c r="D89" s="7">
        <v>45672</v>
      </c>
      <c r="F89" t="s">
        <v>213</v>
      </c>
    </row>
    <row r="90" spans="1:6">
      <c r="A90" t="s">
        <v>248</v>
      </c>
      <c r="B90" s="14" t="s">
        <v>247</v>
      </c>
      <c r="C90" s="6">
        <v>6190.99</v>
      </c>
      <c r="D90" s="7">
        <v>45663</v>
      </c>
      <c r="F90" t="s">
        <v>249</v>
      </c>
    </row>
    <row r="91" spans="1:6">
      <c r="A91" t="s">
        <v>248</v>
      </c>
      <c r="B91" s="14" t="s">
        <v>250</v>
      </c>
      <c r="C91" s="6">
        <v>1316.32</v>
      </c>
      <c r="D91" s="7">
        <v>45645</v>
      </c>
      <c r="F91" t="s">
        <v>249</v>
      </c>
    </row>
    <row r="92" spans="1:6">
      <c r="A92" t="s">
        <v>212</v>
      </c>
      <c r="B92" s="14" t="s">
        <v>251</v>
      </c>
      <c r="C92" s="6">
        <v>7897.88</v>
      </c>
      <c r="D92" s="7">
        <v>45642</v>
      </c>
      <c r="F92" t="s">
        <v>213</v>
      </c>
    </row>
    <row r="93" spans="1:6">
      <c r="A93" t="s">
        <v>173</v>
      </c>
      <c r="B93" s="14" t="s">
        <v>251</v>
      </c>
      <c r="C93" s="6">
        <v>6220.72</v>
      </c>
      <c r="D93" s="7">
        <v>45642</v>
      </c>
      <c r="F93" t="s">
        <v>175</v>
      </c>
    </row>
    <row r="94" spans="1:6">
      <c r="A94" t="s">
        <v>212</v>
      </c>
      <c r="B94" s="14" t="s">
        <v>252</v>
      </c>
      <c r="C94" s="6">
        <v>789.79</v>
      </c>
      <c r="D94" s="7">
        <v>45628</v>
      </c>
      <c r="F94" t="s">
        <v>213</v>
      </c>
    </row>
    <row r="95" spans="1:6">
      <c r="A95" t="s">
        <v>173</v>
      </c>
      <c r="B95" s="14" t="s">
        <v>253</v>
      </c>
      <c r="C95" s="6">
        <v>6428.07</v>
      </c>
      <c r="D95" s="7">
        <v>45611</v>
      </c>
      <c r="F95" t="s">
        <v>175</v>
      </c>
    </row>
    <row r="96" spans="1:6">
      <c r="A96" t="s">
        <v>173</v>
      </c>
      <c r="B96" s="14" t="s">
        <v>254</v>
      </c>
      <c r="C96" s="6">
        <v>6182.73</v>
      </c>
      <c r="D96" s="7">
        <v>45580</v>
      </c>
      <c r="F96" t="s">
        <v>175</v>
      </c>
    </row>
    <row r="97" spans="1:6">
      <c r="A97" t="s">
        <v>255</v>
      </c>
      <c r="B97" s="14" t="s">
        <v>254</v>
      </c>
      <c r="C97" s="6">
        <v>1236.54</v>
      </c>
      <c r="D97" s="7">
        <v>45580</v>
      </c>
      <c r="F97" t="s">
        <v>256</v>
      </c>
    </row>
    <row r="98" spans="1:6">
      <c r="B98" s="14"/>
      <c r="C98" s="6"/>
      <c r="D98" s="7"/>
    </row>
    <row r="99" spans="1:6">
      <c r="B99" s="14"/>
      <c r="C99" s="6"/>
      <c r="D99" s="7"/>
    </row>
    <row r="100" spans="1:6">
      <c r="B100" s="14"/>
      <c r="C100" s="6"/>
      <c r="D100" s="7"/>
    </row>
    <row r="101" spans="1:6">
      <c r="B101" s="14"/>
      <c r="C101" s="6"/>
      <c r="D101" s="7"/>
    </row>
    <row r="102" spans="1:6">
      <c r="B102" s="14"/>
      <c r="C102" s="6"/>
      <c r="D102" s="7"/>
    </row>
    <row r="103" spans="1:6">
      <c r="B103" s="14"/>
      <c r="C103" s="6"/>
      <c r="D103" s="7"/>
    </row>
    <row r="104" spans="1:6">
      <c r="B104" s="14"/>
      <c r="C104" s="6"/>
      <c r="D104" s="7"/>
    </row>
    <row r="105" spans="1:6">
      <c r="B105" s="14"/>
      <c r="C105" s="6"/>
      <c r="D105" s="7"/>
    </row>
    <row r="106" spans="1:6">
      <c r="B106" s="14"/>
      <c r="C106" s="6"/>
      <c r="D106" s="7"/>
    </row>
    <row r="107" spans="1:6">
      <c r="B107" s="14"/>
      <c r="C107" s="6"/>
      <c r="D107" s="7"/>
    </row>
    <row r="108" spans="1:6">
      <c r="B108" s="14"/>
      <c r="C108" s="6"/>
      <c r="D108" s="7"/>
    </row>
    <row r="109" spans="1:6">
      <c r="B109" s="14"/>
      <c r="C109" s="6"/>
      <c r="D109" s="7"/>
    </row>
    <row r="110" spans="1:6">
      <c r="B110" s="14"/>
      <c r="C110" s="6"/>
      <c r="D110" s="7"/>
    </row>
    <row r="111" spans="1:6">
      <c r="B111" s="14"/>
      <c r="C111" s="6"/>
      <c r="D111" s="7"/>
    </row>
    <row r="112" spans="1:6">
      <c r="B112" s="14"/>
      <c r="C112" s="6"/>
      <c r="D112" s="7"/>
    </row>
    <row r="113" spans="2:4">
      <c r="B113" s="14"/>
      <c r="C113" s="6"/>
      <c r="D113" s="7"/>
    </row>
    <row r="114" spans="2:4">
      <c r="B114" s="14"/>
      <c r="C114" s="6"/>
      <c r="D114" s="7"/>
    </row>
    <row r="115" spans="2:4">
      <c r="B115" s="14"/>
      <c r="C115" s="6"/>
      <c r="D115" s="7"/>
    </row>
    <row r="116" spans="2:4">
      <c r="B116" s="14"/>
      <c r="C116" s="6"/>
      <c r="D116" s="7"/>
    </row>
    <row r="117" spans="2:4">
      <c r="B117" s="14"/>
      <c r="C117" s="6"/>
      <c r="D117" s="7"/>
    </row>
    <row r="118" spans="2:4">
      <c r="B118" s="14"/>
      <c r="C118" s="6"/>
      <c r="D118" s="7"/>
    </row>
    <row r="119" spans="2:4">
      <c r="B119" s="14"/>
      <c r="C119" s="6"/>
      <c r="D119" s="7"/>
    </row>
    <row r="120" spans="2:4">
      <c r="B120" s="14"/>
      <c r="C120" s="6"/>
      <c r="D120" s="7"/>
    </row>
    <row r="121" spans="2:4">
      <c r="B121" s="14"/>
      <c r="C121" s="6"/>
      <c r="D121" s="7"/>
    </row>
    <row r="122" spans="2:4">
      <c r="B122" s="14"/>
      <c r="C122" s="6"/>
      <c r="D122" s="7"/>
    </row>
    <row r="123" spans="2:4">
      <c r="B123" s="14"/>
      <c r="C123" s="6"/>
      <c r="D123" s="7"/>
    </row>
    <row r="124" spans="2:4">
      <c r="B124" s="14"/>
      <c r="C124" s="6"/>
      <c r="D124" s="7"/>
    </row>
    <row r="125" spans="2:4">
      <c r="B125" s="14"/>
      <c r="C125" s="6"/>
      <c r="D125" s="7"/>
    </row>
    <row r="126" spans="2:4">
      <c r="B126" s="14"/>
      <c r="C126" s="6"/>
      <c r="D126" s="7"/>
    </row>
    <row r="127" spans="2:4">
      <c r="B127" s="14"/>
      <c r="C127" s="6"/>
      <c r="D127" s="7"/>
    </row>
    <row r="128" spans="2:4">
      <c r="B128" s="14"/>
      <c r="C128" s="6"/>
      <c r="D128" s="7"/>
    </row>
    <row r="129" spans="2:4">
      <c r="B129" s="14"/>
      <c r="C129" s="6"/>
      <c r="D129" s="7"/>
    </row>
    <row r="130" spans="2:4">
      <c r="B130" s="14"/>
      <c r="C130" s="6"/>
      <c r="D130" s="7"/>
    </row>
    <row r="131" spans="2:4">
      <c r="B131" s="14"/>
      <c r="C131" s="6"/>
      <c r="D131" s="7"/>
    </row>
    <row r="132" spans="2:4">
      <c r="B132" s="14"/>
      <c r="C132" s="6"/>
      <c r="D132" s="7"/>
    </row>
    <row r="133" spans="2:4">
      <c r="B133" s="14"/>
      <c r="C133" s="6"/>
      <c r="D133" s="7"/>
    </row>
    <row r="134" spans="2:4">
      <c r="B134" s="14"/>
      <c r="C134" s="6"/>
      <c r="D134" s="7"/>
    </row>
    <row r="135" spans="2:4">
      <c r="B135" s="14"/>
      <c r="C135" s="6"/>
      <c r="D135" s="7"/>
    </row>
    <row r="136" spans="2:4">
      <c r="B136" s="14"/>
      <c r="C136" s="6"/>
      <c r="D136" s="7"/>
    </row>
    <row r="137" spans="2:4">
      <c r="B137" s="14"/>
      <c r="C137" s="6"/>
      <c r="D137" s="7"/>
    </row>
    <row r="138" spans="2:4">
      <c r="B138" s="14"/>
      <c r="C138" s="6"/>
      <c r="D138" s="7"/>
    </row>
    <row r="139" spans="2:4">
      <c r="B139" s="14"/>
      <c r="C139" s="6"/>
      <c r="D139" s="7"/>
    </row>
    <row r="140" spans="2:4">
      <c r="B140" s="14"/>
      <c r="C140" s="6"/>
      <c r="D140" s="7"/>
    </row>
    <row r="141" spans="2:4">
      <c r="B141" s="14"/>
      <c r="C141" s="6"/>
      <c r="D141" s="7"/>
    </row>
    <row r="142" spans="2:4">
      <c r="B142" s="14"/>
      <c r="C142" s="6"/>
      <c r="D142" s="7"/>
    </row>
    <row r="143" spans="2:4">
      <c r="B143" s="14"/>
      <c r="C143" s="6"/>
      <c r="D143" s="7"/>
    </row>
    <row r="144" spans="2:4">
      <c r="B144" s="14"/>
      <c r="C144" s="6"/>
      <c r="D144" s="7"/>
    </row>
    <row r="145" spans="2:4">
      <c r="B145" s="14"/>
      <c r="C145" s="6"/>
      <c r="D145" s="7"/>
    </row>
    <row r="146" spans="2:4">
      <c r="B146" s="14"/>
      <c r="C146" s="6"/>
      <c r="D146" s="7"/>
    </row>
    <row r="147" spans="2:4">
      <c r="B147" s="14"/>
      <c r="C147" s="6"/>
      <c r="D147" s="7"/>
    </row>
    <row r="148" spans="2:4">
      <c r="B148" s="14"/>
      <c r="C148" s="6"/>
      <c r="D148" s="7"/>
    </row>
    <row r="149" spans="2:4">
      <c r="B149" s="14"/>
      <c r="C149" s="6"/>
      <c r="D149" s="7"/>
    </row>
    <row r="150" spans="2:4">
      <c r="B150" s="14"/>
      <c r="C150" s="6"/>
      <c r="D150" s="7"/>
    </row>
    <row r="151" spans="2:4">
      <c r="B151" s="14"/>
      <c r="C151" s="6"/>
      <c r="D151" s="7"/>
    </row>
    <row r="152" spans="2:4">
      <c r="B152" s="14"/>
      <c r="C152" s="6"/>
      <c r="D152" s="7"/>
    </row>
    <row r="153" spans="2:4">
      <c r="B153" s="14"/>
      <c r="C153" s="6"/>
      <c r="D153" s="7"/>
    </row>
    <row r="154" spans="2:4">
      <c r="B154" s="14"/>
      <c r="C154" s="6"/>
      <c r="D154" s="7"/>
    </row>
    <row r="155" spans="2:4">
      <c r="B155" s="14"/>
      <c r="C155" s="6"/>
      <c r="D155" s="7"/>
    </row>
    <row r="156" spans="2:4">
      <c r="B156" s="14"/>
      <c r="C156" s="6"/>
      <c r="D156" s="7"/>
    </row>
    <row r="157" spans="2:4">
      <c r="B157" s="14"/>
      <c r="C157" s="6"/>
      <c r="D157" s="7"/>
    </row>
    <row r="158" spans="2:4">
      <c r="B158" s="14"/>
      <c r="C158" s="6"/>
      <c r="D158" s="7"/>
    </row>
    <row r="159" spans="2:4">
      <c r="B159" s="14"/>
      <c r="C159" s="6"/>
      <c r="D159" s="7"/>
    </row>
    <row r="160" spans="2:4">
      <c r="B160" s="14"/>
      <c r="C160" s="6"/>
      <c r="D160" s="7"/>
    </row>
    <row r="161" spans="2:4">
      <c r="B161" s="14"/>
      <c r="C161" s="6"/>
      <c r="D161" s="7"/>
    </row>
    <row r="162" spans="2:4">
      <c r="B162" s="14"/>
      <c r="C162" s="6"/>
      <c r="D162" s="7"/>
    </row>
    <row r="163" spans="2:4">
      <c r="B163" s="14"/>
      <c r="C163" s="6"/>
      <c r="D163" s="7"/>
    </row>
    <row r="164" spans="2:4">
      <c r="B164" s="14"/>
      <c r="C164" s="6"/>
      <c r="D164" s="7"/>
    </row>
    <row r="165" spans="2:4">
      <c r="B165" s="14"/>
      <c r="C165" s="6"/>
      <c r="D165" s="7"/>
    </row>
    <row r="166" spans="2:4">
      <c r="B166" s="14"/>
      <c r="C166" s="6"/>
      <c r="D166" s="7"/>
    </row>
    <row r="167" spans="2:4">
      <c r="B167" s="14"/>
      <c r="C167" s="6"/>
      <c r="D167" s="7"/>
    </row>
    <row r="168" spans="2:4">
      <c r="B168" s="14"/>
      <c r="C168" s="6"/>
      <c r="D168" s="7"/>
    </row>
    <row r="169" spans="2:4">
      <c r="B169" s="14"/>
      <c r="C169" s="6"/>
      <c r="D169" s="7"/>
    </row>
    <row r="170" spans="2:4">
      <c r="B170" s="14"/>
      <c r="C170" s="6"/>
      <c r="D170" s="7"/>
    </row>
    <row r="171" spans="2:4">
      <c r="B171" s="14"/>
      <c r="C171" s="6"/>
      <c r="D171" s="7"/>
    </row>
    <row r="172" spans="2:4">
      <c r="B172" s="14"/>
      <c r="C172" s="6"/>
      <c r="D172" s="7"/>
    </row>
    <row r="173" spans="2:4">
      <c r="B173" s="14"/>
      <c r="C173" s="6"/>
      <c r="D173" s="7"/>
    </row>
    <row r="174" spans="2:4">
      <c r="B174" s="14"/>
      <c r="C174" s="6"/>
      <c r="D174" s="7"/>
    </row>
    <row r="175" spans="2:4">
      <c r="B175" s="14"/>
      <c r="C175" s="6"/>
      <c r="D175" s="7"/>
    </row>
    <row r="176" spans="2:4">
      <c r="B176" s="14"/>
      <c r="C176" s="6"/>
      <c r="D176" s="7"/>
    </row>
    <row r="177" spans="2:4">
      <c r="B177" s="14"/>
      <c r="C177" s="6"/>
      <c r="D177" s="7"/>
    </row>
    <row r="178" spans="2:4">
      <c r="B178" s="14"/>
      <c r="C178" s="6"/>
      <c r="D178" s="7"/>
    </row>
    <row r="179" spans="2:4">
      <c r="B179" s="14"/>
      <c r="C179" s="6"/>
      <c r="D179" s="7"/>
    </row>
    <row r="180" spans="2:4">
      <c r="B180" s="14"/>
      <c r="C180" s="6"/>
      <c r="D180" s="7"/>
    </row>
    <row r="181" spans="2:4">
      <c r="B181" s="14"/>
      <c r="C181" s="6"/>
      <c r="D181" s="7"/>
    </row>
    <row r="182" spans="2:4">
      <c r="B182" s="14"/>
      <c r="C182" s="6"/>
      <c r="D182" s="7"/>
    </row>
    <row r="183" spans="2:4">
      <c r="B183" s="14"/>
      <c r="C183" s="6"/>
      <c r="D183" s="7"/>
    </row>
    <row r="184" spans="2:4">
      <c r="B184" s="14"/>
      <c r="C184" s="6"/>
      <c r="D184" s="7"/>
    </row>
    <row r="185" spans="2:4">
      <c r="B185" s="14"/>
      <c r="C185" s="6"/>
      <c r="D185" s="7"/>
    </row>
    <row r="186" spans="2:4">
      <c r="B186" s="14"/>
      <c r="C186" s="6"/>
      <c r="D186" s="7"/>
    </row>
    <row r="187" spans="2:4">
      <c r="B187" s="14"/>
      <c r="C187" s="6"/>
      <c r="D187" s="7"/>
    </row>
    <row r="188" spans="2:4">
      <c r="B188" s="14"/>
      <c r="C188" s="6"/>
      <c r="D188" s="7"/>
    </row>
    <row r="189" spans="2:4">
      <c r="B189" s="14"/>
      <c r="C189" s="6"/>
      <c r="D189" s="7"/>
    </row>
    <row r="190" spans="2:4">
      <c r="B190" s="14"/>
      <c r="C190" s="6"/>
      <c r="D190" s="7"/>
    </row>
    <row r="191" spans="2:4">
      <c r="B191" s="14"/>
      <c r="C191" s="6"/>
      <c r="D191" s="7"/>
    </row>
    <row r="192" spans="2:4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4">
      <c r="B321" s="14"/>
      <c r="C321" s="6"/>
      <c r="D321" s="7"/>
    </row>
    <row r="322" spans="2:4">
      <c r="B322" s="14"/>
      <c r="C322" s="6"/>
      <c r="D322" s="7"/>
    </row>
    <row r="323" spans="2:4">
      <c r="B323" s="14"/>
      <c r="C323" s="6"/>
      <c r="D323" s="7"/>
    </row>
    <row r="324" spans="2:4">
      <c r="B324" s="14"/>
      <c r="C324" s="6"/>
      <c r="D324" s="7"/>
    </row>
    <row r="325" spans="2:4">
      <c r="B325" s="14"/>
      <c r="C325" s="6"/>
      <c r="D325" s="7"/>
    </row>
    <row r="326" spans="2:4">
      <c r="B326" s="14"/>
      <c r="C326" s="6"/>
      <c r="D326" s="7"/>
    </row>
    <row r="327" spans="2:4">
      <c r="B327" s="14"/>
      <c r="C327" s="6"/>
      <c r="D327" s="7"/>
    </row>
    <row r="328" spans="2:4">
      <c r="B328" s="14"/>
      <c r="C328" s="6"/>
      <c r="D328" s="7"/>
    </row>
    <row r="329" spans="2:4">
      <c r="B329" s="14"/>
      <c r="C329" s="6"/>
      <c r="D329" s="7"/>
    </row>
    <row r="330" spans="2:4">
      <c r="B330" s="14"/>
      <c r="C330" s="6"/>
      <c r="D330" s="7"/>
    </row>
    <row r="331" spans="2:4">
      <c r="B331" s="14"/>
      <c r="C331" s="6"/>
      <c r="D331" s="7"/>
    </row>
    <row r="332" spans="2:4">
      <c r="B332" s="14"/>
      <c r="C332" s="6"/>
      <c r="D332" s="7"/>
    </row>
    <row r="333" spans="2:4">
      <c r="B333" s="14"/>
      <c r="C333" s="6"/>
      <c r="D333" s="7"/>
    </row>
    <row r="334" spans="2:4">
      <c r="B334" s="14"/>
      <c r="C334" s="6"/>
      <c r="D334" s="7"/>
    </row>
    <row r="335" spans="2:4">
      <c r="B335" s="14"/>
      <c r="C335" s="6"/>
      <c r="D335" s="7"/>
    </row>
    <row r="336" spans="2:4">
      <c r="B336" s="14"/>
      <c r="C336" s="6"/>
      <c r="D336" s="7"/>
    </row>
    <row r="337" spans="2:8">
      <c r="B337" s="14"/>
      <c r="C337" s="6"/>
      <c r="D337" s="7"/>
    </row>
    <row r="338" spans="2:8">
      <c r="B338" s="14"/>
      <c r="C338" s="6"/>
      <c r="D338" s="7"/>
    </row>
    <row r="339" spans="2:8">
      <c r="B339" s="14"/>
      <c r="C339" s="6"/>
      <c r="D339" s="7"/>
    </row>
    <row r="340" spans="2:8">
      <c r="B340" s="14"/>
      <c r="C340" s="6"/>
      <c r="D340" s="7"/>
    </row>
    <row r="341" spans="2:8">
      <c r="B341" s="14"/>
      <c r="C341" s="6"/>
      <c r="D341" s="7"/>
    </row>
    <row r="342" spans="2:8">
      <c r="B342" s="14"/>
      <c r="C342" s="6"/>
      <c r="D342" s="7"/>
    </row>
    <row r="343" spans="2:8">
      <c r="B343" s="14"/>
      <c r="C343" s="6"/>
      <c r="D343" s="7"/>
    </row>
    <row r="344" spans="2:8">
      <c r="B344" s="14"/>
      <c r="C344" s="6"/>
      <c r="D344" s="7"/>
    </row>
    <row r="345" spans="2:8">
      <c r="B345" s="14"/>
      <c r="C345" s="6"/>
      <c r="D345" s="7"/>
    </row>
    <row r="346" spans="2:8">
      <c r="B346" s="14"/>
      <c r="C346" s="6"/>
      <c r="D346" s="7"/>
    </row>
    <row r="347" spans="2:8">
      <c r="B347" s="14"/>
      <c r="C347" s="6"/>
      <c r="D347" s="7"/>
      <c r="H347" s="1"/>
    </row>
    <row r="348" spans="2:8">
      <c r="B348" s="14"/>
      <c r="C348" s="6"/>
      <c r="D348" s="7"/>
    </row>
    <row r="349" spans="2:8">
      <c r="B349" s="14"/>
      <c r="C349" s="6"/>
      <c r="D349" s="7"/>
    </row>
    <row r="350" spans="2:8">
      <c r="B350" s="14"/>
      <c r="C350" s="6"/>
      <c r="D350" s="7"/>
    </row>
    <row r="351" spans="2:8">
      <c r="B351" s="14"/>
      <c r="C351" s="6"/>
      <c r="D351" s="7"/>
    </row>
    <row r="352" spans="2:8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4">
      <c r="B385" s="14"/>
      <c r="C385" s="6"/>
      <c r="D385" s="7"/>
    </row>
    <row r="386" spans="2:4">
      <c r="B386" s="14"/>
      <c r="C386" s="6"/>
      <c r="D386" s="7"/>
    </row>
    <row r="387" spans="2:4">
      <c r="B387" s="14"/>
      <c r="C387" s="6"/>
      <c r="D387" s="7"/>
    </row>
    <row r="388" spans="2:4">
      <c r="B388" s="14"/>
      <c r="C388" s="6"/>
      <c r="D388" s="7"/>
    </row>
    <row r="389" spans="2:4">
      <c r="B389" s="14"/>
      <c r="C389" s="6"/>
      <c r="D389" s="7"/>
    </row>
    <row r="390" spans="2:4">
      <c r="B390" s="14"/>
      <c r="C390" s="6"/>
      <c r="D390" s="7"/>
    </row>
    <row r="391" spans="2:4">
      <c r="B391" s="14"/>
      <c r="C391" s="6"/>
      <c r="D391" s="7"/>
    </row>
    <row r="392" spans="2:4">
      <c r="B392" s="14"/>
      <c r="C392" s="6"/>
      <c r="D392" s="7"/>
    </row>
    <row r="393" spans="2:4">
      <c r="B393" s="14"/>
      <c r="C393" s="6"/>
      <c r="D393" s="7"/>
    </row>
    <row r="394" spans="2:4">
      <c r="B394" s="14"/>
      <c r="C394" s="6"/>
      <c r="D394" s="7"/>
    </row>
    <row r="395" spans="2:4">
      <c r="B395" s="14"/>
      <c r="C395" s="6"/>
      <c r="D395" s="7"/>
    </row>
    <row r="396" spans="2:4">
      <c r="B396" s="14"/>
      <c r="C396" s="6"/>
      <c r="D396" s="7"/>
    </row>
    <row r="397" spans="2:4">
      <c r="B397" s="14"/>
      <c r="C397" s="6"/>
      <c r="D397" s="7"/>
    </row>
    <row r="398" spans="2:4">
      <c r="B398" s="14"/>
      <c r="C398" s="6"/>
      <c r="D398" s="7"/>
    </row>
    <row r="399" spans="2:4">
      <c r="B399" s="14"/>
      <c r="C399" s="6"/>
      <c r="D399" s="7"/>
    </row>
    <row r="400" spans="2:4">
      <c r="B400" s="14"/>
      <c r="C400" s="6"/>
      <c r="D400" s="7"/>
    </row>
    <row r="401" spans="2:8">
      <c r="B401" s="14"/>
      <c r="C401" s="6"/>
      <c r="D401" s="7"/>
    </row>
    <row r="402" spans="2:8">
      <c r="B402" s="14"/>
      <c r="C402" s="6"/>
      <c r="D402" s="7"/>
    </row>
    <row r="403" spans="2:8">
      <c r="B403" s="14"/>
      <c r="C403" s="6"/>
      <c r="D403" s="7"/>
    </row>
    <row r="404" spans="2:8">
      <c r="B404" s="14"/>
      <c r="C404" s="6"/>
      <c r="D404" s="7"/>
    </row>
    <row r="405" spans="2:8">
      <c r="B405" s="14"/>
      <c r="C405" s="6"/>
      <c r="D405" s="7"/>
    </row>
    <row r="406" spans="2:8">
      <c r="B406" s="14"/>
      <c r="C406" s="6"/>
      <c r="D406" s="7"/>
    </row>
    <row r="407" spans="2:8">
      <c r="B407" s="14"/>
      <c r="C407" s="6"/>
      <c r="D407" s="7"/>
    </row>
    <row r="408" spans="2:8">
      <c r="B408" s="14"/>
      <c r="C408" s="6"/>
      <c r="D408" s="7"/>
    </row>
    <row r="409" spans="2:8">
      <c r="B409" s="14"/>
      <c r="C409" s="6"/>
      <c r="D409" s="7"/>
    </row>
    <row r="410" spans="2:8">
      <c r="B410" s="14"/>
      <c r="C410" s="6"/>
      <c r="D410" s="7"/>
    </row>
    <row r="411" spans="2:8">
      <c r="B411" s="14"/>
      <c r="C411" s="6"/>
      <c r="D411" s="7"/>
    </row>
    <row r="412" spans="2:8">
      <c r="B412" s="14"/>
      <c r="C412" s="6"/>
      <c r="D412" s="7"/>
      <c r="H412" s="1"/>
    </row>
    <row r="413" spans="2:8">
      <c r="B413" s="14"/>
      <c r="C413" s="6"/>
      <c r="D413" s="7"/>
    </row>
    <row r="414" spans="2:8">
      <c r="B414" s="14"/>
      <c r="C414" s="6"/>
      <c r="D414" s="7"/>
    </row>
    <row r="415" spans="2:8">
      <c r="B415" s="14"/>
      <c r="C415" s="6"/>
      <c r="D415" s="7"/>
    </row>
    <row r="416" spans="2:8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17">
      <c r="B465" s="14"/>
      <c r="C465" s="6"/>
      <c r="D465" s="7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  <c r="H478" s="3"/>
      <c r="L478" s="3"/>
      <c r="M478" s="3"/>
      <c r="N478" s="3"/>
      <c r="O478" s="3"/>
      <c r="Q478" s="3"/>
    </row>
    <row r="479" spans="2:17">
      <c r="B479" s="14"/>
      <c r="C479" s="6"/>
      <c r="D479" s="7"/>
      <c r="H479" s="3"/>
      <c r="L479" s="3"/>
      <c r="M479" s="3"/>
      <c r="N479" s="3"/>
      <c r="O479" s="3"/>
      <c r="Q479" s="3"/>
    </row>
    <row r="480" spans="2:17">
      <c r="B480" s="14"/>
      <c r="C480" s="6"/>
      <c r="D480" s="7"/>
      <c r="H480" s="3"/>
      <c r="L480" s="3"/>
      <c r="M480" s="3"/>
      <c r="N480" s="3"/>
      <c r="O480" s="3"/>
      <c r="Q480" s="3"/>
    </row>
    <row r="481" spans="2:17">
      <c r="B481" s="14"/>
      <c r="C481" s="6"/>
      <c r="D481" s="7"/>
      <c r="H481" s="3"/>
      <c r="L481" s="3"/>
      <c r="M481" s="3"/>
      <c r="N481" s="3"/>
      <c r="O481" s="3"/>
      <c r="Q481" s="3"/>
    </row>
    <row r="482" spans="2:17">
      <c r="B482" s="14"/>
      <c r="C482" s="6"/>
      <c r="D482" s="7"/>
      <c r="H482" s="3"/>
      <c r="L482" s="3"/>
      <c r="M482" s="3"/>
      <c r="N482" s="3"/>
      <c r="O482" s="3"/>
      <c r="Q482" s="3"/>
    </row>
    <row r="483" spans="2:17">
      <c r="B483" s="14"/>
      <c r="C483" s="6"/>
      <c r="D483" s="7"/>
    </row>
    <row r="484" spans="2:17">
      <c r="B484" s="14"/>
      <c r="C484" s="6"/>
      <c r="D484" s="7"/>
    </row>
    <row r="485" spans="2:17">
      <c r="B485" s="14"/>
      <c r="C485" s="6"/>
      <c r="D485" s="7"/>
    </row>
    <row r="486" spans="2:17">
      <c r="B486" s="14"/>
      <c r="C486" s="6"/>
      <c r="D486" s="7"/>
    </row>
    <row r="487" spans="2:17">
      <c r="B487" s="14"/>
      <c r="C487" s="6"/>
      <c r="D487" s="7"/>
    </row>
    <row r="488" spans="2:17">
      <c r="B488" s="14"/>
      <c r="C488" s="6"/>
      <c r="D488" s="7"/>
    </row>
    <row r="489" spans="2:17">
      <c r="B489" s="14"/>
      <c r="C489" s="6"/>
      <c r="D489" s="7"/>
    </row>
    <row r="490" spans="2:17">
      <c r="B490" s="14"/>
      <c r="C490" s="6"/>
      <c r="D490" s="7"/>
    </row>
    <row r="491" spans="2:17">
      <c r="B491" s="14"/>
      <c r="C491" s="6"/>
      <c r="D491" s="7"/>
    </row>
    <row r="492" spans="2:17">
      <c r="B492" s="14"/>
      <c r="C492" s="6"/>
      <c r="D492" s="7"/>
    </row>
    <row r="493" spans="2:17">
      <c r="B493" s="14"/>
      <c r="C493" s="6"/>
      <c r="D493" s="7"/>
    </row>
    <row r="494" spans="2:17">
      <c r="B494" s="14"/>
      <c r="C494" s="6"/>
      <c r="D494" s="7"/>
    </row>
    <row r="495" spans="2:17">
      <c r="B495" s="14"/>
      <c r="C495" s="6"/>
      <c r="D495" s="7"/>
    </row>
    <row r="496" spans="2:17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  <row r="1995" spans="2:4">
      <c r="B1995" s="14"/>
      <c r="C1995" s="6"/>
      <c r="D1995" s="7"/>
    </row>
    <row r="1996" spans="2:4">
      <c r="B1996" s="14"/>
      <c r="C1996" s="6"/>
      <c r="D1996" s="7"/>
    </row>
    <row r="1997" spans="2:4">
      <c r="B1997" s="14"/>
      <c r="C1997" s="6"/>
      <c r="D1997" s="7"/>
    </row>
    <row r="1998" spans="2:4">
      <c r="B1998" s="14"/>
      <c r="C1998" s="6"/>
      <c r="D1998" s="7"/>
    </row>
    <row r="1999" spans="2:4">
      <c r="B1999" s="14"/>
      <c r="C1999" s="6"/>
      <c r="D1999" s="7"/>
    </row>
    <row r="2000" spans="2:4">
      <c r="B2000" s="14"/>
      <c r="C2000" s="6"/>
      <c r="D2000" s="7"/>
    </row>
  </sheetData>
  <sortState xmlns:xlrd2="http://schemas.microsoft.com/office/spreadsheetml/2017/richdata2" ref="A2:J89">
    <sortCondition descending="1" ref="D2:D89"/>
  </sortState>
  <conditionalFormatting sqref="A5722 A5789 A5793 A6510:A6513">
    <cfRule type="containsText" dxfId="0" priority="1" operator="containsText" text="TO BE PAID">
      <formula>NOT(ISERROR(SEARCH("TO BE PAID",A5722)))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I30" sqref="I30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1" width="9.140625" customWidth="1"/>
    <col min="12" max="12" width="11.28515625" bestFit="1" customWidth="1"/>
    <col min="13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36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46127</v>
      </c>
      <c r="G2" s="1">
        <f>SUMIF('Payment Summary'!D:D,'Future Summary'!F2,'Payment Summary'!C:C)</f>
        <v>47601.47</v>
      </c>
      <c r="H2" s="1">
        <f>VLOOKUP(F2,PAYMENTS!A:C,3,FALSE)</f>
        <v>44580.97</v>
      </c>
      <c r="I2" t="str">
        <f t="shared" ref="I2:I17" si="1">IF(G2=H2,"Equal","Not Equal")</f>
        <v>Not Equal</v>
      </c>
      <c r="L2" s="69">
        <f>G2-H2</f>
        <v>3020.5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46101</v>
      </c>
      <c r="G3" s="1">
        <f>SUMIF('Payment Summary'!D:D,'Future Summary'!F3,'Payment Summary'!C:C)</f>
        <v>1445.6399999999999</v>
      </c>
      <c r="H3" s="1">
        <f>VLOOKUP(F3,PAYMENTS!A:C,3,FALSE)</f>
        <v>1445.64</v>
      </c>
      <c r="I3" t="str">
        <f t="shared" si="1"/>
        <v>Equal</v>
      </c>
      <c r="L3" s="69">
        <f t="shared" ref="L3:L17" si="2">G3-H3</f>
        <v>0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46097</v>
      </c>
      <c r="G4" s="1">
        <f>SUMIF('Payment Summary'!D:D,'Future Summary'!F4,'Payment Summary'!C:C)</f>
        <v>25309.690000000002</v>
      </c>
      <c r="H4" s="1">
        <f>VLOOKUP(F4,PAYMENTS!A:C,3,FALSE)</f>
        <v>25309.69</v>
      </c>
      <c r="I4" t="str">
        <f t="shared" si="1"/>
        <v>Equal</v>
      </c>
      <c r="L4" s="69">
        <f t="shared" si="2"/>
        <v>0</v>
      </c>
      <c r="P4" s="9" t="s">
        <v>257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46077</v>
      </c>
      <c r="G5" s="1">
        <f>SUMIF('Payment Summary'!D:D,'Future Summary'!F5,'Payment Summary'!C:C)</f>
        <v>6498.1</v>
      </c>
      <c r="H5" s="1">
        <f>VLOOKUP(F5,PAYMENTS!A:C,3,FALSE)</f>
        <v>6498.1</v>
      </c>
      <c r="I5" t="str">
        <f t="shared" si="1"/>
        <v>Equal</v>
      </c>
      <c r="L5" s="69">
        <f t="shared" si="2"/>
        <v>0</v>
      </c>
      <c r="P5" s="9" t="s">
        <v>257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46070</v>
      </c>
      <c r="G6" s="1">
        <f>SUMIF('Payment Summary'!D:D,'Future Summary'!F6,'Payment Summary'!C:C)</f>
        <v>39447.120000000003</v>
      </c>
      <c r="H6" s="1">
        <f>VLOOKUP(F6,PAYMENTS!A:C,3,FALSE)</f>
        <v>39447.120000000003</v>
      </c>
      <c r="I6" t="str">
        <f t="shared" si="1"/>
        <v>Equal</v>
      </c>
      <c r="L6" s="69">
        <f t="shared" si="2"/>
        <v>0</v>
      </c>
      <c r="P6" s="9" t="s">
        <v>257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46044</v>
      </c>
      <c r="G7" s="1">
        <f>SUMIF('Payment Summary'!D:D,'Future Summary'!F7,'Payment Summary'!C:C)</f>
        <v>1994.93</v>
      </c>
      <c r="H7" s="1">
        <f>VLOOKUP(F7,PAYMENTS!A:C,3,FALSE)</f>
        <v>1994.93</v>
      </c>
      <c r="I7" t="str">
        <f t="shared" si="1"/>
        <v>Equal</v>
      </c>
      <c r="L7" s="69">
        <f t="shared" si="2"/>
        <v>0</v>
      </c>
      <c r="P7" s="9" t="s">
        <v>257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46038</v>
      </c>
      <c r="G8" s="1">
        <f>SUMIF('Payment Summary'!D:D,'Future Summary'!F8,'Payment Summary'!C:C)</f>
        <v>25313.78</v>
      </c>
      <c r="H8" s="1">
        <f>VLOOKUP(F8,PAYMENTS!A:C,3,FALSE)</f>
        <v>25313.78</v>
      </c>
      <c r="I8" t="str">
        <f t="shared" si="1"/>
        <v>Equal</v>
      </c>
      <c r="L8" s="69">
        <f t="shared" si="2"/>
        <v>0</v>
      </c>
      <c r="P8" s="9" t="s">
        <v>257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46024</v>
      </c>
      <c r="G9" s="1">
        <f>SUMIF('Payment Summary'!D:D,'Future Summary'!F9,'Payment Summary'!C:C)</f>
        <v>4686.43</v>
      </c>
      <c r="H9" s="1">
        <f>VLOOKUP(F9,PAYMENTS!A:C,3,FALSE)</f>
        <v>4686.43</v>
      </c>
      <c r="I9" t="str">
        <f t="shared" si="1"/>
        <v>Equal</v>
      </c>
      <c r="L9" s="69">
        <f t="shared" si="2"/>
        <v>0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15997.7</v>
      </c>
      <c r="H10" s="1">
        <f>VLOOKUP(F10,PAYMENTS!A:C,3,FALSE)</f>
        <v>15997.7</v>
      </c>
      <c r="I10" t="str">
        <f t="shared" si="1"/>
        <v>Equal</v>
      </c>
      <c r="L10" s="69">
        <f t="shared" si="2"/>
        <v>0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45981</v>
      </c>
      <c r="G11" s="1">
        <f>SUMIF('Payment Summary'!D:D,'Future Summary'!F11,'Payment Summary'!C:C)</f>
        <v>799.53</v>
      </c>
      <c r="H11" s="1">
        <f>VLOOKUP(F11,PAYMENTS!A:C,3,FALSE)</f>
        <v>799.53</v>
      </c>
      <c r="I11" t="str">
        <f t="shared" si="1"/>
        <v>Equal</v>
      </c>
      <c r="L11" s="69">
        <f t="shared" si="2"/>
        <v>0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45979</v>
      </c>
      <c r="G12" s="1">
        <f>SUMIF('Payment Summary'!D:D,'Future Summary'!F12,'Payment Summary'!C:C)</f>
        <v>697.5</v>
      </c>
      <c r="H12" s="1">
        <f>VLOOKUP(F12,PAYMENTS!A:C,3,FALSE)</f>
        <v>697.5</v>
      </c>
      <c r="I12" t="str">
        <f t="shared" si="1"/>
        <v>Equal</v>
      </c>
      <c r="L12" s="69">
        <f t="shared" si="2"/>
        <v>0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45978</v>
      </c>
      <c r="G13" s="1">
        <f>SUMIF('Payment Summary'!D:D,'Future Summary'!F13,'Payment Summary'!C:C)</f>
        <v>6511.94</v>
      </c>
      <c r="H13" s="1">
        <f>VLOOKUP(F13,PAYMENTS!A:C,3,FALSE)</f>
        <v>6511.94</v>
      </c>
      <c r="I13" t="str">
        <f t="shared" si="1"/>
        <v>Equal</v>
      </c>
      <c r="L13" s="69">
        <f t="shared" si="2"/>
        <v>0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45968</v>
      </c>
      <c r="G14" s="1">
        <f>SUMIF('Payment Summary'!D:D,'Future Summary'!F14,'Payment Summary'!C:C)</f>
        <v>2569.31</v>
      </c>
      <c r="H14" s="1">
        <f>VLOOKUP(F14,PAYMENTS!A:C,3,FALSE)</f>
        <v>2569.31</v>
      </c>
      <c r="I14" t="str">
        <f t="shared" si="1"/>
        <v>Equal</v>
      </c>
      <c r="L14" s="69">
        <f t="shared" si="2"/>
        <v>0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45967</v>
      </c>
      <c r="G15" s="1">
        <f>SUMIF('Payment Summary'!D:D,'Future Summary'!F15,'Payment Summary'!C:C)</f>
        <v>3862.29</v>
      </c>
      <c r="H15" s="1">
        <f>VLOOKUP(F15,PAYMENTS!A:C,3,FALSE)</f>
        <v>3862.29</v>
      </c>
      <c r="I15" t="str">
        <f t="shared" si="1"/>
        <v>Equal</v>
      </c>
      <c r="L15" s="69">
        <f t="shared" si="2"/>
        <v>0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45945</v>
      </c>
      <c r="G16" s="1">
        <f>SUMIF('Payment Summary'!D:D,'Future Summary'!F16,'Payment Summary'!C:C)</f>
        <v>9902.1200000000008</v>
      </c>
      <c r="H16" s="1">
        <f>VLOOKUP(F16,PAYMENTS!A:C,3,FALSE)</f>
        <v>9902.1200000000008</v>
      </c>
      <c r="I16" t="str">
        <f t="shared" si="1"/>
        <v>Equal</v>
      </c>
      <c r="L16" s="69">
        <f t="shared" si="2"/>
        <v>0</v>
      </c>
    </row>
    <row r="17" spans="2:12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45916</v>
      </c>
      <c r="G17" s="1">
        <f>SUMIF('Payment Summary'!D:D,'Future Summary'!F17,'Payment Summary'!C:C)</f>
        <v>13012.47</v>
      </c>
      <c r="H17" s="1">
        <f>VLOOKUP(F17,PAYMENTS!A:C,3,FALSE)</f>
        <v>13012.47</v>
      </c>
      <c r="I17" t="str">
        <f t="shared" si="1"/>
        <v>Equal</v>
      </c>
      <c r="L17" s="69">
        <f t="shared" si="2"/>
        <v>0</v>
      </c>
    </row>
    <row r="18" spans="2:12" ht="12.75" customHeight="1">
      <c r="B18" s="1" t="e">
        <f>SUMIF(#REF!,#REF!,#REF!)</f>
        <v>#REF!</v>
      </c>
      <c r="F18" s="3">
        <v>45884</v>
      </c>
      <c r="G18" s="1"/>
      <c r="H18" s="1"/>
    </row>
    <row r="19" spans="2:12" ht="12.75" customHeight="1">
      <c r="B19" s="1" t="e">
        <f>SUMIF(#REF!,#REF!,#REF!)</f>
        <v>#REF!</v>
      </c>
      <c r="F19" s="3">
        <v>45853</v>
      </c>
      <c r="G19" s="1"/>
      <c r="H19" s="1"/>
    </row>
    <row r="20" spans="2:12" ht="12.75" customHeight="1">
      <c r="B20" s="1" t="e">
        <f>SUMIF(#REF!,#REF!,#REF!)</f>
        <v>#REF!</v>
      </c>
      <c r="F20" s="3">
        <v>45825</v>
      </c>
      <c r="G20" s="1"/>
      <c r="H20" s="1"/>
    </row>
    <row r="21" spans="2:12" ht="12.75" customHeight="1">
      <c r="B21" s="1" t="e">
        <f>SUMIF(#REF!,#REF!,#REF!)</f>
        <v>#REF!</v>
      </c>
      <c r="F21" s="3">
        <v>45824</v>
      </c>
      <c r="G21" s="1"/>
      <c r="H21" s="1"/>
    </row>
    <row r="22" spans="2:12" ht="12.75" customHeight="1">
      <c r="B22" s="1" t="e">
        <f>SUMIF(#REF!,#REF!,#REF!)</f>
        <v>#REF!</v>
      </c>
      <c r="F22" s="3">
        <v>45804</v>
      </c>
      <c r="G22" s="1"/>
      <c r="H22" s="1"/>
    </row>
    <row r="23" spans="2:12" ht="12.75" customHeight="1">
      <c r="B23" s="1" t="e">
        <f>SUMIF(#REF!,#REF!,#REF!)</f>
        <v>#REF!</v>
      </c>
      <c r="F23" s="3">
        <v>45792</v>
      </c>
      <c r="G23" s="1"/>
      <c r="H23" s="1"/>
    </row>
    <row r="24" spans="2:12" ht="12.75" customHeight="1">
      <c r="B24" s="1" t="e">
        <f>SUMIF(#REF!,#REF!,#REF!)</f>
        <v>#REF!</v>
      </c>
      <c r="F24" s="3">
        <v>45762</v>
      </c>
      <c r="G24" s="1"/>
      <c r="H24" s="1"/>
    </row>
    <row r="25" spans="2:12" ht="12.75" customHeight="1">
      <c r="B25" s="1" t="e">
        <f>SUMIF(#REF!,#REF!,#REF!)</f>
        <v>#REF!</v>
      </c>
      <c r="F25" s="3">
        <v>45733</v>
      </c>
      <c r="G25" s="1"/>
      <c r="H25" s="1"/>
    </row>
    <row r="26" spans="2:12" ht="12.75" customHeight="1">
      <c r="B26" s="1" t="e">
        <f>SUMIF(#REF!,#REF!,#REF!)</f>
        <v>#REF!</v>
      </c>
      <c r="F26" s="3">
        <v>45706</v>
      </c>
      <c r="G26" s="1"/>
      <c r="H26" s="1"/>
    </row>
    <row r="27" spans="2:12" ht="12.75" customHeight="1">
      <c r="B27" s="1" t="e">
        <f>SUMIF(#REF!,#REF!,#REF!)</f>
        <v>#REF!</v>
      </c>
      <c r="F27" s="3">
        <v>45701</v>
      </c>
      <c r="G27" s="1"/>
      <c r="H27" s="1"/>
    </row>
    <row r="28" spans="2:12" ht="12.75" customHeight="1">
      <c r="B28" s="1" t="e">
        <f>SUMIF(#REF!,#REF!,#REF!)</f>
        <v>#REF!</v>
      </c>
      <c r="F28" s="3">
        <v>45687</v>
      </c>
      <c r="G28" s="1"/>
      <c r="H28" s="1"/>
    </row>
    <row r="29" spans="2:12" ht="12.75" customHeight="1">
      <c r="B29" s="1" t="e">
        <f>SUMIF(#REF!,#REF!,#REF!)</f>
        <v>#REF!</v>
      </c>
      <c r="F29" s="3">
        <v>45672</v>
      </c>
      <c r="G29" s="1"/>
      <c r="H29" s="1"/>
    </row>
    <row r="30" spans="2:12" ht="12.75" customHeight="1">
      <c r="B30" s="1" t="e">
        <f>SUMIF(#REF!,#REF!,#REF!)</f>
        <v>#REF!</v>
      </c>
      <c r="F30" s="3">
        <v>45663</v>
      </c>
      <c r="G30" s="1"/>
      <c r="H30" s="1"/>
    </row>
    <row r="31" spans="2:12" ht="12.75" customHeight="1">
      <c r="B31" s="1" t="e">
        <f>SUMIF(#REF!,#REF!,#REF!)</f>
        <v>#REF!</v>
      </c>
      <c r="F31" s="3">
        <v>45645</v>
      </c>
      <c r="G31" s="1"/>
      <c r="H31" s="1"/>
    </row>
    <row r="32" spans="2:12" ht="12.75" customHeight="1">
      <c r="B32" s="1" t="e">
        <f>SUMIF(#REF!,#REF!,#REF!)</f>
        <v>#REF!</v>
      </c>
      <c r="F32" s="3">
        <v>45642</v>
      </c>
      <c r="G32" s="1"/>
      <c r="H32" s="1"/>
    </row>
    <row r="33" spans="2:8" ht="12.75" customHeight="1">
      <c r="B33" s="1" t="e">
        <f>SUMIF(#REF!,#REF!,#REF!)</f>
        <v>#REF!</v>
      </c>
      <c r="F33" s="3">
        <v>45628</v>
      </c>
      <c r="G33" s="1"/>
      <c r="H33" s="1"/>
    </row>
    <row r="34" spans="2:8" ht="12.75" customHeight="1">
      <c r="B34" s="1" t="e">
        <f>SUMIF(#REF!,#REF!,#REF!)</f>
        <v>#REF!</v>
      </c>
      <c r="F34" s="3">
        <v>45611</v>
      </c>
      <c r="G34" s="1"/>
      <c r="H34" s="1"/>
    </row>
    <row r="35" spans="2:8" ht="12.75" customHeight="1">
      <c r="B35" s="1" t="e">
        <f>SUMIF(#REF!,#REF!,#REF!)</f>
        <v>#REF!</v>
      </c>
      <c r="F35" s="3">
        <v>45580</v>
      </c>
      <c r="G35" s="1"/>
      <c r="H35" s="1"/>
    </row>
    <row r="36" spans="2:8" ht="12.75" customHeight="1">
      <c r="B36" s="1" t="e">
        <f>SUMIF(#REF!,#REF!,#REF!)</f>
        <v>#REF!</v>
      </c>
      <c r="F36" s="3">
        <v>0</v>
      </c>
      <c r="G36" s="1"/>
      <c r="H36" s="1"/>
    </row>
    <row r="37" spans="2:8" ht="12.75" customHeight="1">
      <c r="B37" s="1" t="e">
        <f>SUMIF(#REF!,#REF!,#REF!)</f>
        <v>#REF!</v>
      </c>
      <c r="G37" s="1"/>
      <c r="H37" s="1"/>
    </row>
    <row r="38" spans="2:8" ht="12.75" customHeight="1">
      <c r="B38" s="1" t="e">
        <f>SUMIF(#REF!,#REF!,#REF!)</f>
        <v>#REF!</v>
      </c>
      <c r="G38" s="1"/>
      <c r="H38" s="1"/>
    </row>
    <row r="39" spans="2:8" ht="12.75" customHeight="1">
      <c r="B39" s="1" t="e">
        <f>SUMIF(#REF!,#REF!,#REF!)</f>
        <v>#REF!</v>
      </c>
      <c r="G39" s="1"/>
      <c r="H39" s="1"/>
    </row>
    <row r="40" spans="2:8" ht="12.75" customHeight="1">
      <c r="B40" s="1" t="e">
        <f>SUMIF(#REF!,#REF!,#REF!)</f>
        <v>#REF!</v>
      </c>
      <c r="G40" s="1"/>
      <c r="H40" s="1"/>
    </row>
    <row r="41" spans="2:8" ht="12.75" customHeight="1">
      <c r="B41" s="1" t="e">
        <f>SUMIF(#REF!,#REF!,#REF!)</f>
        <v>#REF!</v>
      </c>
      <c r="G41" s="1"/>
      <c r="H41" s="1"/>
    </row>
    <row r="42" spans="2:8" ht="12.75" customHeight="1">
      <c r="B42" s="1" t="e">
        <f>SUMIF(#REF!,#REF!,#REF!)</f>
        <v>#REF!</v>
      </c>
      <c r="G42" s="1"/>
      <c r="H42" s="1"/>
    </row>
    <row r="43" spans="2:8" ht="12.75" customHeight="1">
      <c r="G43" s="1"/>
      <c r="H43" s="1"/>
    </row>
    <row r="44" spans="2:8" ht="12.75" customHeight="1">
      <c r="G44" s="1"/>
      <c r="H44" s="1"/>
    </row>
    <row r="45" spans="2:8" ht="12.75" customHeight="1">
      <c r="G45" s="1"/>
      <c r="H45" s="1"/>
    </row>
    <row r="46" spans="2:8" ht="12.75" customHeight="1">
      <c r="G46" s="1"/>
      <c r="H46" s="1"/>
    </row>
    <row r="47" spans="2:8" ht="12.75" customHeight="1">
      <c r="G47" s="1"/>
      <c r="H47" s="1"/>
    </row>
    <row r="48" spans="2:8" ht="12.75" customHeight="1">
      <c r="G48" s="1"/>
      <c r="H48" s="1"/>
    </row>
    <row r="49" spans="7:8" ht="12.75" customHeight="1">
      <c r="G49" s="1"/>
      <c r="H49" s="1"/>
    </row>
    <row r="50" spans="7:8" ht="12.75" customHeight="1">
      <c r="G50" s="1"/>
      <c r="H50" s="1"/>
    </row>
    <row r="51" spans="7:8" ht="12.75" customHeight="1">
      <c r="G51" s="1"/>
      <c r="H51" s="1"/>
    </row>
    <row r="52" spans="7:8" ht="12.75" customHeight="1">
      <c r="G52" s="1"/>
      <c r="H52" s="1"/>
    </row>
    <row r="53" spans="7:8" ht="12.75" customHeight="1">
      <c r="G53" s="1"/>
      <c r="H53" s="1"/>
    </row>
    <row r="54" spans="7:8" ht="12.75" customHeight="1">
      <c r="G54" s="1"/>
      <c r="H54" s="1"/>
    </row>
    <row r="55" spans="7:8" ht="12.75" customHeight="1">
      <c r="G55" s="1"/>
      <c r="H55" s="1"/>
    </row>
    <row r="56" spans="7:8" ht="12.75" customHeight="1">
      <c r="G56" s="1"/>
      <c r="H56" s="1"/>
    </row>
    <row r="57" spans="7:8" ht="12.75" customHeight="1">
      <c r="G57" s="1"/>
      <c r="H57" s="1"/>
    </row>
    <row r="58" spans="7:8" ht="12.75" customHeight="1">
      <c r="G58" s="1"/>
      <c r="H58" s="1"/>
    </row>
    <row r="59" spans="7:8" ht="12.75" customHeight="1">
      <c r="G59" s="1"/>
      <c r="H59" s="1"/>
    </row>
    <row r="60" spans="7:8" ht="12.75" customHeight="1">
      <c r="G60" s="1"/>
      <c r="H60" s="1"/>
    </row>
    <row r="61" spans="7:8" ht="12.75" customHeight="1">
      <c r="G61" s="1"/>
      <c r="H61" s="1"/>
    </row>
    <row r="62" spans="7:8" ht="12.75" customHeight="1">
      <c r="G62" s="1"/>
      <c r="H62" s="1"/>
    </row>
    <row r="63" spans="7:8" ht="12.75" customHeight="1">
      <c r="G63" s="1"/>
    </row>
    <row r="64" spans="7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258</v>
      </c>
      <c r="D1" s="51" t="s">
        <v>259</v>
      </c>
      <c r="E1" s="52" t="s">
        <v>260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H18" sqref="H18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261</v>
      </c>
      <c r="B1" s="55" t="s">
        <v>262</v>
      </c>
      <c r="C1" s="56" t="s">
        <v>263</v>
      </c>
      <c r="D1" s="55" t="s">
        <v>264</v>
      </c>
      <c r="E1" s="56" t="s">
        <v>141</v>
      </c>
      <c r="F1" s="57" t="s">
        <v>265</v>
      </c>
      <c r="G1" s="62" t="s">
        <v>266</v>
      </c>
      <c r="H1" s="62" t="s">
        <v>267</v>
      </c>
      <c r="I1" s="62" t="s">
        <v>268</v>
      </c>
      <c r="K1" s="62" t="s">
        <v>269</v>
      </c>
      <c r="L1" t="s">
        <v>270</v>
      </c>
    </row>
    <row r="2" spans="1:12" ht="15">
      <c r="A2" s="61">
        <v>2024</v>
      </c>
      <c r="B2" s="58">
        <v>8.7698999999999998</v>
      </c>
      <c r="C2" s="59">
        <v>33494.01</v>
      </c>
      <c r="D2" s="60">
        <f>B2*C2</f>
        <v>293739.11829900002</v>
      </c>
      <c r="E2" s="59">
        <v>291522.68</v>
      </c>
      <c r="F2" s="59">
        <f>D2-E2</f>
        <v>2216.4382990000304</v>
      </c>
    </row>
    <row r="3" spans="1:12" ht="15">
      <c r="A3" s="61">
        <v>2025</v>
      </c>
      <c r="B3" s="58">
        <v>10.9481</v>
      </c>
      <c r="C3" s="59">
        <v>34465.339999999997</v>
      </c>
      <c r="D3" s="60">
        <f t="shared" ref="D3:D4" si="0">B3*C3</f>
        <v>377329.988854</v>
      </c>
      <c r="E3" s="59">
        <v>256572.37</v>
      </c>
      <c r="F3" s="59">
        <f t="shared" ref="F3:F4" si="1">D3-E3</f>
        <v>120757.618854</v>
      </c>
    </row>
    <row r="4" spans="1:12" ht="15">
      <c r="A4" s="61">
        <v>2026</v>
      </c>
      <c r="B4" s="58">
        <v>15.6876</v>
      </c>
      <c r="C4" s="59">
        <v>35361.440000000002</v>
      </c>
      <c r="D4" s="60">
        <f t="shared" si="0"/>
        <v>554736.12614399998</v>
      </c>
      <c r="E4" s="59">
        <v>194816.24</v>
      </c>
      <c r="F4" s="59">
        <f t="shared" si="1"/>
        <v>359919.88614399999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 FY26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2026-04-25T06:39:55Z</dcterms:modified>
</cp:coreProperties>
</file>